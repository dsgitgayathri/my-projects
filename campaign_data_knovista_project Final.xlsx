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D:\da\"/>
    </mc:Choice>
  </mc:AlternateContent>
  <xr:revisionPtr revIDLastSave="0" documentId="13_ncr:1_{8F80E62A-CDFE-4C37-A127-27E4B00EE469}" xr6:coauthVersionLast="47" xr6:coauthVersionMax="47" xr10:uidLastSave="{00000000-0000-0000-0000-000000000000}"/>
  <bookViews>
    <workbookView xWindow="0" yWindow="0" windowWidth="19200" windowHeight="10080" xr2:uid="{00000000-000D-0000-FFFF-FFFF00000000}"/>
  </bookViews>
  <sheets>
    <sheet name="Project overview" sheetId="16" r:id="rId1"/>
    <sheet name="cleaned data" sheetId="1" r:id="rId2"/>
    <sheet name="missing value counts" sheetId="2" r:id="rId3"/>
    <sheet name="outlier analysis" sheetId="15" r:id="rId4"/>
    <sheet name="statistic analysis" sheetId="3" r:id="rId5"/>
    <sheet name="DASHBOARD" sheetId="4" r:id="rId6"/>
    <sheet name="kpi card" sheetId="5" r:id="rId7"/>
    <sheet name="bar" sheetId="13" r:id="rId8"/>
    <sheet name="LINE CHART" sheetId="7" r:id="rId9"/>
    <sheet name="column CHART" sheetId="6" r:id="rId10"/>
    <sheet name="dONUT CHART" sheetId="8" r:id="rId11"/>
    <sheet name="COMBO CHART" sheetId="9" r:id="rId12"/>
  </sheets>
  <definedNames>
    <definedName name="_xlnm._FilterDatabase" localSheetId="1" hidden="1">'cleaned data'!$A$1:$H$6001</definedName>
    <definedName name="Slicer_Campaign">#N/A</definedName>
  </definedNames>
  <calcPr calcId="191029"/>
  <pivotCaches>
    <pivotCache cacheId="14" r:id="rId13"/>
    <pivotCache cacheId="2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5" l="1"/>
  <c r="F4" i="15"/>
  <c r="F5" i="15"/>
  <c r="F6" i="15"/>
  <c r="F2" i="15"/>
  <c r="E3" i="15"/>
  <c r="E4" i="15"/>
  <c r="E5" i="15"/>
  <c r="E6" i="15"/>
  <c r="E2" i="15"/>
  <c r="D3" i="15"/>
  <c r="D4" i="15"/>
  <c r="D5" i="15"/>
  <c r="D6" i="15"/>
  <c r="D2" i="15"/>
  <c r="C6" i="15"/>
  <c r="C5" i="15"/>
  <c r="C4" i="15"/>
  <c r="C3" i="15"/>
  <c r="C2" i="15"/>
  <c r="B6" i="15"/>
  <c r="B5" i="15"/>
  <c r="B4" i="15"/>
  <c r="B3" i="15"/>
  <c r="B2" i="15"/>
  <c r="D6" i="3"/>
  <c r="D5" i="3"/>
  <c r="D4" i="3"/>
  <c r="D3" i="3"/>
  <c r="D2" i="3"/>
  <c r="C6" i="3"/>
  <c r="C5" i="3"/>
  <c r="C4" i="3"/>
  <c r="C3" i="3"/>
  <c r="C2" i="3"/>
  <c r="B6" i="3"/>
  <c r="B5" i="3"/>
  <c r="B4" i="3"/>
  <c r="B3" i="3"/>
  <c r="B2" i="3"/>
  <c r="B9" i="2"/>
  <c r="B8" i="2"/>
  <c r="B7" i="2"/>
  <c r="B6" i="2"/>
  <c r="B5" i="2"/>
  <c r="B4" i="2"/>
  <c r="B3" i="2"/>
  <c r="B2" i="2"/>
  <c r="G11" i="5"/>
  <c r="G6" i="5"/>
  <c r="E10" i="5"/>
  <c r="C10" i="5"/>
  <c r="A10" i="5"/>
</calcChain>
</file>

<file path=xl/sharedStrings.xml><?xml version="1.0" encoding="utf-8"?>
<sst xmlns="http://schemas.openxmlformats.org/spreadsheetml/2006/main" count="18096" uniqueCount="38">
  <si>
    <t>Campaign</t>
  </si>
  <si>
    <t>Total Leads</t>
  </si>
  <si>
    <t>Sales</t>
  </si>
  <si>
    <t>Cost per Lead</t>
  </si>
  <si>
    <t>Total Cost</t>
  </si>
  <si>
    <t>BA</t>
  </si>
  <si>
    <t xml:space="preserve">PY </t>
  </si>
  <si>
    <t xml:space="preserve">DA </t>
  </si>
  <si>
    <t xml:space="preserve">BA </t>
  </si>
  <si>
    <t>Hiring</t>
  </si>
  <si>
    <t>No monitory benefit</t>
  </si>
  <si>
    <t>Fee included</t>
  </si>
  <si>
    <t>KL</t>
  </si>
  <si>
    <t>FEATURES</t>
  </si>
  <si>
    <t>MISSING VALUE</t>
  </si>
  <si>
    <t>Campaign type</t>
  </si>
  <si>
    <t>Location</t>
  </si>
  <si>
    <t>Conversion Rate</t>
  </si>
  <si>
    <t>Total leads</t>
  </si>
  <si>
    <t>Cost per lead</t>
  </si>
  <si>
    <t>total cost</t>
  </si>
  <si>
    <t>No duplicate records are found in the data</t>
  </si>
  <si>
    <t>DUPLICATE RECORDS</t>
  </si>
  <si>
    <t>Average</t>
  </si>
  <si>
    <t>Median</t>
  </si>
  <si>
    <t>Std.deviation</t>
  </si>
  <si>
    <t>Sum of Total Leads</t>
  </si>
  <si>
    <t>Sum of Sales</t>
  </si>
  <si>
    <t>Sum of Cost per Lead</t>
  </si>
  <si>
    <t>Sum of Total Cost</t>
  </si>
  <si>
    <t>Average of Conversion Rate</t>
  </si>
  <si>
    <t>Row Labels</t>
  </si>
  <si>
    <t>Grand Total</t>
  </si>
  <si>
    <t>Q3</t>
  </si>
  <si>
    <t>IQR</t>
  </si>
  <si>
    <t>Lower Bound</t>
  </si>
  <si>
    <t>Upper Bound</t>
  </si>
  <si>
    <t>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</si>
</sst>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5" tint="0.59999389629810485"/>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5"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2" borderId="0" xfId="0" applyFill="1"/>
    <xf numFmtId="0" fontId="0" fillId="2" borderId="2" xfId="0" applyFill="1" applyBorder="1"/>
    <xf numFmtId="0" fontId="0" fillId="2" borderId="3"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2" borderId="8" xfId="0" applyFill="1" applyBorder="1"/>
    <xf numFmtId="0" fontId="0" fillId="0" borderId="0" xfId="0" applyBorder="1"/>
    <xf numFmtId="0" fontId="0" fillId="0" borderId="11" xfId="0" applyBorder="1"/>
    <xf numFmtId="0" fontId="0" fillId="2" borderId="9" xfId="0" applyFill="1" applyBorder="1"/>
    <xf numFmtId="0" fontId="0" fillId="2" borderId="10" xfId="0" applyFill="1" applyBorder="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0" borderId="1" xfId="0" applyBorder="1"/>
    <xf numFmtId="0" fontId="0" fillId="4" borderId="1" xfId="0" applyFill="1" applyBorder="1"/>
    <xf numFmtId="0" fontId="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Final.xlsx]dONUT CHART!PivotTable8</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b="1">
                <a:solidFill>
                  <a:schemeClr val="accent6">
                    <a:lumMod val="50000"/>
                  </a:schemeClr>
                </a:solidFill>
              </a:rPr>
              <a:t>TOTAL</a:t>
            </a:r>
            <a:r>
              <a:rPr lang="en-US" sz="1800" b="1" baseline="0">
                <a:solidFill>
                  <a:schemeClr val="accent6">
                    <a:lumMod val="50000"/>
                  </a:schemeClr>
                </a:solidFill>
              </a:rPr>
              <a:t> COST PER LEAD</a:t>
            </a:r>
            <a:endParaRPr lang="en-US" sz="1800" b="1">
              <a:solidFill>
                <a:schemeClr val="accent6">
                  <a:lumMod val="50000"/>
                </a:schemeClr>
              </a:solidFill>
            </a:endParaRPr>
          </a:p>
        </c:rich>
      </c:tx>
      <c:layout>
        <c:manualLayout>
          <c:xMode val="edge"/>
          <c:yMode val="edge"/>
          <c:x val="0.18936789151356082"/>
          <c:y val="9.259259259259258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'dONUT CHART'!$B$3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C3F-4070-A2F5-C72DF0D7626A}"/>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C3F-4070-A2F5-C72DF0D7626A}"/>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C3F-4070-A2F5-C72DF0D7626A}"/>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C3F-4070-A2F5-C72DF0D762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CHART'!$A$4:$A$8</c:f>
              <c:strCache>
                <c:ptCount val="4"/>
                <c:pt idx="0">
                  <c:v>BA</c:v>
                </c:pt>
                <c:pt idx="1">
                  <c:v>BA </c:v>
                </c:pt>
                <c:pt idx="2">
                  <c:v>DA </c:v>
                </c:pt>
                <c:pt idx="3">
                  <c:v>PY </c:v>
                </c:pt>
              </c:strCache>
            </c:strRef>
          </c:cat>
          <c:val>
            <c:numRef>
              <c:f>'dONUT CHART'!$B$4:$B$8</c:f>
              <c:numCache>
                <c:formatCode>General</c:formatCode>
                <c:ptCount val="4"/>
                <c:pt idx="0">
                  <c:v>37385.520000000011</c:v>
                </c:pt>
                <c:pt idx="1">
                  <c:v>38060.879999999997</c:v>
                </c:pt>
                <c:pt idx="2">
                  <c:v>75077.529999999766</c:v>
                </c:pt>
                <c:pt idx="3">
                  <c:v>72797.589999999924</c:v>
                </c:pt>
              </c:numCache>
            </c:numRef>
          </c:val>
          <c:extLst>
            <c:ext xmlns:c16="http://schemas.microsoft.com/office/drawing/2014/chart" uri="{C3380CC4-5D6E-409C-BE32-E72D297353CC}">
              <c16:uniqueId val="{00000008-7C3F-4070-A2F5-C72DF0D762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Final.xlsx]LINE CHART!PivotTable7</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CONVERSION RATE BASED ON CAMPAIGN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'LINE CHART'!$A$4:$A$7</c:f>
              <c:strCache>
                <c:ptCount val="3"/>
                <c:pt idx="0">
                  <c:v>Fee included</c:v>
                </c:pt>
                <c:pt idx="1">
                  <c:v>Hiring</c:v>
                </c:pt>
                <c:pt idx="2">
                  <c:v>No monitory benefit</c:v>
                </c:pt>
              </c:strCache>
            </c:strRef>
          </c:cat>
          <c:val>
            <c:numRef>
              <c:f>'LINE CHART'!$B$4:$B$7</c:f>
              <c:numCache>
                <c:formatCode>General</c:formatCode>
                <c:ptCount val="3"/>
                <c:pt idx="0">
                  <c:v>4.9482497441146345</c:v>
                </c:pt>
                <c:pt idx="1">
                  <c:v>4.8962434782608746</c:v>
                </c:pt>
                <c:pt idx="2">
                  <c:v>4.7269238476953905</c:v>
                </c:pt>
              </c:numCache>
            </c:numRef>
          </c:val>
          <c:smooth val="0"/>
          <c:extLst>
            <c:ext xmlns:c16="http://schemas.microsoft.com/office/drawing/2014/chart" uri="{C3380CC4-5D6E-409C-BE32-E72D297353CC}">
              <c16:uniqueId val="{00000000-1747-4E46-B736-23D9D4C50F4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14578447"/>
        <c:axId val="1771962191"/>
      </c:lineChart>
      <c:catAx>
        <c:axId val="191457844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1962191"/>
        <c:crosses val="autoZero"/>
        <c:auto val="1"/>
        <c:lblAlgn val="ctr"/>
        <c:lblOffset val="100"/>
        <c:noMultiLvlLbl val="0"/>
      </c:catAx>
      <c:valAx>
        <c:axId val="177196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457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[campaign_data_knovista_project Final.xlsx]COMBO CHART!PivotTable9</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a:solidFill>
                  <a:schemeClr val="accent6">
                    <a:lumMod val="50000"/>
                  </a:schemeClr>
                </a:solidFill>
              </a:rPr>
              <a:t>CAMPAIGN</a:t>
            </a:r>
            <a:r>
              <a:rPr lang="en-IN" sz="1400" b="1" baseline="0">
                <a:solidFill>
                  <a:schemeClr val="accent6">
                    <a:lumMod val="50000"/>
                  </a:schemeClr>
                </a:solidFill>
              </a:rPr>
              <a:t> PERFORMANCE: SALES &amp; CONVERSION RATE</a:t>
            </a:r>
            <a:endParaRPr lang="en-IN" sz="14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9525">
              <a:solidFill>
                <a:schemeClr val="accent6">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'COMBO CHART'!$A$4:$A$8</c:f>
              <c:strCache>
                <c:ptCount val="4"/>
                <c:pt idx="0">
                  <c:v>BA</c:v>
                </c:pt>
                <c:pt idx="1">
                  <c:v>BA </c:v>
                </c:pt>
                <c:pt idx="2">
                  <c:v>DA </c:v>
                </c:pt>
                <c:pt idx="3">
                  <c:v>PY </c:v>
                </c:pt>
              </c:strCache>
            </c:strRef>
          </c:cat>
          <c:val>
            <c:numRef>
              <c:f>'COMBO CHART'!$B$4:$B$8</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0-5CF1-4EA8-AD3D-5321F0E0E02E}"/>
            </c:ext>
          </c:extLst>
        </c:ser>
        <c:dLbls>
          <c:showLegendKey val="0"/>
          <c:showVal val="0"/>
          <c:showCatName val="0"/>
          <c:showSerName val="0"/>
          <c:showPercent val="0"/>
          <c:showBubbleSize val="0"/>
        </c:dLbls>
        <c:gapWidth val="219"/>
        <c:axId val="2051183775"/>
        <c:axId val="1771972271"/>
      </c:barChart>
      <c:lineChart>
        <c:grouping val="standard"/>
        <c:varyColors val="0"/>
        <c:ser>
          <c:idx val="1"/>
          <c:order val="1"/>
          <c:tx>
            <c:strRef>
              <c:f>'COMBO CHART'!$C$3</c:f>
              <c:strCache>
                <c:ptCount val="1"/>
                <c:pt idx="0">
                  <c:v>Average of Conversion Rate</c:v>
                </c:pt>
              </c:strCache>
            </c:strRef>
          </c:tx>
          <c:spPr>
            <a:ln w="34925" cap="rnd">
              <a:solidFill>
                <a:schemeClr val="accent6">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'COMBO CHART'!$A$4:$A$8</c:f>
              <c:strCache>
                <c:ptCount val="4"/>
                <c:pt idx="0">
                  <c:v>BA</c:v>
                </c:pt>
                <c:pt idx="1">
                  <c:v>BA </c:v>
                </c:pt>
                <c:pt idx="2">
                  <c:v>DA </c:v>
                </c:pt>
                <c:pt idx="3">
                  <c:v>PY </c:v>
                </c:pt>
              </c:strCache>
            </c:strRef>
          </c:cat>
          <c:val>
            <c:numRef>
              <c:f>'COMBO CHART'!$C$4:$C$8</c:f>
              <c:numCache>
                <c:formatCode>General</c:formatCode>
                <c:ptCount val="4"/>
                <c:pt idx="0">
                  <c:v>4.7913650151668365</c:v>
                </c:pt>
                <c:pt idx="1">
                  <c:v>4.9932416502946984</c:v>
                </c:pt>
                <c:pt idx="2">
                  <c:v>4.7881481481481512</c:v>
                </c:pt>
                <c:pt idx="3">
                  <c:v>4.9477644110275669</c:v>
                </c:pt>
              </c:numCache>
            </c:numRef>
          </c:val>
          <c:smooth val="0"/>
          <c:extLst>
            <c:ext xmlns:c16="http://schemas.microsoft.com/office/drawing/2014/chart" uri="{C3380CC4-5D6E-409C-BE32-E72D297353CC}">
              <c16:uniqueId val="{00000001-5CF1-4EA8-AD3D-5321F0E0E02E}"/>
            </c:ext>
          </c:extLst>
        </c:ser>
        <c:dLbls>
          <c:showLegendKey val="0"/>
          <c:showVal val="0"/>
          <c:showCatName val="0"/>
          <c:showSerName val="0"/>
          <c:showPercent val="0"/>
          <c:showBubbleSize val="0"/>
        </c:dLbls>
        <c:marker val="1"/>
        <c:smooth val="0"/>
        <c:axId val="1937685935"/>
        <c:axId val="1771968431"/>
      </c:lineChart>
      <c:catAx>
        <c:axId val="2051183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72271"/>
        <c:crosses val="autoZero"/>
        <c:auto val="1"/>
        <c:lblAlgn val="ctr"/>
        <c:lblOffset val="100"/>
        <c:noMultiLvlLbl val="0"/>
      </c:catAx>
      <c:valAx>
        <c:axId val="177197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183775"/>
        <c:crosses val="autoZero"/>
        <c:crossBetween val="between"/>
      </c:valAx>
      <c:valAx>
        <c:axId val="17719684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685935"/>
        <c:crosses val="max"/>
        <c:crossBetween val="between"/>
      </c:valAx>
      <c:catAx>
        <c:axId val="1937685935"/>
        <c:scaling>
          <c:orientation val="minMax"/>
        </c:scaling>
        <c:delete val="1"/>
        <c:axPos val="b"/>
        <c:numFmt formatCode="General" sourceLinked="1"/>
        <c:majorTickMark val="none"/>
        <c:minorTickMark val="none"/>
        <c:tickLblPos val="nextTo"/>
        <c:crossAx val="1771968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Final.xlsx]column CHART!PivotTable6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BASED ON EACH CAMPAIGN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a:noFill/>
          </a:ln>
          <a:effectLst/>
        </c:spPr>
        <c:marker>
          <c:symbol val="none"/>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pattFill prst="ltUpDiag">
              <a:fgClr>
                <a:schemeClr val="accent6"/>
              </a:fgClr>
              <a:bgClr>
                <a:schemeClr val="lt1"/>
              </a:bgClr>
            </a:pattFill>
            <a:ln>
              <a:noFill/>
            </a:ln>
            <a:effectLst/>
          </c:spPr>
          <c:invertIfNegative val="0"/>
          <c:dLbls>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'column CHART'!$A$4:$A$8</c:f>
              <c:strCache>
                <c:ptCount val="4"/>
                <c:pt idx="0">
                  <c:v>BA</c:v>
                </c:pt>
                <c:pt idx="1">
                  <c:v>BA </c:v>
                </c:pt>
                <c:pt idx="2">
                  <c:v>DA </c:v>
                </c:pt>
                <c:pt idx="3">
                  <c:v>PY </c:v>
                </c:pt>
              </c:strCache>
            </c:strRef>
          </c:cat>
          <c:val>
            <c:numRef>
              <c:f>'column CHART'!$B$4:$B$8</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0-EDCF-4433-955F-A2F23EFE7CC0}"/>
            </c:ext>
          </c:extLst>
        </c:ser>
        <c:dLbls>
          <c:dLblPos val="outEnd"/>
          <c:showLegendKey val="0"/>
          <c:showVal val="1"/>
          <c:showCatName val="0"/>
          <c:showSerName val="0"/>
          <c:showPercent val="0"/>
          <c:showBubbleSize val="0"/>
        </c:dLbls>
        <c:gapWidth val="269"/>
        <c:overlap val="-20"/>
        <c:axId val="1929317247"/>
        <c:axId val="1771952591"/>
      </c:barChart>
      <c:catAx>
        <c:axId val="19293172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71952591"/>
        <c:crosses val="autoZero"/>
        <c:auto val="1"/>
        <c:lblAlgn val="ctr"/>
        <c:lblOffset val="100"/>
        <c:noMultiLvlLbl val="0"/>
      </c:catAx>
      <c:valAx>
        <c:axId val="1771952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931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Final.xlsx]bar!PivotTable13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accent6">
                    <a:lumMod val="75000"/>
                  </a:schemeClr>
                </a:solidFill>
              </a:rPr>
              <a:t>CAMPAIGN:</a:t>
            </a:r>
            <a:r>
              <a:rPr lang="en-IN" b="1" baseline="0">
                <a:solidFill>
                  <a:schemeClr val="accent6">
                    <a:lumMod val="75000"/>
                  </a:schemeClr>
                </a:solidFill>
              </a:rPr>
              <a:t> TOTAL COST &amp; SALES</a:t>
            </a:r>
            <a:endParaRPr lang="en-IN"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bar!$B$3</c:f>
              <c:strCache>
                <c:ptCount val="1"/>
                <c:pt idx="0">
                  <c:v>Sum of Total Cost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bar!$A$4:$A$8</c:f>
              <c:strCache>
                <c:ptCount val="4"/>
                <c:pt idx="0">
                  <c:v>BA</c:v>
                </c:pt>
                <c:pt idx="1">
                  <c:v>BA </c:v>
                </c:pt>
                <c:pt idx="2">
                  <c:v>DA </c:v>
                </c:pt>
                <c:pt idx="3">
                  <c:v>PY </c:v>
                </c:pt>
              </c:strCache>
            </c:strRef>
          </c:cat>
          <c:val>
            <c:numRef>
              <c:f>bar!$B$4:$B$8</c:f>
              <c:numCache>
                <c:formatCode>General</c:formatCode>
                <c:ptCount val="4"/>
                <c:pt idx="0">
                  <c:v>6681681.0700000031</c:v>
                </c:pt>
                <c:pt idx="1">
                  <c:v>6666663.8999999994</c:v>
                </c:pt>
                <c:pt idx="2">
                  <c:v>13190700.549999984</c:v>
                </c:pt>
                <c:pt idx="3">
                  <c:v>12814495.560000001</c:v>
                </c:pt>
              </c:numCache>
            </c:numRef>
          </c:val>
          <c:extLst>
            <c:ext xmlns:c16="http://schemas.microsoft.com/office/drawing/2014/chart" uri="{C3380CC4-5D6E-409C-BE32-E72D297353CC}">
              <c16:uniqueId val="{00000000-50E4-407E-86D6-410AAE6DC4D0}"/>
            </c:ext>
          </c:extLst>
        </c:ser>
        <c:ser>
          <c:idx val="1"/>
          <c:order val="1"/>
          <c:tx>
            <c:strRef>
              <c:f>bar!$C$3</c:f>
              <c:strCache>
                <c:ptCount val="1"/>
                <c:pt idx="0">
                  <c:v>Sum of Sales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bar!$A$4:$A$8</c:f>
              <c:strCache>
                <c:ptCount val="4"/>
                <c:pt idx="0">
                  <c:v>BA</c:v>
                </c:pt>
                <c:pt idx="1">
                  <c:v>BA </c:v>
                </c:pt>
                <c:pt idx="2">
                  <c:v>DA </c:v>
                </c:pt>
                <c:pt idx="3">
                  <c:v>PY </c:v>
                </c:pt>
              </c:strCache>
            </c:strRef>
          </c:cat>
          <c:val>
            <c:numRef>
              <c:f>bar!$C$4:$C$8</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1-50E4-407E-86D6-410AAE6DC4D0}"/>
            </c:ext>
          </c:extLst>
        </c:ser>
        <c:dLbls>
          <c:dLblPos val="ctr"/>
          <c:showLegendKey val="0"/>
          <c:showVal val="1"/>
          <c:showCatName val="0"/>
          <c:showSerName val="0"/>
          <c:showPercent val="0"/>
          <c:showBubbleSize val="0"/>
        </c:dLbls>
        <c:gapWidth val="150"/>
        <c:overlap val="100"/>
        <c:axId val="2139465183"/>
        <c:axId val="2074980431"/>
      </c:barChart>
      <c:catAx>
        <c:axId val="21394651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980431"/>
        <c:crosses val="autoZero"/>
        <c:auto val="1"/>
        <c:lblAlgn val="ctr"/>
        <c:lblOffset val="100"/>
        <c:noMultiLvlLbl val="0"/>
      </c:catAx>
      <c:valAx>
        <c:axId val="2074980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46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Final.xlsx]bar!PivotTable13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accent6">
                    <a:lumMod val="75000"/>
                  </a:schemeClr>
                </a:solidFill>
              </a:rPr>
              <a:t>CAMPAIGN:</a:t>
            </a:r>
            <a:r>
              <a:rPr lang="en-IN" b="1" baseline="0">
                <a:solidFill>
                  <a:schemeClr val="accent6">
                    <a:lumMod val="75000"/>
                  </a:schemeClr>
                </a:solidFill>
              </a:rPr>
              <a:t> TOTAL COST &amp; SALES</a:t>
            </a:r>
            <a:endParaRPr lang="en-IN"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bar!$B$3</c:f>
              <c:strCache>
                <c:ptCount val="1"/>
                <c:pt idx="0">
                  <c:v>Sum of Total Cost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bar!$A$4:$A$8</c:f>
              <c:strCache>
                <c:ptCount val="4"/>
                <c:pt idx="0">
                  <c:v>BA</c:v>
                </c:pt>
                <c:pt idx="1">
                  <c:v>BA </c:v>
                </c:pt>
                <c:pt idx="2">
                  <c:v>DA </c:v>
                </c:pt>
                <c:pt idx="3">
                  <c:v>PY </c:v>
                </c:pt>
              </c:strCache>
            </c:strRef>
          </c:cat>
          <c:val>
            <c:numRef>
              <c:f>bar!$B$4:$B$8</c:f>
              <c:numCache>
                <c:formatCode>General</c:formatCode>
                <c:ptCount val="4"/>
                <c:pt idx="0">
                  <c:v>6681681.0700000031</c:v>
                </c:pt>
                <c:pt idx="1">
                  <c:v>6666663.8999999994</c:v>
                </c:pt>
                <c:pt idx="2">
                  <c:v>13190700.549999984</c:v>
                </c:pt>
                <c:pt idx="3">
                  <c:v>12814495.560000001</c:v>
                </c:pt>
              </c:numCache>
            </c:numRef>
          </c:val>
          <c:extLst>
            <c:ext xmlns:c16="http://schemas.microsoft.com/office/drawing/2014/chart" uri="{C3380CC4-5D6E-409C-BE32-E72D297353CC}">
              <c16:uniqueId val="{00000000-6F49-4826-8316-C15E021323D6}"/>
            </c:ext>
          </c:extLst>
        </c:ser>
        <c:ser>
          <c:idx val="1"/>
          <c:order val="1"/>
          <c:tx>
            <c:strRef>
              <c:f>bar!$C$3</c:f>
              <c:strCache>
                <c:ptCount val="1"/>
                <c:pt idx="0">
                  <c:v>Sum of Sales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bar!$A$4:$A$8</c:f>
              <c:strCache>
                <c:ptCount val="4"/>
                <c:pt idx="0">
                  <c:v>BA</c:v>
                </c:pt>
                <c:pt idx="1">
                  <c:v>BA </c:v>
                </c:pt>
                <c:pt idx="2">
                  <c:v>DA </c:v>
                </c:pt>
                <c:pt idx="3">
                  <c:v>PY </c:v>
                </c:pt>
              </c:strCache>
            </c:strRef>
          </c:cat>
          <c:val>
            <c:numRef>
              <c:f>bar!$C$4:$C$8</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2-6F49-4826-8316-C15E021323D6}"/>
            </c:ext>
          </c:extLst>
        </c:ser>
        <c:dLbls>
          <c:dLblPos val="ctr"/>
          <c:showLegendKey val="0"/>
          <c:showVal val="1"/>
          <c:showCatName val="0"/>
          <c:showSerName val="0"/>
          <c:showPercent val="0"/>
          <c:showBubbleSize val="0"/>
        </c:dLbls>
        <c:gapWidth val="150"/>
        <c:overlap val="100"/>
        <c:axId val="2139465183"/>
        <c:axId val="2074980431"/>
      </c:barChart>
      <c:catAx>
        <c:axId val="21394651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980431"/>
        <c:crosses val="autoZero"/>
        <c:auto val="1"/>
        <c:lblAlgn val="ctr"/>
        <c:lblOffset val="100"/>
        <c:noMultiLvlLbl val="0"/>
      </c:catAx>
      <c:valAx>
        <c:axId val="2074980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46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Final.xlsx]LINE CHART!PivotTable7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CONVERSION RATE BASED ON CAMPAIGN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'LINE CHART'!$A$4:$A$7</c:f>
              <c:strCache>
                <c:ptCount val="3"/>
                <c:pt idx="0">
                  <c:v>Fee included</c:v>
                </c:pt>
                <c:pt idx="1">
                  <c:v>Hiring</c:v>
                </c:pt>
                <c:pt idx="2">
                  <c:v>No monitory benefit</c:v>
                </c:pt>
              </c:strCache>
            </c:strRef>
          </c:cat>
          <c:val>
            <c:numRef>
              <c:f>'LINE CHART'!$B$4:$B$7</c:f>
              <c:numCache>
                <c:formatCode>General</c:formatCode>
                <c:ptCount val="3"/>
                <c:pt idx="0">
                  <c:v>4.9482497441146345</c:v>
                </c:pt>
                <c:pt idx="1">
                  <c:v>4.8962434782608746</c:v>
                </c:pt>
                <c:pt idx="2">
                  <c:v>4.7269238476953905</c:v>
                </c:pt>
              </c:numCache>
            </c:numRef>
          </c:val>
          <c:smooth val="0"/>
          <c:extLst>
            <c:ext xmlns:c16="http://schemas.microsoft.com/office/drawing/2014/chart" uri="{C3380CC4-5D6E-409C-BE32-E72D297353CC}">
              <c16:uniqueId val="{00000002-D221-4B38-97B2-E83C56C6583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14578447"/>
        <c:axId val="1771962191"/>
      </c:lineChart>
      <c:catAx>
        <c:axId val="191457844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1962191"/>
        <c:crosses val="autoZero"/>
        <c:auto val="1"/>
        <c:lblAlgn val="ctr"/>
        <c:lblOffset val="100"/>
        <c:noMultiLvlLbl val="0"/>
      </c:catAx>
      <c:valAx>
        <c:axId val="177196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457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Final.xlsx]column CHART!PivotTable6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BASED ON EACH CAMPAIGN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pattFill prst="ltUpDiag">
              <a:fgClr>
                <a:schemeClr val="accent6"/>
              </a:fgClr>
              <a:bgClr>
                <a:schemeClr val="lt1"/>
              </a:bgClr>
            </a:pattFill>
            <a:ln>
              <a:noFill/>
            </a:ln>
            <a:effectLst/>
          </c:spPr>
          <c:invertIfNegative val="0"/>
          <c:dLbls>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'column CHART'!$A$4:$A$8</c:f>
              <c:strCache>
                <c:ptCount val="4"/>
                <c:pt idx="0">
                  <c:v>BA</c:v>
                </c:pt>
                <c:pt idx="1">
                  <c:v>BA </c:v>
                </c:pt>
                <c:pt idx="2">
                  <c:v>DA </c:v>
                </c:pt>
                <c:pt idx="3">
                  <c:v>PY </c:v>
                </c:pt>
              </c:strCache>
            </c:strRef>
          </c:cat>
          <c:val>
            <c:numRef>
              <c:f>'column CHART'!$B$4:$B$8</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0-3922-4CDF-B953-8473488E792E}"/>
            </c:ext>
          </c:extLst>
        </c:ser>
        <c:dLbls>
          <c:dLblPos val="outEnd"/>
          <c:showLegendKey val="0"/>
          <c:showVal val="1"/>
          <c:showCatName val="0"/>
          <c:showSerName val="0"/>
          <c:showPercent val="0"/>
          <c:showBubbleSize val="0"/>
        </c:dLbls>
        <c:gapWidth val="269"/>
        <c:overlap val="-20"/>
        <c:axId val="1929317247"/>
        <c:axId val="1771952591"/>
      </c:barChart>
      <c:catAx>
        <c:axId val="19293172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71952591"/>
        <c:crosses val="autoZero"/>
        <c:auto val="1"/>
        <c:lblAlgn val="ctr"/>
        <c:lblOffset val="100"/>
        <c:noMultiLvlLbl val="0"/>
      </c:catAx>
      <c:valAx>
        <c:axId val="1771952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931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 Final.xlsx]dONUT CHART!PivotTable8</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b="1">
                <a:solidFill>
                  <a:schemeClr val="accent6">
                    <a:lumMod val="50000"/>
                  </a:schemeClr>
                </a:solidFill>
              </a:rPr>
              <a:t>TOTAL</a:t>
            </a:r>
            <a:r>
              <a:rPr lang="en-US" sz="1800" b="1" baseline="0">
                <a:solidFill>
                  <a:schemeClr val="accent6">
                    <a:lumMod val="50000"/>
                  </a:schemeClr>
                </a:solidFill>
              </a:rPr>
              <a:t> COST PER LEAD</a:t>
            </a:r>
            <a:endParaRPr lang="en-US" sz="1800" b="1">
              <a:solidFill>
                <a:schemeClr val="accent6">
                  <a:lumMod val="50000"/>
                </a:schemeClr>
              </a:solidFill>
            </a:endParaRPr>
          </a:p>
        </c:rich>
      </c:tx>
      <c:layout>
        <c:manualLayout>
          <c:xMode val="edge"/>
          <c:yMode val="edge"/>
          <c:x val="0.18936789151356082"/>
          <c:y val="9.259259259259258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'dONUT CHART'!$B$3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CHART'!$A$4:$A$8</c:f>
              <c:strCache>
                <c:ptCount val="4"/>
                <c:pt idx="0">
                  <c:v>BA</c:v>
                </c:pt>
                <c:pt idx="1">
                  <c:v>BA </c:v>
                </c:pt>
                <c:pt idx="2">
                  <c:v>DA </c:v>
                </c:pt>
                <c:pt idx="3">
                  <c:v>PY </c:v>
                </c:pt>
              </c:strCache>
            </c:strRef>
          </c:cat>
          <c:val>
            <c:numRef>
              <c:f>'dONUT CHART'!$B$4:$B$8</c:f>
              <c:numCache>
                <c:formatCode>General</c:formatCode>
                <c:ptCount val="4"/>
                <c:pt idx="0">
                  <c:v>37385.520000000011</c:v>
                </c:pt>
                <c:pt idx="1">
                  <c:v>38060.879999999997</c:v>
                </c:pt>
                <c:pt idx="2">
                  <c:v>75077.529999999766</c:v>
                </c:pt>
                <c:pt idx="3">
                  <c:v>72797.589999999924</c:v>
                </c:pt>
              </c:numCache>
            </c:numRef>
          </c:val>
          <c:extLst>
            <c:ext xmlns:c16="http://schemas.microsoft.com/office/drawing/2014/chart" uri="{C3380CC4-5D6E-409C-BE32-E72D297353CC}">
              <c16:uniqueId val="{00000000-06D0-4EE0-BF69-5C839B3A65E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[campaign_data_knovista_project Final.xlsx]COMBO CHART!PivotTable9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a:solidFill>
                  <a:schemeClr val="accent6">
                    <a:lumMod val="50000"/>
                  </a:schemeClr>
                </a:solidFill>
              </a:rPr>
              <a:t>CAMPAIGN</a:t>
            </a:r>
            <a:r>
              <a:rPr lang="en-IN" sz="1400" b="1" baseline="0">
                <a:solidFill>
                  <a:schemeClr val="accent6">
                    <a:lumMod val="50000"/>
                  </a:schemeClr>
                </a:solidFill>
              </a:rPr>
              <a:t> PERFORMANCE: SALES &amp; CONVERSION RATE</a:t>
            </a:r>
            <a:endParaRPr lang="en-IN" sz="14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9525">
              <a:solidFill>
                <a:schemeClr val="accent6">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'COMBO CHART'!$A$4:$A$8</c:f>
              <c:strCache>
                <c:ptCount val="4"/>
                <c:pt idx="0">
                  <c:v>BA</c:v>
                </c:pt>
                <c:pt idx="1">
                  <c:v>BA </c:v>
                </c:pt>
                <c:pt idx="2">
                  <c:v>DA </c:v>
                </c:pt>
                <c:pt idx="3">
                  <c:v>PY </c:v>
                </c:pt>
              </c:strCache>
            </c:strRef>
          </c:cat>
          <c:val>
            <c:numRef>
              <c:f>'COMBO CHART'!$B$4:$B$8</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0-3CB3-4C3F-8A52-F5267640D6BB}"/>
            </c:ext>
          </c:extLst>
        </c:ser>
        <c:dLbls>
          <c:showLegendKey val="0"/>
          <c:showVal val="0"/>
          <c:showCatName val="0"/>
          <c:showSerName val="0"/>
          <c:showPercent val="0"/>
          <c:showBubbleSize val="0"/>
        </c:dLbls>
        <c:gapWidth val="219"/>
        <c:axId val="2051183775"/>
        <c:axId val="1771972271"/>
      </c:barChart>
      <c:lineChart>
        <c:grouping val="standard"/>
        <c:varyColors val="0"/>
        <c:ser>
          <c:idx val="1"/>
          <c:order val="1"/>
          <c:tx>
            <c:strRef>
              <c:f>'COMBO CHART'!$C$3</c:f>
              <c:strCache>
                <c:ptCount val="1"/>
                <c:pt idx="0">
                  <c:v>Average of Conversion Rate</c:v>
                </c:pt>
              </c:strCache>
            </c:strRef>
          </c:tx>
          <c:spPr>
            <a:ln w="34925" cap="rnd">
              <a:solidFill>
                <a:schemeClr val="accent6">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9525">
                <a:solidFill>
                  <a:schemeClr val="accent6">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'COMBO CHART'!$A$4:$A$8</c:f>
              <c:strCache>
                <c:ptCount val="4"/>
                <c:pt idx="0">
                  <c:v>BA</c:v>
                </c:pt>
                <c:pt idx="1">
                  <c:v>BA </c:v>
                </c:pt>
                <c:pt idx="2">
                  <c:v>DA </c:v>
                </c:pt>
                <c:pt idx="3">
                  <c:v>PY </c:v>
                </c:pt>
              </c:strCache>
            </c:strRef>
          </c:cat>
          <c:val>
            <c:numRef>
              <c:f>'COMBO CHART'!$C$4:$C$8</c:f>
              <c:numCache>
                <c:formatCode>General</c:formatCode>
                <c:ptCount val="4"/>
                <c:pt idx="0">
                  <c:v>4.7913650151668365</c:v>
                </c:pt>
                <c:pt idx="1">
                  <c:v>4.9932416502946984</c:v>
                </c:pt>
                <c:pt idx="2">
                  <c:v>4.7881481481481512</c:v>
                </c:pt>
                <c:pt idx="3">
                  <c:v>4.9477644110275669</c:v>
                </c:pt>
              </c:numCache>
            </c:numRef>
          </c:val>
          <c:smooth val="0"/>
          <c:extLst>
            <c:ext xmlns:c16="http://schemas.microsoft.com/office/drawing/2014/chart" uri="{C3380CC4-5D6E-409C-BE32-E72D297353CC}">
              <c16:uniqueId val="{00000002-3CB3-4C3F-8A52-F5267640D6BB}"/>
            </c:ext>
          </c:extLst>
        </c:ser>
        <c:dLbls>
          <c:showLegendKey val="0"/>
          <c:showVal val="0"/>
          <c:showCatName val="0"/>
          <c:showSerName val="0"/>
          <c:showPercent val="0"/>
          <c:showBubbleSize val="0"/>
        </c:dLbls>
        <c:marker val="1"/>
        <c:smooth val="0"/>
        <c:axId val="1937685935"/>
        <c:axId val="1771968431"/>
      </c:lineChart>
      <c:catAx>
        <c:axId val="2051183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72271"/>
        <c:crosses val="autoZero"/>
        <c:auto val="1"/>
        <c:lblAlgn val="ctr"/>
        <c:lblOffset val="100"/>
        <c:noMultiLvlLbl val="0"/>
      </c:catAx>
      <c:valAx>
        <c:axId val="177197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183775"/>
        <c:crosses val="autoZero"/>
        <c:crossBetween val="between"/>
      </c:valAx>
      <c:valAx>
        <c:axId val="17719684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685935"/>
        <c:crosses val="max"/>
        <c:crossBetween val="between"/>
      </c:valAx>
      <c:catAx>
        <c:axId val="1937685935"/>
        <c:scaling>
          <c:orientation val="minMax"/>
        </c:scaling>
        <c:delete val="1"/>
        <c:axPos val="b"/>
        <c:numFmt formatCode="General" sourceLinked="1"/>
        <c:majorTickMark val="none"/>
        <c:minorTickMark val="none"/>
        <c:tickLblPos val="nextTo"/>
        <c:crossAx val="177196843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158750</xdr:rowOff>
    </xdr:from>
    <xdr:to>
      <xdr:col>19</xdr:col>
      <xdr:colOff>482600</xdr:colOff>
      <xdr:row>3</xdr:row>
      <xdr:rowOff>82550</xdr:rowOff>
    </xdr:to>
    <xdr:sp macro="" textlink="">
      <xdr:nvSpPr>
        <xdr:cNvPr id="2" name="TextBox 1">
          <a:extLst>
            <a:ext uri="{FF2B5EF4-FFF2-40B4-BE49-F238E27FC236}">
              <a16:creationId xmlns:a16="http://schemas.microsoft.com/office/drawing/2014/main" id="{11ABA018-4BD0-679D-0594-0149F61D67B1}"/>
            </a:ext>
          </a:extLst>
        </xdr:cNvPr>
        <xdr:cNvSpPr txBox="1"/>
      </xdr:nvSpPr>
      <xdr:spPr>
        <a:xfrm>
          <a:off x="0" y="158750"/>
          <a:ext cx="120650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2">
                  <a:lumMod val="50000"/>
                </a:schemeClr>
              </a:solidFill>
            </a:rPr>
            <a:t>PROJECT OVERVIEW</a:t>
          </a:r>
        </a:p>
      </xdr:txBody>
    </xdr:sp>
    <xdr:clientData/>
  </xdr:twoCellAnchor>
  <xdr:twoCellAnchor>
    <xdr:from>
      <xdr:col>0</xdr:col>
      <xdr:colOff>63500</xdr:colOff>
      <xdr:row>4</xdr:row>
      <xdr:rowOff>12700</xdr:rowOff>
    </xdr:from>
    <xdr:to>
      <xdr:col>4</xdr:col>
      <xdr:colOff>107950</xdr:colOff>
      <xdr:row>14</xdr:row>
      <xdr:rowOff>165100</xdr:rowOff>
    </xdr:to>
    <xdr:sp macro="" textlink="">
      <xdr:nvSpPr>
        <xdr:cNvPr id="3" name="TextBox 2">
          <a:extLst>
            <a:ext uri="{FF2B5EF4-FFF2-40B4-BE49-F238E27FC236}">
              <a16:creationId xmlns:a16="http://schemas.microsoft.com/office/drawing/2014/main" id="{DFD4BFA7-CA21-0D6B-EE90-6AF8A4CEA79B}"/>
            </a:ext>
          </a:extLst>
        </xdr:cNvPr>
        <xdr:cNvSpPr txBox="1"/>
      </xdr:nvSpPr>
      <xdr:spPr>
        <a:xfrm>
          <a:off x="63500" y="749300"/>
          <a:ext cx="2482850" cy="19939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PROJECT OBJECTIVE</a:t>
          </a:r>
        </a:p>
        <a:p>
          <a:endParaRPr lang="en-IN" sz="1200"/>
        </a:p>
        <a:p>
          <a:r>
            <a:rPr lang="en-IN" sz="1200"/>
            <a:t>The objective of this</a:t>
          </a:r>
          <a:r>
            <a:rPr lang="en-IN" sz="1200" baseline="0"/>
            <a:t> project is to find is there any missing values handle all the missing values. Find any duplicate records. Outlier detection also statistical analysis. Data exploration and cleaning and a final dashboard on Campaign analysis Performance</a:t>
          </a:r>
          <a:endParaRPr lang="en-IN" sz="1200"/>
        </a:p>
      </xdr:txBody>
    </xdr:sp>
    <xdr:clientData/>
  </xdr:twoCellAnchor>
  <xdr:twoCellAnchor>
    <xdr:from>
      <xdr:col>4</xdr:col>
      <xdr:colOff>273050</xdr:colOff>
      <xdr:row>4</xdr:row>
      <xdr:rowOff>25400</xdr:rowOff>
    </xdr:from>
    <xdr:to>
      <xdr:col>13</xdr:col>
      <xdr:colOff>292100</xdr:colOff>
      <xdr:row>10</xdr:row>
      <xdr:rowOff>69850</xdr:rowOff>
    </xdr:to>
    <xdr:sp macro="" textlink="">
      <xdr:nvSpPr>
        <xdr:cNvPr id="4" name="TextBox 3">
          <a:extLst>
            <a:ext uri="{FF2B5EF4-FFF2-40B4-BE49-F238E27FC236}">
              <a16:creationId xmlns:a16="http://schemas.microsoft.com/office/drawing/2014/main" id="{EB973B0A-0F49-74F8-9BA9-CEB282BD633E}"/>
            </a:ext>
          </a:extLst>
        </xdr:cNvPr>
        <xdr:cNvSpPr txBox="1"/>
      </xdr:nvSpPr>
      <xdr:spPr>
        <a:xfrm>
          <a:off x="2711450" y="762000"/>
          <a:ext cx="5505450" cy="11493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tx2">
                  <a:lumMod val="50000"/>
                </a:schemeClr>
              </a:solidFill>
            </a:rPr>
            <a:t>DATA</a:t>
          </a:r>
          <a:r>
            <a:rPr lang="en-IN" sz="1400" b="1" baseline="0">
              <a:solidFill>
                <a:schemeClr val="tx2">
                  <a:lumMod val="50000"/>
                </a:schemeClr>
              </a:solidFill>
            </a:rPr>
            <a:t> OVERVIEW</a:t>
          </a:r>
        </a:p>
        <a:p>
          <a:pPr algn="l"/>
          <a:endParaRPr lang="en-IN" sz="1200" b="0" baseline="0">
            <a:solidFill>
              <a:schemeClr val="tx1"/>
            </a:solidFill>
          </a:endParaRPr>
        </a:p>
      </xdr:txBody>
    </xdr:sp>
    <xdr:clientData/>
  </xdr:twoCellAnchor>
  <xdr:twoCellAnchor>
    <xdr:from>
      <xdr:col>8</xdr:col>
      <xdr:colOff>466725</xdr:colOff>
      <xdr:row>5</xdr:row>
      <xdr:rowOff>158750</xdr:rowOff>
    </xdr:from>
    <xdr:to>
      <xdr:col>12</xdr:col>
      <xdr:colOff>577851</xdr:colOff>
      <xdr:row>9</xdr:row>
      <xdr:rowOff>69850</xdr:rowOff>
    </xdr:to>
    <xdr:sp macro="" textlink="">
      <xdr:nvSpPr>
        <xdr:cNvPr id="5" name="TextBox 4">
          <a:extLst>
            <a:ext uri="{FF2B5EF4-FFF2-40B4-BE49-F238E27FC236}">
              <a16:creationId xmlns:a16="http://schemas.microsoft.com/office/drawing/2014/main" id="{CC0624F2-77B9-7B7A-BFED-CFA1D2605585}"/>
            </a:ext>
          </a:extLst>
        </xdr:cNvPr>
        <xdr:cNvSpPr txBox="1"/>
      </xdr:nvSpPr>
      <xdr:spPr>
        <a:xfrm>
          <a:off x="5343525" y="1079500"/>
          <a:ext cx="2549526"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missing values </a:t>
          </a:r>
        </a:p>
        <a:p>
          <a:r>
            <a:rPr lang="en-IN" sz="1100"/>
            <a:t>No duplicate record</a:t>
          </a:r>
        </a:p>
        <a:p>
          <a:r>
            <a:rPr lang="en-IN" sz="1100"/>
            <a:t>Outliers are detected</a:t>
          </a:r>
        </a:p>
      </xdr:txBody>
    </xdr:sp>
    <xdr:clientData/>
  </xdr:twoCellAnchor>
  <xdr:twoCellAnchor>
    <xdr:from>
      <xdr:col>4</xdr:col>
      <xdr:colOff>546100</xdr:colOff>
      <xdr:row>5</xdr:row>
      <xdr:rowOff>165100</xdr:rowOff>
    </xdr:from>
    <xdr:to>
      <xdr:col>8</xdr:col>
      <xdr:colOff>444500</xdr:colOff>
      <xdr:row>9</xdr:row>
      <xdr:rowOff>69850</xdr:rowOff>
    </xdr:to>
    <xdr:sp macro="" textlink="">
      <xdr:nvSpPr>
        <xdr:cNvPr id="6" name="TextBox 5">
          <a:extLst>
            <a:ext uri="{FF2B5EF4-FFF2-40B4-BE49-F238E27FC236}">
              <a16:creationId xmlns:a16="http://schemas.microsoft.com/office/drawing/2014/main" id="{625A0A9B-0E82-C466-694F-0E43009DA891}"/>
            </a:ext>
          </a:extLst>
        </xdr:cNvPr>
        <xdr:cNvSpPr txBox="1"/>
      </xdr:nvSpPr>
      <xdr:spPr>
        <a:xfrm>
          <a:off x="2984500" y="1085850"/>
          <a:ext cx="2336800" cy="64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 Missing values</a:t>
          </a:r>
        </a:p>
        <a:p>
          <a:r>
            <a:rPr lang="en-IN" sz="1100"/>
            <a:t>2. Duplicate Records</a:t>
          </a:r>
        </a:p>
        <a:p>
          <a:r>
            <a:rPr lang="en-IN" sz="1100"/>
            <a:t>3. Outliers</a:t>
          </a:r>
        </a:p>
        <a:p>
          <a:endParaRPr lang="en-IN" sz="1100"/>
        </a:p>
      </xdr:txBody>
    </xdr:sp>
    <xdr:clientData/>
  </xdr:twoCellAnchor>
  <xdr:twoCellAnchor>
    <xdr:from>
      <xdr:col>13</xdr:col>
      <xdr:colOff>514350</xdr:colOff>
      <xdr:row>4</xdr:row>
      <xdr:rowOff>6350</xdr:rowOff>
    </xdr:from>
    <xdr:to>
      <xdr:col>18</xdr:col>
      <xdr:colOff>450850</xdr:colOff>
      <xdr:row>22</xdr:row>
      <xdr:rowOff>12700</xdr:rowOff>
    </xdr:to>
    <xdr:sp macro="" textlink="">
      <xdr:nvSpPr>
        <xdr:cNvPr id="7" name="TextBox 6">
          <a:extLst>
            <a:ext uri="{FF2B5EF4-FFF2-40B4-BE49-F238E27FC236}">
              <a16:creationId xmlns:a16="http://schemas.microsoft.com/office/drawing/2014/main" id="{063BBE97-9CEC-DEA5-6B6E-5E8D90ECCD20}"/>
            </a:ext>
          </a:extLst>
        </xdr:cNvPr>
        <xdr:cNvSpPr txBox="1"/>
      </xdr:nvSpPr>
      <xdr:spPr>
        <a:xfrm>
          <a:off x="8439150" y="742950"/>
          <a:ext cx="2984500" cy="33210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FEATURE UNDERSTANDING</a:t>
          </a:r>
        </a:p>
        <a:p>
          <a:r>
            <a:rPr lang="en-IN" sz="1200" b="1">
              <a:solidFill>
                <a:schemeClr val="tx1"/>
              </a:solidFill>
            </a:rPr>
            <a:t>A. Campaign</a:t>
          </a:r>
          <a:r>
            <a:rPr lang="en-IN" sz="1200" b="1" baseline="0">
              <a:solidFill>
                <a:schemeClr val="tx1"/>
              </a:solidFill>
            </a:rPr>
            <a:t> :</a:t>
          </a:r>
          <a:r>
            <a:rPr lang="en-IN" sz="1200" b="0" baseline="0">
              <a:solidFill>
                <a:schemeClr val="tx1"/>
              </a:solidFill>
            </a:rPr>
            <a:t>  Camapign name BA,PY,DA</a:t>
          </a:r>
        </a:p>
        <a:p>
          <a:r>
            <a:rPr lang="en-IN" sz="1200" b="1" baseline="0">
              <a:solidFill>
                <a:schemeClr val="tx1"/>
              </a:solidFill>
            </a:rPr>
            <a:t>B. Location :  </a:t>
          </a:r>
          <a:r>
            <a:rPr lang="en-IN" sz="1200" b="0" baseline="0">
              <a:solidFill>
                <a:schemeClr val="tx1"/>
              </a:solidFill>
            </a:rPr>
            <a:t>The location associated with the campaign</a:t>
          </a:r>
        </a:p>
        <a:p>
          <a:r>
            <a:rPr lang="en-IN" sz="1200" b="1" baseline="0">
              <a:solidFill>
                <a:schemeClr val="tx1"/>
              </a:solidFill>
            </a:rPr>
            <a:t>C. Campaign Type : </a:t>
          </a:r>
          <a:r>
            <a:rPr lang="en-IN" sz="1200" b="0" baseline="0">
              <a:solidFill>
                <a:schemeClr val="tx1"/>
              </a:solidFill>
            </a:rPr>
            <a:t>The type of Campaign included like hiring,fee included</a:t>
          </a:r>
        </a:p>
        <a:p>
          <a:r>
            <a:rPr lang="en-IN" sz="1200" b="1" baseline="0">
              <a:solidFill>
                <a:schemeClr val="tx1"/>
              </a:solidFill>
            </a:rPr>
            <a:t>D. Total Leads : </a:t>
          </a:r>
          <a:r>
            <a:rPr lang="en-IN" sz="1200" b="0" baseline="0">
              <a:solidFill>
                <a:schemeClr val="tx1"/>
              </a:solidFill>
            </a:rPr>
            <a:t>Total number of leads generated through the campaign</a:t>
          </a:r>
        </a:p>
        <a:p>
          <a:r>
            <a:rPr lang="en-IN" sz="1200" b="1" baseline="0">
              <a:solidFill>
                <a:schemeClr val="tx1"/>
              </a:solidFill>
            </a:rPr>
            <a:t>E. Sales : </a:t>
          </a:r>
          <a:r>
            <a:rPr lang="en-IN" sz="1200" b="0" baseline="0">
              <a:solidFill>
                <a:schemeClr val="tx1"/>
              </a:solidFill>
            </a:rPr>
            <a:t>The number of leads that generated to a sale</a:t>
          </a:r>
        </a:p>
        <a:p>
          <a:r>
            <a:rPr lang="en-IN" sz="1200" b="1" baseline="0">
              <a:solidFill>
                <a:schemeClr val="tx1"/>
              </a:solidFill>
            </a:rPr>
            <a:t>F. Conversion Rate : </a:t>
          </a:r>
          <a:r>
            <a:rPr lang="en-IN" sz="1200" b="0" baseline="0">
              <a:solidFill>
                <a:schemeClr val="tx1"/>
              </a:solidFill>
            </a:rPr>
            <a:t>The percentage of leads that converted into a sale</a:t>
          </a:r>
        </a:p>
        <a:p>
          <a:r>
            <a:rPr lang="en-IN" sz="1200" b="1" baseline="0">
              <a:solidFill>
                <a:schemeClr val="tx1"/>
              </a:solidFill>
            </a:rPr>
            <a:t>G. Cost Per Lead : </a:t>
          </a:r>
          <a:r>
            <a:rPr lang="en-IN" sz="1200" b="0" baseline="0">
              <a:solidFill>
                <a:schemeClr val="tx1"/>
              </a:solidFill>
            </a:rPr>
            <a:t>Money spend on an average to generate a lead</a:t>
          </a:r>
        </a:p>
        <a:p>
          <a:r>
            <a:rPr lang="en-IN" sz="1200" b="1" baseline="0">
              <a:solidFill>
                <a:schemeClr val="tx1"/>
              </a:solidFill>
            </a:rPr>
            <a:t>H. Total cost : </a:t>
          </a:r>
          <a:r>
            <a:rPr lang="en-IN" sz="1200" b="0" baseline="0">
              <a:solidFill>
                <a:schemeClr val="tx1"/>
              </a:solidFill>
            </a:rPr>
            <a:t>Total amount spent on that Campaign</a:t>
          </a:r>
          <a:endParaRPr lang="en-IN" sz="1200" b="0">
            <a:solidFill>
              <a:schemeClr val="tx1"/>
            </a:solidFill>
          </a:endParaRPr>
        </a:p>
      </xdr:txBody>
    </xdr:sp>
    <xdr:clientData/>
  </xdr:twoCellAnchor>
  <xdr:twoCellAnchor>
    <xdr:from>
      <xdr:col>4</xdr:col>
      <xdr:colOff>279400</xdr:colOff>
      <xdr:row>11</xdr:row>
      <xdr:rowOff>88900</xdr:rowOff>
    </xdr:from>
    <xdr:to>
      <xdr:col>13</xdr:col>
      <xdr:colOff>298450</xdr:colOff>
      <xdr:row>27</xdr:row>
      <xdr:rowOff>57150</xdr:rowOff>
    </xdr:to>
    <xdr:sp macro="" textlink="">
      <xdr:nvSpPr>
        <xdr:cNvPr id="8" name="TextBox 7">
          <a:extLst>
            <a:ext uri="{FF2B5EF4-FFF2-40B4-BE49-F238E27FC236}">
              <a16:creationId xmlns:a16="http://schemas.microsoft.com/office/drawing/2014/main" id="{18E7895D-546C-63AF-CA29-73B332A3F1A5}"/>
            </a:ext>
          </a:extLst>
        </xdr:cNvPr>
        <xdr:cNvSpPr txBox="1"/>
      </xdr:nvSpPr>
      <xdr:spPr>
        <a:xfrm>
          <a:off x="2717800" y="2114550"/>
          <a:ext cx="5505450" cy="29146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INSIGHTS</a:t>
          </a:r>
          <a:r>
            <a:rPr lang="en-IN" sz="1400" b="1" baseline="0">
              <a:solidFill>
                <a:schemeClr val="tx2">
                  <a:lumMod val="50000"/>
                </a:schemeClr>
              </a:solidFill>
            </a:rPr>
            <a:t> OF PIVOT TABLE OR CHART</a:t>
          </a:r>
        </a:p>
        <a:p>
          <a:endParaRPr lang="en-IN" sz="1100" b="0">
            <a:solidFill>
              <a:schemeClr val="tx1"/>
            </a:solidFill>
          </a:endParaRPr>
        </a:p>
        <a:p>
          <a:r>
            <a:rPr lang="en-IN" sz="1100" b="1">
              <a:solidFill>
                <a:schemeClr val="tx1"/>
              </a:solidFill>
            </a:rPr>
            <a:t>OVERALL</a:t>
          </a:r>
          <a:r>
            <a:rPr lang="en-IN" sz="1100" b="1" baseline="0">
              <a:solidFill>
                <a:schemeClr val="tx1"/>
              </a:solidFill>
            </a:rPr>
            <a:t> PERFORMANCE</a:t>
          </a:r>
        </a:p>
        <a:p>
          <a:endParaRPr lang="en-IN" sz="1100" b="1" baseline="0">
            <a:solidFill>
              <a:schemeClr val="tx1"/>
            </a:solidFill>
          </a:endParaRPr>
        </a:p>
        <a:p>
          <a:r>
            <a:rPr lang="en-IN" sz="1100" b="1" baseline="0">
              <a:solidFill>
                <a:schemeClr val="tx1"/>
              </a:solidFill>
            </a:rPr>
            <a:t>TOTAL LEADS: 1,058,107</a:t>
          </a:r>
        </a:p>
        <a:p>
          <a:r>
            <a:rPr lang="en-IN" sz="1100" b="1" baseline="0">
              <a:solidFill>
                <a:schemeClr val="tx1"/>
              </a:solidFill>
            </a:rPr>
            <a:t>TOTAL SALES: 51,929</a:t>
          </a:r>
        </a:p>
        <a:p>
          <a:r>
            <a:rPr lang="en-IN" sz="1100" b="1" baseline="0">
              <a:solidFill>
                <a:schemeClr val="tx1"/>
              </a:solidFill>
            </a:rPr>
            <a:t>AVERAGE CONVERSION RATE: 4.88%</a:t>
          </a:r>
        </a:p>
        <a:p>
          <a:r>
            <a:rPr lang="en-IN" sz="1100" b="1" baseline="0">
              <a:solidFill>
                <a:schemeClr val="tx1"/>
              </a:solidFill>
            </a:rPr>
            <a:t>TOTAL CAMPAIGN COST: 39.5 MILLION</a:t>
          </a:r>
        </a:p>
        <a:p>
          <a:r>
            <a:rPr lang="en-IN" sz="1100" b="1" baseline="0">
              <a:solidFill>
                <a:schemeClr val="tx1"/>
              </a:solidFill>
            </a:rPr>
            <a:t>OVERALL COST PER LEAD: ABOUT 22.33</a:t>
          </a:r>
        </a:p>
        <a:p>
          <a:endParaRPr lang="en-IN" sz="1100" b="1" baseline="0">
            <a:solidFill>
              <a:schemeClr val="tx1"/>
            </a:solidFill>
          </a:endParaRPr>
        </a:p>
        <a:p>
          <a:r>
            <a:rPr lang="en-IN" sz="1100" b="1" baseline="0">
              <a:solidFill>
                <a:schemeClr val="tx1"/>
              </a:solidFill>
            </a:rPr>
            <a:t>2. PY is the strogest Campaign by Sales. From the given chart PY generates the highest number of sales and maintaining a strong Conversion rate</a:t>
          </a:r>
        </a:p>
        <a:p>
          <a:r>
            <a:rPr lang="en-IN" sz="1100" b="1" baseline="0">
              <a:solidFill>
                <a:schemeClr val="tx1"/>
              </a:solidFill>
            </a:rPr>
            <a:t>3. DA also generates a highest sale but the conversion rate is low and highest cost.</a:t>
          </a:r>
        </a:p>
        <a:p>
          <a:r>
            <a:rPr lang="en-IN" sz="1100" b="1" baseline="0">
              <a:solidFill>
                <a:schemeClr val="tx1"/>
              </a:solidFill>
            </a:rPr>
            <a:t>4. PY appears to be cost-efficient. </a:t>
          </a:r>
        </a:p>
        <a:p>
          <a:r>
            <a:rPr lang="en-IN" sz="1100" b="1" baseline="0">
              <a:solidFill>
                <a:schemeClr val="tx1"/>
              </a:solidFill>
            </a:rPr>
            <a:t>5. BA sales are less but the conversion rate is good.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38100</xdr:rowOff>
    </xdr:from>
    <xdr:to>
      <xdr:col>19</xdr:col>
      <xdr:colOff>450850</xdr:colOff>
      <xdr:row>3</xdr:row>
      <xdr:rowOff>139700</xdr:rowOff>
    </xdr:to>
    <xdr:sp macro="" textlink="">
      <xdr:nvSpPr>
        <xdr:cNvPr id="2" name="TextBox 1">
          <a:extLst>
            <a:ext uri="{FF2B5EF4-FFF2-40B4-BE49-F238E27FC236}">
              <a16:creationId xmlns:a16="http://schemas.microsoft.com/office/drawing/2014/main" id="{7A2CA697-B051-348E-78C3-85DA85EEFB34}"/>
            </a:ext>
          </a:extLst>
        </xdr:cNvPr>
        <xdr:cNvSpPr txBox="1"/>
      </xdr:nvSpPr>
      <xdr:spPr>
        <a:xfrm>
          <a:off x="12700" y="38100"/>
          <a:ext cx="12020550" cy="6540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accent2">
                  <a:lumMod val="75000"/>
                </a:schemeClr>
              </a:solidFill>
              <a:latin typeface="Arial Black" panose="020B0A04020102020204" pitchFamily="34" charset="0"/>
            </a:rPr>
            <a:t>CAMPAIGN PERFORMANCE ANALYSIS</a:t>
          </a:r>
        </a:p>
      </xdr:txBody>
    </xdr:sp>
    <xdr:clientData/>
  </xdr:twoCellAnchor>
  <xdr:twoCellAnchor>
    <xdr:from>
      <xdr:col>0</xdr:col>
      <xdr:colOff>158750</xdr:colOff>
      <xdr:row>3</xdr:row>
      <xdr:rowOff>152400</xdr:rowOff>
    </xdr:from>
    <xdr:to>
      <xdr:col>3</xdr:col>
      <xdr:colOff>330200</xdr:colOff>
      <xdr:row>7</xdr:row>
      <xdr:rowOff>158750</xdr:rowOff>
    </xdr:to>
    <xdr:sp macro="" textlink="">
      <xdr:nvSpPr>
        <xdr:cNvPr id="3" name="Rectangle: Rounded Corners 2">
          <a:extLst>
            <a:ext uri="{FF2B5EF4-FFF2-40B4-BE49-F238E27FC236}">
              <a16:creationId xmlns:a16="http://schemas.microsoft.com/office/drawing/2014/main" id="{07A39B15-B623-4A3A-53B3-DA2EA4866FD1}"/>
            </a:ext>
          </a:extLst>
        </xdr:cNvPr>
        <xdr:cNvSpPr/>
      </xdr:nvSpPr>
      <xdr:spPr>
        <a:xfrm>
          <a:off x="158750" y="704850"/>
          <a:ext cx="2000250" cy="742950"/>
        </a:xfrm>
        <a:prstGeom prst="round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3500000" scaled="1"/>
          <a:tileRect/>
        </a:gradFill>
        <a:effectLst>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LEADS</a:t>
          </a:r>
          <a:endParaRPr lang="en-IN" sz="1400" b="1">
            <a:solidFill>
              <a:schemeClr val="tx1"/>
            </a:solidFill>
          </a:endParaRPr>
        </a:p>
      </xdr:txBody>
    </xdr:sp>
    <xdr:clientData/>
  </xdr:twoCellAnchor>
  <xdr:twoCellAnchor>
    <xdr:from>
      <xdr:col>3</xdr:col>
      <xdr:colOff>552450</xdr:colOff>
      <xdr:row>3</xdr:row>
      <xdr:rowOff>171450</xdr:rowOff>
    </xdr:from>
    <xdr:to>
      <xdr:col>7</xdr:col>
      <xdr:colOff>127000</xdr:colOff>
      <xdr:row>7</xdr:row>
      <xdr:rowOff>158750</xdr:rowOff>
    </xdr:to>
    <xdr:sp macro="" textlink="">
      <xdr:nvSpPr>
        <xdr:cNvPr id="4" name="Rectangle: Rounded Corners 3">
          <a:extLst>
            <a:ext uri="{FF2B5EF4-FFF2-40B4-BE49-F238E27FC236}">
              <a16:creationId xmlns:a16="http://schemas.microsoft.com/office/drawing/2014/main" id="{14119917-8379-0250-E94A-51BB049E0C38}"/>
            </a:ext>
          </a:extLst>
        </xdr:cNvPr>
        <xdr:cNvSpPr/>
      </xdr:nvSpPr>
      <xdr:spPr>
        <a:xfrm>
          <a:off x="2381250" y="723900"/>
          <a:ext cx="2012950" cy="723900"/>
        </a:xfrm>
        <a:prstGeom prst="round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3500000" scaled="1"/>
          <a:tileRect/>
        </a:gradFill>
        <a:effectLst>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7</xdr:col>
      <xdr:colOff>349250</xdr:colOff>
      <xdr:row>3</xdr:row>
      <xdr:rowOff>177800</xdr:rowOff>
    </xdr:from>
    <xdr:to>
      <xdr:col>11</xdr:col>
      <xdr:colOff>152400</xdr:colOff>
      <xdr:row>8</xdr:row>
      <xdr:rowOff>6350</xdr:rowOff>
    </xdr:to>
    <xdr:sp macro="" textlink="">
      <xdr:nvSpPr>
        <xdr:cNvPr id="5" name="Rectangle: Rounded Corners 4">
          <a:extLst>
            <a:ext uri="{FF2B5EF4-FFF2-40B4-BE49-F238E27FC236}">
              <a16:creationId xmlns:a16="http://schemas.microsoft.com/office/drawing/2014/main" id="{3FEC8EB3-EB58-413D-7490-250A7B73A5A1}"/>
            </a:ext>
          </a:extLst>
        </xdr:cNvPr>
        <xdr:cNvSpPr/>
      </xdr:nvSpPr>
      <xdr:spPr>
        <a:xfrm>
          <a:off x="4616450" y="730250"/>
          <a:ext cx="2241550" cy="749300"/>
        </a:xfrm>
        <a:prstGeom prst="round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3500000" scaled="1"/>
          <a:tileRect/>
        </a:gradFill>
        <a:effectLst>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AVG</a:t>
          </a:r>
          <a:r>
            <a:rPr lang="en-IN" sz="1400" b="1" baseline="0">
              <a:solidFill>
                <a:schemeClr val="tx1"/>
              </a:solidFill>
            </a:rPr>
            <a:t> CONVERSION RATE</a:t>
          </a:r>
          <a:endParaRPr lang="en-IN" sz="1400" b="1">
            <a:solidFill>
              <a:schemeClr val="tx1"/>
            </a:solidFill>
          </a:endParaRPr>
        </a:p>
      </xdr:txBody>
    </xdr:sp>
    <xdr:clientData/>
  </xdr:twoCellAnchor>
  <xdr:twoCellAnchor>
    <xdr:from>
      <xdr:col>11</xdr:col>
      <xdr:colOff>374650</xdr:colOff>
      <xdr:row>3</xdr:row>
      <xdr:rowOff>171450</xdr:rowOff>
    </xdr:from>
    <xdr:to>
      <xdr:col>14</xdr:col>
      <xdr:colOff>558800</xdr:colOff>
      <xdr:row>8</xdr:row>
      <xdr:rowOff>19050</xdr:rowOff>
    </xdr:to>
    <xdr:sp macro="" textlink="">
      <xdr:nvSpPr>
        <xdr:cNvPr id="6" name="Rectangle: Rounded Corners 5">
          <a:extLst>
            <a:ext uri="{FF2B5EF4-FFF2-40B4-BE49-F238E27FC236}">
              <a16:creationId xmlns:a16="http://schemas.microsoft.com/office/drawing/2014/main" id="{A636CA7F-5F73-BA86-F9D1-A71BCB98748D}"/>
            </a:ext>
          </a:extLst>
        </xdr:cNvPr>
        <xdr:cNvSpPr/>
      </xdr:nvSpPr>
      <xdr:spPr>
        <a:xfrm>
          <a:off x="7080250" y="723900"/>
          <a:ext cx="2012950" cy="768350"/>
        </a:xfrm>
        <a:prstGeom prst="round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3500000" scaled="1"/>
          <a:tileRect/>
        </a:gradFill>
        <a:effectLst>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COST</a:t>
          </a:r>
          <a:r>
            <a:rPr lang="en-IN" sz="1400" b="1" baseline="0">
              <a:solidFill>
                <a:schemeClr val="tx1"/>
              </a:solidFill>
            </a:rPr>
            <a:t> PER LEAD</a:t>
          </a:r>
          <a:endParaRPr lang="en-IN" sz="1400" b="1">
            <a:solidFill>
              <a:schemeClr val="tx1"/>
            </a:solidFill>
          </a:endParaRPr>
        </a:p>
      </xdr:txBody>
    </xdr:sp>
    <xdr:clientData/>
  </xdr:twoCellAnchor>
  <xdr:twoCellAnchor>
    <xdr:from>
      <xdr:col>15</xdr:col>
      <xdr:colOff>196850</xdr:colOff>
      <xdr:row>3</xdr:row>
      <xdr:rowOff>158750</xdr:rowOff>
    </xdr:from>
    <xdr:to>
      <xdr:col>17</xdr:col>
      <xdr:colOff>247650</xdr:colOff>
      <xdr:row>7</xdr:row>
      <xdr:rowOff>171450</xdr:rowOff>
    </xdr:to>
    <xdr:sp macro="" textlink="">
      <xdr:nvSpPr>
        <xdr:cNvPr id="7" name="Rectangle: Rounded Corners 6">
          <a:extLst>
            <a:ext uri="{FF2B5EF4-FFF2-40B4-BE49-F238E27FC236}">
              <a16:creationId xmlns:a16="http://schemas.microsoft.com/office/drawing/2014/main" id="{8E32455B-78E2-01EE-B4F3-46D31DA36D69}"/>
            </a:ext>
          </a:extLst>
        </xdr:cNvPr>
        <xdr:cNvSpPr/>
      </xdr:nvSpPr>
      <xdr:spPr>
        <a:xfrm>
          <a:off x="9340850" y="711200"/>
          <a:ext cx="2082800" cy="749300"/>
        </a:xfrm>
        <a:prstGeom prst="round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3500000" scaled="1"/>
          <a:tileRect/>
        </a:gradFill>
        <a:effectLst>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COST</a:t>
          </a:r>
        </a:p>
      </xdr:txBody>
    </xdr:sp>
    <xdr:clientData/>
  </xdr:twoCellAnchor>
  <xdr:twoCellAnchor>
    <xdr:from>
      <xdr:col>1</xdr:col>
      <xdr:colOff>12700</xdr:colOff>
      <xdr:row>5</xdr:row>
      <xdr:rowOff>82550</xdr:rowOff>
    </xdr:from>
    <xdr:to>
      <xdr:col>2</xdr:col>
      <xdr:colOff>387350</xdr:colOff>
      <xdr:row>7</xdr:row>
      <xdr:rowOff>38100</xdr:rowOff>
    </xdr:to>
    <xdr:sp macro="" textlink="'kpi card'!A10">
      <xdr:nvSpPr>
        <xdr:cNvPr id="8" name="TextBox 7">
          <a:extLst>
            <a:ext uri="{FF2B5EF4-FFF2-40B4-BE49-F238E27FC236}">
              <a16:creationId xmlns:a16="http://schemas.microsoft.com/office/drawing/2014/main" id="{AD64117B-2EE2-4836-60E7-C3B30E6B2A24}"/>
            </a:ext>
          </a:extLst>
        </xdr:cNvPr>
        <xdr:cNvSpPr txBox="1"/>
      </xdr:nvSpPr>
      <xdr:spPr>
        <a:xfrm>
          <a:off x="622300" y="1003300"/>
          <a:ext cx="98425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56F8AD-D48B-4FDC-84F3-6F67EC686D3F}" type="TxLink">
            <a:rPr lang="en-US" sz="1400" b="1" i="0" u="none" strike="noStrike">
              <a:solidFill>
                <a:srgbClr val="000000"/>
              </a:solidFill>
              <a:latin typeface="Calibri"/>
              <a:ea typeface="Calibri"/>
              <a:cs typeface="Calibri"/>
            </a:rPr>
            <a:pPr algn="ctr"/>
            <a:t>1058107</a:t>
          </a:fld>
          <a:endParaRPr lang="en-IN" sz="1400" b="1"/>
        </a:p>
      </xdr:txBody>
    </xdr:sp>
    <xdr:clientData/>
  </xdr:twoCellAnchor>
  <xdr:twoCellAnchor>
    <xdr:from>
      <xdr:col>4</xdr:col>
      <xdr:colOff>355600</xdr:colOff>
      <xdr:row>5</xdr:row>
      <xdr:rowOff>127000</xdr:rowOff>
    </xdr:from>
    <xdr:to>
      <xdr:col>6</xdr:col>
      <xdr:colOff>311150</xdr:colOff>
      <xdr:row>7</xdr:row>
      <xdr:rowOff>88900</xdr:rowOff>
    </xdr:to>
    <xdr:sp macro="" textlink="'kpi card'!C10">
      <xdr:nvSpPr>
        <xdr:cNvPr id="9" name="TextBox 8">
          <a:extLst>
            <a:ext uri="{FF2B5EF4-FFF2-40B4-BE49-F238E27FC236}">
              <a16:creationId xmlns:a16="http://schemas.microsoft.com/office/drawing/2014/main" id="{2736CF7C-2778-56E9-6647-6FADEAF6BD82}"/>
            </a:ext>
          </a:extLst>
        </xdr:cNvPr>
        <xdr:cNvSpPr txBox="1"/>
      </xdr:nvSpPr>
      <xdr:spPr>
        <a:xfrm>
          <a:off x="2794000" y="1047750"/>
          <a:ext cx="1174750" cy="3302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9B26DA-0786-4CD9-A063-3C23EFEF912C}" type="TxLink">
            <a:rPr lang="en-US" sz="1400" b="1" i="0" u="none" strike="noStrike">
              <a:solidFill>
                <a:srgbClr val="000000"/>
              </a:solidFill>
              <a:latin typeface="Calibri"/>
              <a:ea typeface="Calibri"/>
              <a:cs typeface="Calibri"/>
            </a:rPr>
            <a:pPr algn="ctr"/>
            <a:t>51929</a:t>
          </a:fld>
          <a:endParaRPr lang="en-IN" sz="1400" b="1"/>
        </a:p>
      </xdr:txBody>
    </xdr:sp>
    <xdr:clientData/>
  </xdr:twoCellAnchor>
  <xdr:twoCellAnchor>
    <xdr:from>
      <xdr:col>8</xdr:col>
      <xdr:colOff>311150</xdr:colOff>
      <xdr:row>5</xdr:row>
      <xdr:rowOff>146050</xdr:rowOff>
    </xdr:from>
    <xdr:to>
      <xdr:col>10</xdr:col>
      <xdr:colOff>152400</xdr:colOff>
      <xdr:row>7</xdr:row>
      <xdr:rowOff>88900</xdr:rowOff>
    </xdr:to>
    <xdr:sp macro="" textlink="'kpi card'!E10">
      <xdr:nvSpPr>
        <xdr:cNvPr id="10" name="TextBox 9">
          <a:extLst>
            <a:ext uri="{FF2B5EF4-FFF2-40B4-BE49-F238E27FC236}">
              <a16:creationId xmlns:a16="http://schemas.microsoft.com/office/drawing/2014/main" id="{B8EE71FF-F50A-D995-5A1C-4595AC7A18F8}"/>
            </a:ext>
          </a:extLst>
        </xdr:cNvPr>
        <xdr:cNvSpPr txBox="1"/>
      </xdr:nvSpPr>
      <xdr:spPr>
        <a:xfrm>
          <a:off x="5187950" y="1066800"/>
          <a:ext cx="1060450" cy="311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D12F94-C7B7-4426-BEC6-517D993642FD}" type="TxLink">
            <a:rPr lang="en-US" sz="1600" b="1" i="0" u="none" strike="noStrike">
              <a:solidFill>
                <a:srgbClr val="000000"/>
              </a:solidFill>
              <a:latin typeface="Calibri"/>
              <a:ea typeface="Calibri"/>
              <a:cs typeface="Calibri"/>
            </a:rPr>
            <a:pPr algn="ctr"/>
            <a:t>4.876548333</a:t>
          </a:fld>
          <a:endParaRPr lang="en-IN" sz="1600" b="1"/>
        </a:p>
      </xdr:txBody>
    </xdr:sp>
    <xdr:clientData/>
  </xdr:twoCellAnchor>
  <xdr:twoCellAnchor>
    <xdr:from>
      <xdr:col>12</xdr:col>
      <xdr:colOff>184150</xdr:colOff>
      <xdr:row>5</xdr:row>
      <xdr:rowOff>101600</xdr:rowOff>
    </xdr:from>
    <xdr:to>
      <xdr:col>14</xdr:col>
      <xdr:colOff>171450</xdr:colOff>
      <xdr:row>7</xdr:row>
      <xdr:rowOff>146050</xdr:rowOff>
    </xdr:to>
    <xdr:sp macro="" textlink="'kpi card'!G6">
      <xdr:nvSpPr>
        <xdr:cNvPr id="11" name="TextBox 10">
          <a:extLst>
            <a:ext uri="{FF2B5EF4-FFF2-40B4-BE49-F238E27FC236}">
              <a16:creationId xmlns:a16="http://schemas.microsoft.com/office/drawing/2014/main" id="{868D8D18-F106-A61F-C5E8-7B0E0E8EF103}"/>
            </a:ext>
          </a:extLst>
        </xdr:cNvPr>
        <xdr:cNvSpPr txBox="1"/>
      </xdr:nvSpPr>
      <xdr:spPr>
        <a:xfrm>
          <a:off x="7499350" y="1022350"/>
          <a:ext cx="1206500" cy="4127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4DC4B-DF65-4373-BC02-1943CFC16FE5}" type="TxLink">
            <a:rPr lang="en-US" sz="1400" b="1" i="0" u="none" strike="noStrike">
              <a:solidFill>
                <a:srgbClr val="000000"/>
              </a:solidFill>
              <a:latin typeface="Calibri"/>
              <a:ea typeface="Calibri"/>
              <a:cs typeface="Calibri"/>
            </a:rPr>
            <a:pPr algn="ctr"/>
            <a:t>223321.52</a:t>
          </a:fld>
          <a:endParaRPr lang="en-IN" sz="1400" b="1"/>
        </a:p>
      </xdr:txBody>
    </xdr:sp>
    <xdr:clientData/>
  </xdr:twoCellAnchor>
  <xdr:twoCellAnchor>
    <xdr:from>
      <xdr:col>15</xdr:col>
      <xdr:colOff>812800</xdr:colOff>
      <xdr:row>5</xdr:row>
      <xdr:rowOff>114300</xdr:rowOff>
    </xdr:from>
    <xdr:to>
      <xdr:col>16</xdr:col>
      <xdr:colOff>558800</xdr:colOff>
      <xdr:row>7</xdr:row>
      <xdr:rowOff>38100</xdr:rowOff>
    </xdr:to>
    <xdr:sp macro="" textlink="'kpi card'!G11">
      <xdr:nvSpPr>
        <xdr:cNvPr id="12" name="TextBox 11">
          <a:extLst>
            <a:ext uri="{FF2B5EF4-FFF2-40B4-BE49-F238E27FC236}">
              <a16:creationId xmlns:a16="http://schemas.microsoft.com/office/drawing/2014/main" id="{A4D08712-3F7A-DEC1-972A-BCD7069B23C8}"/>
            </a:ext>
          </a:extLst>
        </xdr:cNvPr>
        <xdr:cNvSpPr txBox="1"/>
      </xdr:nvSpPr>
      <xdr:spPr>
        <a:xfrm>
          <a:off x="9956800" y="1035050"/>
          <a:ext cx="9906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7F303B-B423-4995-940F-DE67F1D411C4}" type="TxLink">
            <a:rPr lang="en-US" sz="1400" b="1" i="0" u="none" strike="noStrike">
              <a:solidFill>
                <a:srgbClr val="000000"/>
              </a:solidFill>
              <a:latin typeface="Calibri"/>
              <a:ea typeface="Calibri"/>
              <a:cs typeface="Calibri"/>
            </a:rPr>
            <a:t>39353541.08</a:t>
          </a:fld>
          <a:endParaRPr lang="en-IN" sz="1400" b="1"/>
        </a:p>
      </xdr:txBody>
    </xdr:sp>
    <xdr:clientData/>
  </xdr:twoCellAnchor>
  <xdr:twoCellAnchor>
    <xdr:from>
      <xdr:col>0</xdr:col>
      <xdr:colOff>114300</xdr:colOff>
      <xdr:row>8</xdr:row>
      <xdr:rowOff>120650</xdr:rowOff>
    </xdr:from>
    <xdr:to>
      <xdr:col>5</xdr:col>
      <xdr:colOff>450850</xdr:colOff>
      <xdr:row>21</xdr:row>
      <xdr:rowOff>38100</xdr:rowOff>
    </xdr:to>
    <xdr:graphicFrame macro="">
      <xdr:nvGraphicFramePr>
        <xdr:cNvPr id="13" name="Chart 12">
          <a:extLst>
            <a:ext uri="{FF2B5EF4-FFF2-40B4-BE49-F238E27FC236}">
              <a16:creationId xmlns:a16="http://schemas.microsoft.com/office/drawing/2014/main" id="{9473CE44-27E5-413C-84B4-6F33503E1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xdr:colOff>
      <xdr:row>8</xdr:row>
      <xdr:rowOff>152400</xdr:rowOff>
    </xdr:from>
    <xdr:to>
      <xdr:col>12</xdr:col>
      <xdr:colOff>482600</xdr:colOff>
      <xdr:row>21</xdr:row>
      <xdr:rowOff>19050</xdr:rowOff>
    </xdr:to>
    <xdr:graphicFrame macro="">
      <xdr:nvGraphicFramePr>
        <xdr:cNvPr id="14" name="Chart 13">
          <a:extLst>
            <a:ext uri="{FF2B5EF4-FFF2-40B4-BE49-F238E27FC236}">
              <a16:creationId xmlns:a16="http://schemas.microsoft.com/office/drawing/2014/main" id="{99FA8240-7974-4136-AA51-50FE3DE60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21</xdr:row>
      <xdr:rowOff>146050</xdr:rowOff>
    </xdr:from>
    <xdr:to>
      <xdr:col>12</xdr:col>
      <xdr:colOff>514350</xdr:colOff>
      <xdr:row>36</xdr:row>
      <xdr:rowOff>127000</xdr:rowOff>
    </xdr:to>
    <xdr:graphicFrame macro="">
      <xdr:nvGraphicFramePr>
        <xdr:cNvPr id="15" name="Chart 14">
          <a:extLst>
            <a:ext uri="{FF2B5EF4-FFF2-40B4-BE49-F238E27FC236}">
              <a16:creationId xmlns:a16="http://schemas.microsoft.com/office/drawing/2014/main" id="{69479A3B-B0D6-4464-8F18-3BCFF6A29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120650</xdr:colOff>
      <xdr:row>21</xdr:row>
      <xdr:rowOff>127000</xdr:rowOff>
    </xdr:from>
    <xdr:to>
      <xdr:col>5</xdr:col>
      <xdr:colOff>463550</xdr:colOff>
      <xdr:row>36</xdr:row>
      <xdr:rowOff>139700</xdr:rowOff>
    </xdr:to>
    <xdr:graphicFrame macro="">
      <xdr:nvGraphicFramePr>
        <xdr:cNvPr id="16" name="Chart 15">
          <a:extLst>
            <a:ext uri="{FF2B5EF4-FFF2-40B4-BE49-F238E27FC236}">
              <a16:creationId xmlns:a16="http://schemas.microsoft.com/office/drawing/2014/main" id="{9A87746E-6B06-463E-8B6A-648A16FBD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577850</xdr:colOff>
      <xdr:row>8</xdr:row>
      <xdr:rowOff>114300</xdr:rowOff>
    </xdr:from>
    <xdr:to>
      <xdr:col>17</xdr:col>
      <xdr:colOff>342900</xdr:colOff>
      <xdr:row>36</xdr:row>
      <xdr:rowOff>114300</xdr:rowOff>
    </xdr:to>
    <xdr:graphicFrame macro="">
      <xdr:nvGraphicFramePr>
        <xdr:cNvPr id="17" name="Chart 16">
          <a:extLst>
            <a:ext uri="{FF2B5EF4-FFF2-40B4-BE49-F238E27FC236}">
              <a16:creationId xmlns:a16="http://schemas.microsoft.com/office/drawing/2014/main" id="{091D618E-DF68-49EF-8062-E539F98E5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190500</xdr:colOff>
      <xdr:row>0</xdr:row>
      <xdr:rowOff>38100</xdr:rowOff>
    </xdr:from>
    <xdr:to>
      <xdr:col>16</xdr:col>
      <xdr:colOff>774700</xdr:colOff>
      <xdr:row>3</xdr:row>
      <xdr:rowOff>120650</xdr:rowOff>
    </xdr:to>
    <mc:AlternateContent xmlns:mc="http://schemas.openxmlformats.org/markup-compatibility/2006">
      <mc:Choice xmlns:a14="http://schemas.microsoft.com/office/drawing/2010/main" Requires="a14">
        <xdr:graphicFrame macro="">
          <xdr:nvGraphicFramePr>
            <xdr:cNvPr id="19" name="Campaign 1">
              <a:extLst>
                <a:ext uri="{FF2B5EF4-FFF2-40B4-BE49-F238E27FC236}">
                  <a16:creationId xmlns:a16="http://schemas.microsoft.com/office/drawing/2014/main" id="{04615892-A9B7-4558-AD59-62400793CE2A}"/>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dr:sp macro="" textlink="">
          <xdr:nvSpPr>
            <xdr:cNvPr id="0" name=""/>
            <xdr:cNvSpPr>
              <a:spLocks noTextEdit="1"/>
            </xdr:cNvSpPr>
          </xdr:nvSpPr>
          <xdr:spPr>
            <a:xfrm>
              <a:off x="9334500" y="38100"/>
              <a:ext cx="18288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41275</xdr:rowOff>
    </xdr:from>
    <xdr:to>
      <xdr:col>10</xdr:col>
      <xdr:colOff>323850</xdr:colOff>
      <xdr:row>17</xdr:row>
      <xdr:rowOff>22225</xdr:rowOff>
    </xdr:to>
    <xdr:graphicFrame macro="">
      <xdr:nvGraphicFramePr>
        <xdr:cNvPr id="2" name="Chart 1">
          <a:extLst>
            <a:ext uri="{FF2B5EF4-FFF2-40B4-BE49-F238E27FC236}">
              <a16:creationId xmlns:a16="http://schemas.microsoft.com/office/drawing/2014/main" id="{0C073B1A-7F4F-1163-AA7D-340789BF5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466725</xdr:colOff>
      <xdr:row>2</xdr:row>
      <xdr:rowOff>41275</xdr:rowOff>
    </xdr:from>
    <xdr:to>
      <xdr:col>13</xdr:col>
      <xdr:colOff>161925</xdr:colOff>
      <xdr:row>17</xdr:row>
      <xdr:rowOff>22225</xdr:rowOff>
    </xdr:to>
    <xdr:graphicFrame macro="">
      <xdr:nvGraphicFramePr>
        <xdr:cNvPr id="2" name="Chart 1">
          <a:extLst>
            <a:ext uri="{FF2B5EF4-FFF2-40B4-BE49-F238E27FC236}">
              <a16:creationId xmlns:a16="http://schemas.microsoft.com/office/drawing/2014/main" id="{F6C11FE4-5C56-41F6-0EAD-766EE1A02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2</xdr:row>
      <xdr:rowOff>41275</xdr:rowOff>
    </xdr:from>
    <xdr:to>
      <xdr:col>10</xdr:col>
      <xdr:colOff>323850</xdr:colOff>
      <xdr:row>17</xdr:row>
      <xdr:rowOff>22225</xdr:rowOff>
    </xdr:to>
    <xdr:graphicFrame macro="">
      <xdr:nvGraphicFramePr>
        <xdr:cNvPr id="2" name="Chart 1">
          <a:extLst>
            <a:ext uri="{FF2B5EF4-FFF2-40B4-BE49-F238E27FC236}">
              <a16:creationId xmlns:a16="http://schemas.microsoft.com/office/drawing/2014/main" id="{93000C00-CC99-39AF-06E7-E67B0F926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2</xdr:row>
      <xdr:rowOff>41275</xdr:rowOff>
    </xdr:from>
    <xdr:to>
      <xdr:col>10</xdr:col>
      <xdr:colOff>323850</xdr:colOff>
      <xdr:row>17</xdr:row>
      <xdr:rowOff>22225</xdr:rowOff>
    </xdr:to>
    <xdr:graphicFrame macro="">
      <xdr:nvGraphicFramePr>
        <xdr:cNvPr id="2" name="Chart 1">
          <a:extLst>
            <a:ext uri="{FF2B5EF4-FFF2-40B4-BE49-F238E27FC236}">
              <a16:creationId xmlns:a16="http://schemas.microsoft.com/office/drawing/2014/main" id="{2CDD04BD-3B96-2FA4-D86D-CB88FBA02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85725</xdr:colOff>
      <xdr:row>2</xdr:row>
      <xdr:rowOff>53975</xdr:rowOff>
    </xdr:from>
    <xdr:to>
      <xdr:col>11</xdr:col>
      <xdr:colOff>390525</xdr:colOff>
      <xdr:row>17</xdr:row>
      <xdr:rowOff>34925</xdr:rowOff>
    </xdr:to>
    <xdr:graphicFrame macro="">
      <xdr:nvGraphicFramePr>
        <xdr:cNvPr id="2" name="Chart 1">
          <a:extLst>
            <a:ext uri="{FF2B5EF4-FFF2-40B4-BE49-F238E27FC236}">
              <a16:creationId xmlns:a16="http://schemas.microsoft.com/office/drawing/2014/main" id="{D7EA3D28-B450-2268-3560-59E68FAC6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508000</xdr:colOff>
      <xdr:row>2</xdr:row>
      <xdr:rowOff>6351</xdr:rowOff>
    </xdr:from>
    <xdr:to>
      <xdr:col>14</xdr:col>
      <xdr:colOff>508000</xdr:colOff>
      <xdr:row>9</xdr:row>
      <xdr:rowOff>139701</xdr:rowOff>
    </xdr:to>
    <mc:AlternateContent xmlns:mc="http://schemas.openxmlformats.org/markup-compatibility/2006">
      <mc:Choice xmlns:a14="http://schemas.microsoft.com/office/drawing/2010/main" Requires="a14">
        <xdr:graphicFrame macro="">
          <xdr:nvGraphicFramePr>
            <xdr:cNvPr id="12" name="Campaign">
              <a:extLst>
                <a:ext uri="{FF2B5EF4-FFF2-40B4-BE49-F238E27FC236}">
                  <a16:creationId xmlns:a16="http://schemas.microsoft.com/office/drawing/2014/main" id="{91CFF621-D077-7B76-4A2C-CE43121F95E9}"/>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dr:sp macro="" textlink="">
          <xdr:nvSpPr>
            <xdr:cNvPr id="0" name=""/>
            <xdr:cNvSpPr>
              <a:spLocks noTextEdit="1"/>
            </xdr:cNvSpPr>
          </xdr:nvSpPr>
          <xdr:spPr>
            <a:xfrm>
              <a:off x="8718550" y="37465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P" refreshedDate="46247.942283449076" createdVersion="8" refreshedVersion="8" minRefreshableVersion="3" recordCount="6000" xr:uid="{9342EE3F-68DF-4B99-BDE2-1066C61D91BE}">
  <cacheSource type="worksheet">
    <worksheetSource ref="A1:H6001" sheet="cleaned data"/>
  </cacheSource>
  <cacheFields count="8">
    <cacheField name="Campaign" numFmtId="0">
      <sharedItems count="4">
        <s v="PY "/>
        <s v="DA "/>
        <s v="BA "/>
        <s v="BA"/>
      </sharedItems>
    </cacheField>
    <cacheField name="Location" numFmtId="0">
      <sharedItems count="1">
        <s v="KL"/>
      </sharedItems>
    </cacheField>
    <cacheField name="Campaign type" numFmtId="0">
      <sharedItems count="3">
        <s v="Fee included"/>
        <s v="No monitory benefit"/>
        <s v="Hiring"/>
      </sharedItems>
    </cacheField>
    <cacheField name="Total Leads" numFmtId="0">
      <sharedItems containsSemiMixedTypes="0" containsString="0" containsNumber="1" containsInteger="1" minValue="50" maxValue="300" count="251">
        <n v="60"/>
        <n v="173"/>
        <n v="65"/>
        <n v="231"/>
        <n v="294"/>
        <n v="233"/>
        <n v="162"/>
        <n v="202"/>
        <n v="92"/>
        <n v="150"/>
        <n v="76"/>
        <n v="262"/>
        <n v="201"/>
        <n v="242"/>
        <n v="194"/>
        <n v="108"/>
        <n v="177"/>
        <n v="241"/>
        <n v="146"/>
        <n v="114"/>
        <n v="135"/>
        <n v="143"/>
        <n v="151"/>
        <n v="268"/>
        <n v="205"/>
        <n v="131"/>
        <n v="126"/>
        <n v="112"/>
        <n v="174"/>
        <n v="157"/>
        <n v="141"/>
        <n v="270"/>
        <n v="63"/>
        <n v="115"/>
        <n v="79"/>
        <n v="276"/>
        <n v="278"/>
        <n v="91"/>
        <n v="50"/>
        <n v="53"/>
        <n v="98"/>
        <n v="254"/>
        <n v="133"/>
        <n v="147"/>
        <n v="73"/>
        <n v="152"/>
        <n v="300"/>
        <n v="182"/>
        <n v="209"/>
        <n v="113"/>
        <n v="271"/>
        <n v="296"/>
        <n v="213"/>
        <n v="240"/>
        <n v="208"/>
        <n v="102"/>
        <n v="189"/>
        <n v="223"/>
        <n v="252"/>
        <n v="184"/>
        <n v="153"/>
        <n v="167"/>
        <n v="85"/>
        <n v="288"/>
        <n v="198"/>
        <n v="145"/>
        <n v="77"/>
        <n v="279"/>
        <n v="272"/>
        <n v="258"/>
        <n v="195"/>
        <n v="273"/>
        <n v="257"/>
        <n v="93"/>
        <n v="216"/>
        <n v="129"/>
        <n v="251"/>
        <n v="186"/>
        <n v="179"/>
        <n v="86"/>
        <n v="118"/>
        <n v="84"/>
        <n v="124"/>
        <n v="275"/>
        <n v="94"/>
        <n v="285"/>
        <n v="138"/>
        <n v="253"/>
        <n v="267"/>
        <n v="97"/>
        <n v="78"/>
        <n v="107"/>
        <n v="139"/>
        <n v="171"/>
        <n v="96"/>
        <n v="217"/>
        <n v="238"/>
        <n v="163"/>
        <n v="281"/>
        <n v="291"/>
        <n v="82"/>
        <n v="140"/>
        <n v="200"/>
        <n v="165"/>
        <n v="122"/>
        <n v="57"/>
        <n v="244"/>
        <n v="83"/>
        <n v="199"/>
        <n v="187"/>
        <n v="95"/>
        <n v="222"/>
        <n v="256"/>
        <n v="234"/>
        <n v="283"/>
        <n v="219"/>
        <n v="263"/>
        <n v="172"/>
        <n v="228"/>
        <n v="292"/>
        <n v="61"/>
        <n v="215"/>
        <n v="264"/>
        <n v="88"/>
        <n v="117"/>
        <n v="166"/>
        <n v="227"/>
        <n v="203"/>
        <n v="51"/>
        <n v="245"/>
        <n v="109"/>
        <n v="229"/>
        <n v="280"/>
        <n v="120"/>
        <n v="154"/>
        <n v="247"/>
        <n v="190"/>
        <n v="58"/>
        <n v="196"/>
        <n v="299"/>
        <n v="185"/>
        <n v="211"/>
        <n v="206"/>
        <n v="156"/>
        <n v="71"/>
        <n v="178"/>
        <n v="193"/>
        <n v="89"/>
        <n v="80"/>
        <n v="192"/>
        <n v="136"/>
        <n v="164"/>
        <n v="81"/>
        <n v="197"/>
        <n v="212"/>
        <n v="282"/>
        <n v="100"/>
        <n v="259"/>
        <n v="176"/>
        <n v="255"/>
        <n v="210"/>
        <n v="265"/>
        <n v="158"/>
        <n v="235"/>
        <n v="70"/>
        <n v="121"/>
        <n v="243"/>
        <n v="132"/>
        <n v="286"/>
        <n v="111"/>
        <n v="55"/>
        <n v="214"/>
        <n v="204"/>
        <n v="180"/>
        <n v="181"/>
        <n v="249"/>
        <n v="134"/>
        <n v="226"/>
        <n v="266"/>
        <n v="101"/>
        <n v="54"/>
        <n v="225"/>
        <n v="290"/>
        <n v="155"/>
        <n v="90"/>
        <n v="56"/>
        <n v="170"/>
        <n v="295"/>
        <n v="207"/>
        <n v="127"/>
        <n v="250"/>
        <n v="59"/>
        <n v="62"/>
        <n v="230"/>
        <n v="239"/>
        <n v="274"/>
        <n v="105"/>
        <n v="298"/>
        <n v="103"/>
        <n v="218"/>
        <n v="104"/>
        <n v="287"/>
        <n v="188"/>
        <n v="125"/>
        <n v="175"/>
        <n v="269"/>
        <n v="75"/>
        <n v="161"/>
        <n v="261"/>
        <n v="159"/>
        <n v="66"/>
        <n v="237"/>
        <n v="128"/>
        <n v="64"/>
        <n v="130"/>
        <n v="297"/>
        <n v="248"/>
        <n v="220"/>
        <n v="110"/>
        <n v="224"/>
        <n v="149"/>
        <n v="236"/>
        <n v="119"/>
        <n v="232"/>
        <n v="67"/>
        <n v="69"/>
        <n v="142"/>
        <n v="246"/>
        <n v="148"/>
        <n v="284"/>
        <n v="123"/>
        <n v="116"/>
        <n v="168"/>
        <n v="144"/>
        <n v="72"/>
        <n v="221"/>
        <n v="160"/>
        <n v="99"/>
        <n v="106"/>
        <n v="183"/>
        <n v="260"/>
        <n v="277"/>
        <n v="191"/>
        <n v="293"/>
        <n v="52"/>
        <n v="74"/>
        <n v="289"/>
        <n v="169"/>
        <n v="87"/>
        <n v="137"/>
        <n v="68"/>
      </sharedItems>
    </cacheField>
    <cacheField name="Sales" numFmtId="0">
      <sharedItems containsSemiMixedTypes="0" containsString="0" containsNumber="1" containsInteger="1" minValue="0" maxValue="30" count="31">
        <n v="6"/>
        <n v="3"/>
        <n v="0"/>
        <n v="11"/>
        <n v="23"/>
        <n v="5"/>
        <n v="4"/>
        <n v="8"/>
        <n v="17"/>
        <n v="18"/>
        <n v="7"/>
        <n v="2"/>
        <n v="15"/>
        <n v="1"/>
        <n v="14"/>
        <n v="9"/>
        <n v="12"/>
        <n v="10"/>
        <n v="20"/>
        <n v="27"/>
        <n v="21"/>
        <n v="25"/>
        <n v="13"/>
        <n v="24"/>
        <n v="16"/>
        <n v="19"/>
        <n v="26"/>
        <n v="28"/>
        <n v="22"/>
        <n v="30"/>
        <n v="29"/>
      </sharedItems>
    </cacheField>
    <cacheField name="Conversion Rate" numFmtId="0">
      <sharedItems containsSemiMixedTypes="0" containsString="0" containsNumber="1" minValue="0" maxValue="10" count="910">
        <n v="10"/>
        <n v="1.73"/>
        <n v="0"/>
        <n v="4.76"/>
        <n v="3.74"/>
        <n v="9.8699999999999992"/>
        <n v="6.79"/>
        <n v="2.48"/>
        <n v="6.52"/>
        <n v="2.67"/>
        <n v="3.05"/>
        <n v="8.4600000000000009"/>
        <n v="7.44"/>
        <n v="3.61"/>
        <n v="1.85"/>
        <n v="3.95"/>
        <n v="6.22"/>
        <n v="2.0499999999999998"/>
        <n v="7.02"/>
        <n v="4.4400000000000004"/>
        <n v="2.8"/>
        <n v="3.31"/>
        <n v="2.2400000000000002"/>
        <n v="1.46"/>
        <n v="8.4"/>
        <n v="6.35"/>
        <n v="6.25"/>
        <n v="3.45"/>
        <n v="1.42"/>
        <n v="8.52"/>
        <n v="1.59"/>
        <n v="3.48"/>
        <n v="5.07"/>
        <n v="8.15"/>
        <n v="3.24"/>
        <n v="4"/>
        <n v="9.43"/>
        <n v="6.12"/>
        <n v="0.79"/>
        <n v="9.02"/>
        <n v="1.4"/>
        <n v="6.8"/>
        <n v="6.85"/>
        <n v="1.32"/>
        <n v="2.33"/>
        <n v="3.77"/>
        <n v="2.2000000000000002"/>
        <n v="9.57"/>
        <n v="9.9600000000000009"/>
        <n v="4.4000000000000004"/>
        <n v="7.09"/>
        <n v="3.76"/>
        <n v="5"/>
        <n v="0.48"/>
        <n v="8.02"/>
        <n v="8.99"/>
        <n v="4.4800000000000004"/>
        <n v="0.4"/>
        <n v="3.92"/>
        <n v="4.1900000000000004"/>
        <n v="3.17"/>
        <n v="5.88"/>
        <n v="7.99"/>
        <n v="5.98"/>
        <n v="8.9600000000000009"/>
        <n v="4.78"/>
        <n v="5.81"/>
        <n v="6.15"/>
        <n v="7.69"/>
        <n v="3.89"/>
        <n v="7.98"/>
        <n v="5.33"/>
        <n v="0.87"/>
        <n v="2.15"/>
        <n v="4.63"/>
        <n v="9.3000000000000007"/>
        <n v="9.56"/>
        <n v="8.6"/>
        <n v="4.47"/>
        <n v="6.88"/>
        <n v="7.63"/>
        <n v="4.84"/>
        <n v="7.27"/>
        <n v="4.26"/>
        <n v="9.4700000000000006"/>
        <n v="5.8"/>
        <n v="0.94"/>
        <n v="1.5"/>
        <n v="9.2799999999999994"/>
        <n v="8.9700000000000006"/>
        <n v="7.48"/>
        <n v="9.35"/>
        <n v="7.6"/>
        <n v="1.23"/>
        <n v="1.84"/>
        <n v="7.18"/>
        <n v="4.62"/>
        <n v="2.61"/>
        <n v="8.7799999999999994"/>
        <n v="0.76"/>
        <n v="4.29"/>
        <n v="6.67"/>
        <n v="1.44"/>
        <n v="4.9800000000000004"/>
        <n v="2.71"/>
        <n v="9.6199999999999992"/>
        <n v="2.44"/>
        <n v="5.22"/>
        <n v="6.34"/>
        <n v="9.5"/>
        <n v="6.86"/>
        <n v="9.84"/>
        <n v="3.28"/>
        <n v="8.43"/>
        <n v="9.09"/>
        <n v="0.73"/>
        <n v="2.5099999999999998"/>
        <n v="9.6300000000000008"/>
        <n v="0.7"/>
        <n v="3.7"/>
        <n v="6.47"/>
        <n v="1.18"/>
        <n v="8.59"/>
        <n v="2.36"/>
        <n v="4.21"/>
        <n v="8.7100000000000009"/>
        <n v="6.58"/>
        <n v="8.56"/>
        <n v="7.81"/>
        <n v="4.3099999999999996"/>
        <n v="4.2699999999999996"/>
        <n v="7.14"/>
        <n v="1.77"/>
        <n v="6.09"/>
        <n v="2.74"/>
        <n v="8.6199999999999992"/>
        <n v="2.17"/>
        <n v="7.08"/>
        <n v="4.96"/>
        <n v="3.8"/>
        <n v="7.53"/>
        <n v="0.57999999999999996"/>
        <n v="8.33"/>
        <n v="7"/>
        <n v="4.45"/>
        <n v="8.84"/>
        <n v="1.1399999999999999"/>
        <n v="1.81"/>
        <n v="2.27"/>
        <n v="1.71"/>
        <n v="5.94"/>
        <n v="7.23"/>
        <n v="0.65"/>
        <n v="6.17"/>
        <n v="6.45"/>
        <n v="4.93"/>
        <n v="8.16"/>
        <n v="8.41"/>
        <n v="7.34"/>
        <n v="2.79"/>
        <n v="8.1999999999999993"/>
        <n v="8.7899999999999991"/>
        <n v="5.24"/>
        <n v="5.65"/>
        <n v="3.68"/>
        <n v="8.2100000000000009"/>
        <n v="1.53"/>
        <n v="2.56"/>
        <n v="3.25"/>
        <n v="3.64"/>
        <n v="3.59"/>
        <n v="1.37"/>
        <n v="3.16"/>
        <n v="6.23"/>
        <n v="5.17"/>
        <n v="5.68"/>
        <n v="8.0299999999999994"/>
        <n v="1.62"/>
        <n v="0.47"/>
        <n v="3.88"/>
        <n v="2.81"/>
        <n v="5.63"/>
        <n v="1.36"/>
        <n v="6.48"/>
        <n v="8.81"/>
        <n v="4.6900000000000004"/>
        <n v="8.82"/>
        <n v="1.78"/>
        <n v="6.36"/>
        <n v="9.76"/>
        <n v="8.64"/>
        <n v="0.39"/>
        <n v="5.37"/>
        <n v="6.6"/>
        <n v="6.41"/>
        <n v="9"/>
        <n v="7.55"/>
        <n v="4.8099999999999996"/>
        <n v="8.49"/>
        <n v="9.7799999999999994"/>
        <n v="3.53"/>
        <n v="3.81"/>
        <n v="5.2"/>
        <n v="5.58"/>
        <n v="6.96"/>
        <n v="7.61"/>
        <n v="0.85"/>
        <n v="1.43"/>
        <n v="9.93"/>
        <n v="4.13"/>
        <n v="0.43"/>
        <n v="5.26"/>
        <n v="7.58"/>
        <n v="3.33"/>
        <n v="2.7"/>
        <n v="9.66"/>
        <n v="8.75"/>
        <n v="9.52"/>
        <n v="7.83"/>
        <n v="7.29"/>
        <n v="9.81"/>
        <n v="3.43"/>
        <n v="0.56000000000000005"/>
        <n v="3.56"/>
        <n v="5.19"/>
        <n v="9.06"/>
        <n v="2.14"/>
        <n v="6.32"/>
        <n v="6.14"/>
        <n v="9.6999999999999993"/>
        <n v="4.24"/>
        <n v="9.73"/>
        <n v="5.34"/>
        <n v="3.01"/>
        <n v="0.83"/>
        <n v="5.35"/>
        <n v="8.9499999999999993"/>
        <n v="2.84"/>
        <n v="8.77"/>
        <n v="0.99"/>
        <n v="9.74"/>
        <n v="3.37"/>
        <n v="8.2200000000000006"/>
        <n v="8.44"/>
        <n v="2.16"/>
        <n v="7.22"/>
        <n v="5.41"/>
        <n v="6.9"/>
        <n v="5.08"/>
        <n v="0.44"/>
        <n v="0.46"/>
        <n v="3.23"/>
        <n v="8.93"/>
        <n v="1.79"/>
        <n v="1.07"/>
        <n v="1.1200000000000001"/>
        <n v="9.18"/>
        <n v="4.12"/>
        <n v="7.89"/>
        <n v="2.38"/>
        <n v="5.49"/>
        <n v="9.0500000000000007"/>
        <n v="8.2899999999999991"/>
        <n v="4.75"/>
        <n v="7.01"/>
        <n v="1.63"/>
        <n v="0.5"/>
        <n v="3.94"/>
        <n v="1.06"/>
        <n v="2.54"/>
        <n v="6.02"/>
        <n v="8.4700000000000006"/>
        <n v="1.61"/>
        <n v="3.38"/>
        <n v="4.74"/>
        <n v="9.1300000000000008"/>
        <n v="0.42"/>
        <n v="9.17"/>
        <n v="1.75"/>
        <n v="2.6"/>
        <n v="7.03"/>
        <n v="6.44"/>
        <n v="2.68"/>
        <n v="5.56"/>
        <n v="0.97"/>
        <n v="3.32"/>
        <n v="4.51"/>
        <n v="6.06"/>
        <n v="3.67"/>
        <n v="2.87"/>
        <n v="3.65"/>
        <n v="1.47"/>
        <n v="7.94"/>
        <n v="1.1599999999999999"/>
        <n v="8.8699999999999992"/>
        <n v="9.6"/>
        <n v="1.64"/>
        <n v="1.25"/>
        <n v="1.3"/>
        <n v="8"/>
        <n v="3.39"/>
        <n v="3.1"/>
        <n v="5.99"/>
        <n v="2.11"/>
        <n v="9.89"/>
        <n v="6.1"/>
        <n v="7.2"/>
        <n v="0.86"/>
        <n v="4.57"/>
        <n v="8.18"/>
        <n v="1.33"/>
        <n v="9.82"/>
        <n v="6.54"/>
        <n v="6.98"/>
        <n v="5.36"/>
        <n v="1.69"/>
        <n v="6.92"/>
        <n v="2.13"/>
        <n v="6.87"/>
        <n v="0.36"/>
        <n v="0.74"/>
        <n v="6.73"/>
        <n v="1.96"/>
        <n v="0.6"/>
        <n v="8.86"/>
        <n v="1.6"/>
        <n v="8.51"/>
        <n v="4.59"/>
        <n v="9.19"/>
        <n v="7.17"/>
        <n v="1.27"/>
        <n v="9.8800000000000008"/>
        <n v="1.83"/>
        <n v="3.51"/>
        <n v="3.96"/>
        <n v="1.56"/>
        <n v="4.0999999999999996"/>
        <n v="3.08"/>
        <n v="6.4"/>
        <n v="2.42"/>
        <n v="8.42"/>
        <n v="3.18"/>
        <n v="2.1"/>
        <n v="6.31"/>
        <n v="1.08"/>
        <n v="5.32"/>
        <n v="3.04"/>
        <n v="1.9"/>
        <n v="4.91"/>
        <n v="9.31"/>
        <n v="5.53"/>
        <n v="9.7100000000000009"/>
        <n v="3"/>
        <n v="3.6"/>
        <n v="4.32"/>
        <n v="9.16"/>
        <n v="1.89"/>
        <n v="4.3499999999999996"/>
        <n v="7.52"/>
        <n v="1.34"/>
        <n v="0.62"/>
        <n v="7.43"/>
        <n v="7.86"/>
        <n v="1.92"/>
        <n v="5.71"/>
        <n v="6.57"/>
        <n v="6.29"/>
        <n v="7.06"/>
        <n v="6.64"/>
        <n v="3.63"/>
        <n v="6.04"/>
        <n v="6.71"/>
        <n v="3.87"/>
        <n v="2.29"/>
        <n v="9.92"/>
        <n v="2.2200000000000002"/>
        <n v="8.4499999999999993"/>
        <n v="7.45"/>
        <n v="8.2799999999999994"/>
        <n v="6.33"/>
        <n v="5.38"/>
        <n v="3.82"/>
        <n v="0.84"/>
        <n v="9.4"/>
        <n v="0.72"/>
        <n v="9.77"/>
        <n v="5.13"/>
        <n v="0.93"/>
        <n v="2.99"/>
        <n v="7.65"/>
        <n v="4.42"/>
        <n v="9.4600000000000009"/>
        <n v="9.15"/>
        <n v="4.2"/>
        <n v="4.07"/>
        <n v="2.5"/>
        <n v="0.68"/>
        <n v="0.75"/>
        <n v="7.72"/>
        <n v="2.63"/>
        <n v="1.52"/>
        <n v="9.24"/>
        <n v="1.41"/>
        <n v="4.55"/>
        <n v="7.3"/>
        <n v="9.32"/>
        <n v="8.65"/>
        <n v="4.46"/>
        <n v="6.69"/>
        <n v="7.76"/>
        <n v="4.03"/>
        <n v="6.03"/>
        <n v="1.94"/>
        <n v="8.6999999999999993"/>
        <n v="2.08"/>
        <n v="9.7200000000000006"/>
        <n v="4.53"/>
        <n v="5.74"/>
        <n v="4.09"/>
        <n v="3.2"/>
        <n v="3.5"/>
        <n v="6.16"/>
        <n v="1.24"/>
        <n v="8.1199999999999992"/>
        <n v="8.01"/>
        <n v="1.04"/>
        <n v="8.06"/>
        <n v="5.0999999999999996"/>
        <n v="1.29"/>
        <n v="1.03"/>
        <n v="0.77"/>
        <n v="2.0099999999999998"/>
        <n v="0.49"/>
        <n v="2"/>
        <n v="2.0699999999999998"/>
        <n v="9.0299999999999994"/>
        <n v="4.17"/>
        <n v="3.91"/>
        <n v="8.66"/>
        <n v="7.5"/>
        <n v="3.57"/>
        <n v="4.92"/>
        <n v="0.66"/>
        <n v="0.78"/>
        <n v="8.8800000000000008"/>
        <n v="4.9000000000000004"/>
        <n v="2.06"/>
        <n v="3.36"/>
        <n v="3.52"/>
        <n v="8.0500000000000007"/>
        <n v="5.77"/>
        <n v="7.19"/>
        <n v="9.68"/>
        <n v="8.3699999999999992"/>
        <n v="5.1100000000000003"/>
        <n v="3.66"/>
        <n v="1.91"/>
        <n v="7.91"/>
        <n v="2.5299999999999998"/>
        <n v="9.49"/>
        <n v="2.65"/>
        <n v="9.34"/>
        <n v="6.72"/>
        <n v="6.2"/>
        <n v="8.61"/>
        <n v="3.85"/>
        <n v="7.78"/>
        <n v="5.43"/>
        <n v="0.91"/>
        <n v="6.19"/>
        <n v="8.73"/>
        <n v="9.75"/>
        <n v="6.43"/>
        <n v="6.21"/>
        <n v="7.85"/>
        <n v="8.89"/>
        <n v="4.83"/>
        <n v="1.54"/>
        <n v="5.93"/>
        <n v="3.42"/>
        <n v="4.6399999999999997"/>
        <n v="9.41"/>
        <n v="9.8000000000000007"/>
        <n v="6.94"/>
        <n v="7.07"/>
        <n v="0.45"/>
        <n v="6.91"/>
        <n v="7.66"/>
        <n v="7.49"/>
        <n v="9.36"/>
        <n v="5.61"/>
        <n v="7.93"/>
        <n v="5.0599999999999996"/>
        <n v="7.75"/>
        <n v="0.92"/>
        <n v="3.75"/>
        <n v="4.1500000000000004"/>
        <n v="7.12"/>
        <n v="1.19"/>
        <n v="2.35"/>
        <n v="5.62"/>
        <n v="0.54"/>
        <n v="5.92"/>
        <n v="3.09"/>
        <n v="2.52"/>
        <n v="4.6500000000000004"/>
        <n v="4.2300000000000004"/>
        <n v="7.25"/>
        <n v="2.41"/>
        <n v="4.68"/>
        <n v="7.35"/>
        <n v="8.11"/>
        <n v="0.53"/>
        <n v="1.93"/>
        <n v="5.7"/>
        <n v="0.35"/>
        <n v="1.38"/>
        <n v="6.93"/>
        <n v="5.44"/>
        <n v="8.74"/>
        <n v="6.74"/>
        <n v="9.5500000000000007"/>
        <n v="5.67"/>
        <n v="8.9"/>
        <n v="1.51"/>
        <n v="9.2200000000000006"/>
        <n v="0.95"/>
        <n v="6.56"/>
        <n v="6.76"/>
        <n v="7.32"/>
        <n v="1.02"/>
        <n v="7.04"/>
        <n v="6.28"/>
        <n v="9.85"/>
        <n v="4.67"/>
        <n v="5.66"/>
        <n v="8.3800000000000008"/>
        <n v="0.89"/>
        <n v="6"/>
        <n v="6.5"/>
        <n v="4.82"/>
        <n v="5.59"/>
        <n v="1.66"/>
        <n v="0.88"/>
        <n v="4.9400000000000004"/>
        <n v="1.82"/>
        <n v="4.72"/>
        <n v="3.86"/>
        <n v="1.1499999999999999"/>
        <n v="0.52"/>
        <n v="5.09"/>
        <n v="3.41"/>
        <n v="0.96"/>
        <n v="6.78"/>
        <n v="7.82"/>
        <n v="1.95"/>
        <n v="5.39"/>
        <n v="2.2599999999999998"/>
        <n v="7.57"/>
        <n v="3.35"/>
        <n v="1.39"/>
        <n v="9.64"/>
        <n v="2.4500000000000002"/>
        <n v="9.2100000000000009"/>
        <n v="9.1999999999999993"/>
        <n v="6.07"/>
        <n v="0.82"/>
        <n v="7.77"/>
        <n v="8.09"/>
        <n v="5.96"/>
        <n v="1.05"/>
        <n v="7.38"/>
        <n v="8.94"/>
        <n v="3.27"/>
        <n v="1.87"/>
        <n v="9.0399999999999991"/>
        <n v="4.71"/>
        <n v="1.72"/>
        <n v="7.41"/>
        <n v="1.28"/>
        <n v="8.68"/>
        <n v="0.56999999999999995"/>
        <n v="7.46"/>
        <n v="8.98"/>
        <n v="6.59"/>
        <n v="6.84"/>
        <n v="1.68"/>
        <n v="7.84"/>
        <n v="2.62"/>
        <n v="3.21"/>
        <n v="1.21"/>
        <n v="4.38"/>
        <n v="5.54"/>
        <n v="5.47"/>
        <n v="9.94"/>
        <n v="7.39"/>
        <n v="3.73"/>
        <n v="2.86"/>
        <n v="8.3000000000000007"/>
        <n v="4.88"/>
        <n v="0.67"/>
        <n v="1.49"/>
        <n v="1.99"/>
        <n v="9.58"/>
        <n v="2.19"/>
        <n v="8.91"/>
        <n v="2.09"/>
        <n v="0.59"/>
        <n v="1.0900000000000001"/>
        <n v="7.95"/>
        <n v="9.9499999999999993"/>
        <n v="5.31"/>
        <n v="3.29"/>
        <n v="4.1100000000000003"/>
        <n v="8.14"/>
        <n v="9.26"/>
        <n v="4.8"/>
        <n v="6.18"/>
        <n v="3.97"/>
        <n v="4.05"/>
        <n v="2.04"/>
        <n v="7.1"/>
        <n v="3.14"/>
        <n v="4.0199999999999996"/>
        <n v="8.5299999999999994"/>
        <n v="1.22"/>
        <n v="1.17"/>
        <n v="4.7300000000000004"/>
        <n v="3.03"/>
        <n v="8.08"/>
        <n v="8.58"/>
        <n v="9.33"/>
        <n v="2.25"/>
        <n v="1.26"/>
        <n v="7.59"/>
        <n v="6.61"/>
        <n v="2.92"/>
        <n v="2.82"/>
        <n v="6.27"/>
        <n v="8.5399999999999991"/>
        <n v="9.9"/>
        <n v="4.08"/>
        <n v="7.88"/>
        <n v="2.0299999999999998"/>
        <n v="6.37"/>
        <n v="8.67"/>
        <n v="4.49"/>
        <n v="6.62"/>
        <n v="4.5"/>
        <n v="2.2999999999999998"/>
        <n v="0.69"/>
        <n v="2.46"/>
        <n v="8.07"/>
        <n v="1.2"/>
        <n v="5.05"/>
        <n v="6.08"/>
        <n v="7.74"/>
        <n v="5.86"/>
        <n v="5.85"/>
        <n v="5.5"/>
        <n v="5.16"/>
        <n v="2.31"/>
        <n v="7.24"/>
        <n v="7.73"/>
        <n v="8.19"/>
        <n v="0.81"/>
        <n v="9.3800000000000008"/>
        <n v="5.72"/>
        <n v="2.64"/>
        <n v="3.62"/>
        <n v="9.59"/>
        <n v="0.64"/>
        <n v="1.01"/>
        <n v="9.4499999999999993"/>
        <n v="6.49"/>
        <n v="1.8"/>
        <n v="6.42"/>
        <n v="3.93"/>
        <n v="6.97"/>
        <n v="3.3"/>
        <n v="2.37"/>
        <n v="8.39"/>
        <n v="1.97"/>
        <n v="6.95"/>
        <n v="8.5500000000000007"/>
        <n v="7.96"/>
        <n v="6.82"/>
        <n v="5.45"/>
        <n v="1.57"/>
        <n v="8.85"/>
        <n v="4.3899999999999997"/>
        <n v="3.9"/>
        <n v="2.88"/>
        <n v="5.28"/>
        <n v="5.48"/>
        <n v="1.67"/>
        <n v="2.97"/>
        <n v="4.3"/>
        <n v="2.4900000000000002"/>
        <n v="5.14"/>
        <n v="4.5199999999999996"/>
        <n v="9.69"/>
        <n v="0.34"/>
        <n v="4.8600000000000003"/>
        <n v="5.64"/>
        <n v="6.63"/>
        <n v="4.3600000000000003"/>
        <n v="9.14"/>
        <n v="4.6100000000000003"/>
        <n v="1.74"/>
        <n v="0.38"/>
        <n v="3.98"/>
        <n v="8.27"/>
        <n v="8.26"/>
        <n v="6.99"/>
        <n v="2.72"/>
        <n v="7.87"/>
        <n v="9.39"/>
        <n v="0.9"/>
        <n v="0.51"/>
        <n v="2.76"/>
        <n v="7.42"/>
        <n v="2.59"/>
        <n v="5.23"/>
        <n v="9.7899999999999991"/>
        <n v="5.97"/>
        <n v="0.61"/>
        <n v="7.97"/>
        <n v="1.45"/>
        <n v="8.57"/>
        <n v="0.8"/>
        <n v="2.78"/>
        <n v="0.71"/>
        <n v="2.58"/>
        <n v="5.78"/>
        <n v="5.82"/>
        <n v="8.76"/>
        <n v="1.65"/>
        <n v="7.28"/>
        <n v="5.95"/>
        <n v="9.25"/>
        <n v="5.04"/>
        <n v="2.93"/>
        <n v="7.37"/>
        <n v="7.62"/>
        <n v="6.01"/>
        <n v="6.83"/>
        <n v="2.02"/>
        <n v="4.22"/>
        <n v="6.55"/>
        <n v="1.35"/>
        <n v="2.66"/>
        <n v="7.21"/>
        <n v="2.4700000000000002"/>
        <n v="5.91"/>
        <n v="4.58"/>
        <n v="9.86"/>
        <n v="1.7"/>
        <n v="9.2899999999999991"/>
        <n v="6.38"/>
        <n v="5.52"/>
        <n v="8.0399999999999991"/>
        <n v="3.12"/>
        <n v="6.3"/>
        <n v="4.5999999999999996"/>
        <n v="1"/>
        <n v="3.79"/>
        <n v="0.63"/>
        <n v="2.34"/>
        <n v="4.5599999999999996"/>
        <n v="5.03"/>
        <n v="2.5499999999999998"/>
        <n v="1.1100000000000001"/>
        <n v="4.33"/>
        <n v="5.46"/>
        <n v="3.26"/>
        <n v="4.97"/>
        <n v="5.12"/>
        <n v="4.04"/>
        <n v="5.0199999999999996"/>
        <n v="2.96"/>
        <n v="7.51"/>
        <n v="0.37"/>
        <n v="4.0599999999999996"/>
        <n v="7.11"/>
        <n v="2.83"/>
        <n v="3.54"/>
        <n v="3.49"/>
        <n v="9.23"/>
        <n v="8.24"/>
        <n v="3.47"/>
        <n v="6.81"/>
        <n v="8.17"/>
        <n v="3.11"/>
        <n v="4.95"/>
        <n v="6.13"/>
        <n v="2.2799999999999998"/>
        <n v="5.75"/>
        <n v="5.76"/>
        <n v="6.77"/>
        <n v="8.5"/>
        <n v="9.67"/>
        <n v="5.69"/>
        <n v="7.36"/>
        <n v="3.46"/>
        <n v="1.98"/>
        <n v="6.53"/>
        <n v="4.8499999999999996"/>
        <n v="9.42"/>
        <n v="8.6300000000000008"/>
        <n v="5.73"/>
        <n v="4.41"/>
        <n v="3.06"/>
        <n v="5.79"/>
        <n v="3.78"/>
        <n v="2.21"/>
        <n v="1.31"/>
        <n v="7.79"/>
        <n v="1.55"/>
        <n v="5.83"/>
        <n v="3.15"/>
        <n v="5.6"/>
        <n v="2.85"/>
        <n v="8.1300000000000008"/>
        <n v="8.92"/>
        <n v="3.55"/>
        <n v="5.29"/>
        <n v="2.4"/>
        <n v="1.88"/>
        <n v="4.79"/>
        <n v="3.4"/>
        <n v="6.05"/>
        <n v="2.73"/>
        <n v="1.1299999999999999"/>
        <n v="5.21"/>
        <n v="2.1800000000000002"/>
        <n v="1.1000000000000001"/>
        <n v="6.51"/>
        <n v="1.76"/>
        <n v="7.47"/>
        <n v="8.25"/>
        <n v="6.75"/>
        <n v="4.87"/>
        <n v="5.42"/>
        <n v="3.83"/>
        <n v="7.92"/>
        <n v="9.44"/>
        <n v="3.02"/>
        <n v="3.69"/>
        <n v="8.36"/>
        <n v="2.12"/>
        <n v="9.91"/>
        <n v="4.8899999999999997"/>
        <n v="3.72"/>
        <n v="7.05"/>
        <n v="2.95"/>
        <n v="7.26"/>
        <n v="9.83"/>
        <n v="3.07"/>
        <n v="1.86"/>
        <n v="4.25"/>
        <n v="6.7"/>
        <n v="1.58"/>
        <n v="2.94"/>
        <n v="2.3199999999999998"/>
        <n v="9.1199999999999992"/>
        <n v="7.31"/>
        <n v="6.46"/>
        <n v="2.77"/>
        <n v="5.15"/>
        <n v="4.37"/>
        <n v="7.56"/>
        <n v="6.39"/>
        <n v="8.7200000000000006"/>
        <n v="0.98"/>
        <n v="5.3"/>
        <n v="2.9"/>
        <n v="0.33"/>
        <n v="8.23"/>
        <n v="1.48"/>
        <n v="5.84"/>
        <n v="9.65"/>
        <n v="0.41"/>
        <n v="9.01"/>
        <n v="2.23"/>
        <n v="3.44"/>
        <n v="4.66"/>
        <n v="8.8000000000000007"/>
        <n v="3.19"/>
        <n v="2.75"/>
        <n v="8.1"/>
        <n v="9.27"/>
        <n v="8.48"/>
        <n v="6.11"/>
        <n v="4.43"/>
        <n v="9.48"/>
        <n v="9.51"/>
        <n v="4.1399999999999997"/>
        <n v="2.69"/>
        <n v="7.33"/>
        <n v="7.9"/>
        <n v="2.91"/>
        <n v="5.18"/>
        <n v="4.18"/>
        <n v="0.55000000000000004"/>
        <n v="4.28"/>
        <n v="2.4300000000000002"/>
        <n v="5.51"/>
        <n v="9.5399999999999991"/>
        <n v="7.8"/>
      </sharedItems>
    </cacheField>
    <cacheField name="Cost per Lead" numFmtId="0">
      <sharedItems containsSemiMixedTypes="0" containsString="0" containsNumber="1" minValue="5.01" maxValue="70" count="3896">
        <n v="68.62"/>
        <n v="47.97"/>
        <n v="55.63"/>
        <n v="41.15"/>
        <n v="28.06"/>
        <n v="63.87"/>
        <n v="42.8"/>
        <n v="62.35"/>
        <n v="54.47"/>
        <n v="12.66"/>
        <n v="30.36"/>
        <n v="7.49"/>
        <n v="11.99"/>
        <n v="65.38"/>
        <n v="7.08"/>
        <n v="41.07"/>
        <n v="38.32"/>
        <n v="32.78"/>
        <n v="64.63"/>
        <n v="8.58"/>
        <n v="47.54"/>
        <n v="53.83"/>
        <n v="15.33"/>
        <n v="29.75"/>
        <n v="48.86"/>
        <n v="52.13"/>
        <n v="30.65"/>
        <n v="18.8"/>
        <n v="30.89"/>
        <n v="36.58"/>
        <n v="8.31"/>
        <n v="40.61"/>
        <n v="64.59"/>
        <n v="48.9"/>
        <n v="42.18"/>
        <n v="42.41"/>
        <n v="9.61"/>
        <n v="27.44"/>
        <n v="6.36"/>
        <n v="16.760000000000002"/>
        <n v="52.18"/>
        <n v="32.74"/>
        <n v="47.39"/>
        <n v="6.95"/>
        <n v="24.19"/>
        <n v="51.47"/>
        <n v="46.23"/>
        <n v="38.130000000000003"/>
        <n v="23.85"/>
        <n v="48.73"/>
        <n v="62.02"/>
        <n v="58.51"/>
        <n v="44.99"/>
        <n v="5.5"/>
        <n v="52.98"/>
        <n v="9.5399999999999991"/>
        <n v="20.98"/>
        <n v="52.64"/>
        <n v="33.53"/>
        <n v="69.69"/>
        <n v="23.16"/>
        <n v="34.9"/>
        <n v="24.72"/>
        <n v="69.040000000000006"/>
        <n v="22.73"/>
        <n v="20.22"/>
        <n v="7.09"/>
        <n v="56.24"/>
        <n v="52.49"/>
        <n v="45.6"/>
        <n v="26.02"/>
        <n v="47.69"/>
        <n v="41.49"/>
        <n v="43.8"/>
        <n v="26.57"/>
        <n v="10.1"/>
        <n v="30.53"/>
        <n v="22.08"/>
        <n v="27.32"/>
        <n v="18.47"/>
        <n v="31.47"/>
        <n v="10.220000000000001"/>
        <n v="68.92"/>
        <n v="44.75"/>
        <n v="7.23"/>
        <n v="67.47"/>
        <n v="10.57"/>
        <n v="66.930000000000007"/>
        <n v="15.51"/>
        <n v="41.13"/>
        <n v="54.69"/>
        <n v="32.79"/>
        <n v="26.95"/>
        <n v="48.92"/>
        <n v="9.66"/>
        <n v="23.68"/>
        <n v="35.9"/>
        <n v="60.87"/>
        <n v="40.299999999999997"/>
        <n v="29.96"/>
        <n v="8.2100000000000009"/>
        <n v="45.43"/>
        <n v="21.25"/>
        <n v="26.25"/>
        <n v="16.32"/>
        <n v="10.68"/>
        <n v="9.7200000000000006"/>
        <n v="40.520000000000003"/>
        <n v="63.45"/>
        <n v="23.54"/>
        <n v="42.85"/>
        <n v="51.07"/>
        <n v="49.42"/>
        <n v="66.040000000000006"/>
        <n v="23.28"/>
        <n v="55.01"/>
        <n v="25.17"/>
        <n v="19.25"/>
        <n v="59.78"/>
        <n v="7.41"/>
        <n v="30.06"/>
        <n v="40.72"/>
        <n v="44.62"/>
        <n v="24.29"/>
        <n v="62.76"/>
        <n v="53.05"/>
        <n v="18.3"/>
        <n v="58.1"/>
        <n v="34.96"/>
        <n v="32.409999999999997"/>
        <n v="8.92"/>
        <n v="5.52"/>
        <n v="35.130000000000003"/>
        <n v="66.53"/>
        <n v="43.08"/>
        <n v="25.87"/>
        <n v="38.18"/>
        <n v="22.43"/>
        <n v="54.2"/>
        <n v="48.3"/>
        <n v="8.6300000000000008"/>
        <n v="29.26"/>
        <n v="14.47"/>
        <n v="43.16"/>
        <n v="49.02"/>
        <n v="45.12"/>
        <n v="34.54"/>
        <n v="42.7"/>
        <n v="56.4"/>
        <n v="64.709999999999994"/>
        <n v="21.05"/>
        <n v="61.12"/>
        <n v="16.64"/>
        <n v="6.33"/>
        <n v="59.72"/>
        <n v="13.6"/>
        <n v="7.96"/>
        <n v="26.97"/>
        <n v="47.08"/>
        <n v="66.680000000000007"/>
        <n v="54.79"/>
        <n v="51.46"/>
        <n v="33.96"/>
        <n v="67.06"/>
        <n v="61.16"/>
        <n v="61.78"/>
        <n v="61.07"/>
        <n v="67.180000000000007"/>
        <n v="66.33"/>
        <n v="34.72"/>
        <n v="14.55"/>
        <n v="11.88"/>
        <n v="30.32"/>
        <n v="63.05"/>
        <n v="66.75"/>
        <n v="49.72"/>
        <n v="67.73"/>
        <n v="5.07"/>
        <n v="69.739999999999995"/>
        <n v="31.01"/>
        <n v="40.68"/>
        <n v="30.28"/>
        <n v="46.25"/>
        <n v="33.14"/>
        <n v="51.31"/>
        <n v="22.35"/>
        <n v="8.0399999999999991"/>
        <n v="37.24"/>
        <n v="32.729999999999997"/>
        <n v="67.38"/>
        <n v="68.69"/>
        <n v="11.47"/>
        <n v="37.659999999999997"/>
        <n v="31.91"/>
        <n v="54.6"/>
        <n v="30.99"/>
        <n v="20"/>
        <n v="63.14"/>
        <n v="24.12"/>
        <n v="68.27"/>
        <n v="33.6"/>
        <n v="18.649999999999999"/>
        <n v="50.72"/>
        <n v="35.64"/>
        <n v="30.88"/>
        <n v="56.2"/>
        <n v="13.26"/>
        <n v="26.13"/>
        <n v="61.64"/>
        <n v="57.45"/>
        <n v="31.19"/>
        <n v="61.8"/>
        <n v="65.28"/>
        <n v="10.55"/>
        <n v="18.05"/>
        <n v="62.22"/>
        <n v="30.54"/>
        <n v="59.17"/>
        <n v="16.809999999999999"/>
        <n v="25.05"/>
        <n v="25.06"/>
        <n v="64.77"/>
        <n v="24.34"/>
        <n v="33.64"/>
        <n v="46.87"/>
        <n v="26.74"/>
        <n v="68.150000000000006"/>
        <n v="7.39"/>
        <n v="29.77"/>
        <n v="31.07"/>
        <n v="41.04"/>
        <n v="17.989999999999998"/>
        <n v="25.27"/>
        <n v="27.85"/>
        <n v="34.090000000000003"/>
        <n v="24.55"/>
        <n v="12.95"/>
        <n v="31.29"/>
        <n v="57.89"/>
        <n v="43.27"/>
        <n v="19.07"/>
        <n v="47.47"/>
        <n v="55.64"/>
        <n v="24.65"/>
        <n v="28.3"/>
        <n v="45.7"/>
        <n v="48.03"/>
        <n v="19.27"/>
        <n v="13.18"/>
        <n v="6.51"/>
        <n v="16.079999999999998"/>
        <n v="7.11"/>
        <n v="38.06"/>
        <n v="37.22"/>
        <n v="17.71"/>
        <n v="51.76"/>
        <n v="9.2100000000000009"/>
        <n v="47.93"/>
        <n v="6.14"/>
        <n v="20.32"/>
        <n v="57.66"/>
        <n v="7.52"/>
        <n v="67.16"/>
        <n v="24.38"/>
        <n v="49.5"/>
        <n v="36.76"/>
        <n v="47.35"/>
        <n v="67.13"/>
        <n v="50.45"/>
        <n v="46.13"/>
        <n v="46.34"/>
        <n v="52.4"/>
        <n v="20.83"/>
        <n v="19.91"/>
        <n v="29.4"/>
        <n v="27.46"/>
        <n v="13.01"/>
        <n v="26.89"/>
        <n v="19.13"/>
        <n v="67.81"/>
        <n v="32.57"/>
        <n v="66.599999999999994"/>
        <n v="34.75"/>
        <n v="15.62"/>
        <n v="11.3"/>
        <n v="61.53"/>
        <n v="69.47"/>
        <n v="22.07"/>
        <n v="36.94"/>
        <n v="56.82"/>
        <n v="56.72"/>
        <n v="16.059999999999999"/>
        <n v="34.880000000000003"/>
        <n v="39.229999999999997"/>
        <n v="53.19"/>
        <n v="29.64"/>
        <n v="14.61"/>
        <n v="45.07"/>
        <n v="60.06"/>
        <n v="25.64"/>
        <n v="55.47"/>
        <n v="67.72"/>
        <n v="7.6"/>
        <n v="53.48"/>
        <n v="63.54"/>
        <n v="15.43"/>
        <n v="68.58"/>
        <n v="10.46"/>
        <n v="57.64"/>
        <n v="7.9"/>
        <n v="22.62"/>
        <n v="20.68"/>
        <n v="62.71"/>
        <n v="45.27"/>
        <n v="24.81"/>
        <n v="39.57"/>
        <n v="38.03"/>
        <n v="9.32"/>
        <n v="16.34"/>
        <n v="40.69"/>
        <n v="29.67"/>
        <n v="68.349999999999994"/>
        <n v="10.75"/>
        <n v="29.97"/>
        <n v="50.04"/>
        <n v="48.23"/>
        <n v="28.62"/>
        <n v="6.38"/>
        <n v="30.49"/>
        <n v="67.34"/>
        <n v="53.68"/>
        <n v="13.88"/>
        <n v="52.83"/>
        <n v="39.67"/>
        <n v="30.31"/>
        <n v="39.340000000000003"/>
        <n v="35.4"/>
        <n v="7.78"/>
        <n v="35.049999999999997"/>
        <n v="8.51"/>
        <n v="62.28"/>
        <n v="30.6"/>
        <n v="40.32"/>
        <n v="6.41"/>
        <n v="33.86"/>
        <n v="55.22"/>
        <n v="20.6"/>
        <n v="64.900000000000006"/>
        <n v="24.93"/>
        <n v="63.08"/>
        <n v="7.21"/>
        <n v="41.99"/>
        <n v="43.65"/>
        <n v="14.06"/>
        <n v="16.329999999999998"/>
        <n v="55.96"/>
        <n v="53.34"/>
        <n v="43.99"/>
        <n v="39.06"/>
        <n v="59.89"/>
        <n v="48.31"/>
        <n v="44.78"/>
        <n v="12.51"/>
        <n v="56.19"/>
        <n v="34.729999999999997"/>
        <n v="63.12"/>
        <n v="34.24"/>
        <n v="15.82"/>
        <n v="24.43"/>
        <n v="48.95"/>
        <n v="7.01"/>
        <n v="38.83"/>
        <n v="69.13"/>
        <n v="56.64"/>
        <n v="11.07"/>
        <n v="28.98"/>
        <n v="33.57"/>
        <n v="44.51"/>
        <n v="43.78"/>
        <n v="64.36"/>
        <n v="23.4"/>
        <n v="7.13"/>
        <n v="54.42"/>
        <n v="30.48"/>
        <n v="40.5"/>
        <n v="58.45"/>
        <n v="32.36"/>
        <n v="34.85"/>
        <n v="5.89"/>
        <n v="42.27"/>
        <n v="56.26"/>
        <n v="39.22"/>
        <n v="55.55"/>
        <n v="54.24"/>
        <n v="36.04"/>
        <n v="44.8"/>
        <n v="41.76"/>
        <n v="51.36"/>
        <n v="20.23"/>
        <n v="48.55"/>
        <n v="49.11"/>
        <n v="27.6"/>
        <n v="53.9"/>
        <n v="51.97"/>
        <n v="15.74"/>
        <n v="28.44"/>
        <n v="69.260000000000005"/>
        <n v="37.880000000000003"/>
        <n v="38.880000000000003"/>
        <n v="49.61"/>
        <n v="47.55"/>
        <n v="49.44"/>
        <n v="12.37"/>
        <n v="31.21"/>
        <n v="69.55"/>
        <n v="6.9"/>
        <n v="42.1"/>
        <n v="8.14"/>
        <n v="5.25"/>
        <n v="63.78"/>
        <n v="53.11"/>
        <n v="60.7"/>
        <n v="49.91"/>
        <n v="57.21"/>
        <n v="19.2"/>
        <n v="61.95"/>
        <n v="22.44"/>
        <n v="14.27"/>
        <n v="35.909999999999997"/>
        <n v="21.59"/>
        <n v="9.7799999999999994"/>
        <n v="43.98"/>
        <n v="41.68"/>
        <n v="64.61"/>
        <n v="39.86"/>
        <n v="63.72"/>
        <n v="23.84"/>
        <n v="50.32"/>
        <n v="8.82"/>
        <n v="39.9"/>
        <n v="35.71"/>
        <n v="59.12"/>
        <n v="63.68"/>
        <n v="43.6"/>
        <n v="47.44"/>
        <n v="46.59"/>
        <n v="18.55"/>
        <n v="31.09"/>
        <n v="23.61"/>
        <n v="10.67"/>
        <n v="19.309999999999999"/>
        <n v="66.959999999999994"/>
        <n v="21.47"/>
        <n v="41.87"/>
        <n v="39.770000000000003"/>
        <n v="40.39"/>
        <n v="66.94"/>
        <n v="22.15"/>
        <n v="57.55"/>
        <n v="37.96"/>
        <n v="51.74"/>
        <n v="18.37"/>
        <n v="51.57"/>
        <n v="51.45"/>
        <n v="27.18"/>
        <n v="24.76"/>
        <n v="18.88"/>
        <n v="49.38"/>
        <n v="36.35"/>
        <n v="37.39"/>
        <n v="28.5"/>
        <n v="36.909999999999997"/>
        <n v="39.33"/>
        <n v="40.729999999999997"/>
        <n v="33.479999999999997"/>
        <n v="46.41"/>
        <n v="24.11"/>
        <n v="21.33"/>
        <n v="46.66"/>
        <n v="46.04"/>
        <n v="21.63"/>
        <n v="55.12"/>
        <n v="31.69"/>
        <n v="43.45"/>
        <n v="18.75"/>
        <n v="67.349999999999994"/>
        <n v="68.599999999999994"/>
        <n v="38.659999999999997"/>
        <n v="58.75"/>
        <n v="67.25"/>
        <n v="10.19"/>
        <n v="25.4"/>
        <n v="43.1"/>
        <n v="13.73"/>
        <n v="37.369999999999997"/>
        <n v="14.9"/>
        <n v="58.4"/>
        <n v="53.54"/>
        <n v="52.65"/>
        <n v="17.55"/>
        <n v="21.42"/>
        <n v="50.83"/>
        <n v="28.51"/>
        <n v="21.6"/>
        <n v="51.92"/>
        <n v="48.88"/>
        <n v="54.15"/>
        <n v="28.59"/>
        <n v="65.81"/>
        <n v="56.44"/>
        <n v="42.77"/>
        <n v="23.17"/>
        <n v="65.14"/>
        <n v="42.24"/>
        <n v="57.95"/>
        <n v="47.8"/>
        <n v="63.71"/>
        <n v="47.96"/>
        <n v="54.7"/>
        <n v="37.21"/>
        <n v="39.880000000000003"/>
        <n v="5.48"/>
        <n v="16.239999999999998"/>
        <n v="28.04"/>
        <n v="36.08"/>
        <n v="22.9"/>
        <n v="5.66"/>
        <n v="57.01"/>
        <n v="68.239999999999995"/>
        <n v="53.45"/>
        <n v="59.82"/>
        <n v="43.81"/>
        <n v="54.5"/>
        <n v="20.02"/>
        <n v="26.31"/>
        <n v="64.510000000000005"/>
        <n v="54.54"/>
        <n v="52.72"/>
        <n v="36.36"/>
        <n v="20.67"/>
        <n v="14.74"/>
        <n v="55.09"/>
        <n v="51.19"/>
        <n v="55.54"/>
        <n v="14.77"/>
        <n v="60.46"/>
        <n v="56.01"/>
        <n v="52.39"/>
        <n v="20.92"/>
        <n v="23.8"/>
        <n v="17.79"/>
        <n v="50.17"/>
        <n v="18.72"/>
        <n v="36.659999999999997"/>
        <n v="30.02"/>
        <n v="30.86"/>
        <n v="9.93"/>
        <n v="65.12"/>
        <n v="5.51"/>
        <n v="50.77"/>
        <n v="69.989999999999995"/>
        <n v="8.18"/>
        <n v="14.32"/>
        <n v="22.17"/>
        <n v="53.64"/>
        <n v="41.6"/>
        <n v="21.51"/>
        <n v="30.63"/>
        <n v="52.57"/>
        <n v="16.96"/>
        <n v="44.39"/>
        <n v="11.17"/>
        <n v="58.69"/>
        <n v="5.88"/>
        <n v="25.68"/>
        <n v="58.62"/>
        <n v="50.65"/>
        <n v="15.04"/>
        <n v="16.55"/>
        <n v="52.8"/>
        <n v="32.15"/>
        <n v="20.27"/>
        <n v="47.27"/>
        <n v="15.57"/>
        <n v="30"/>
        <n v="26.36"/>
        <n v="50.46"/>
        <n v="43.04"/>
        <n v="45.73"/>
        <n v="11.44"/>
        <n v="58.44"/>
        <n v="56.3"/>
        <n v="49.43"/>
        <n v="22.34"/>
        <n v="30.98"/>
        <n v="16.59"/>
        <n v="17.18"/>
        <n v="5.7"/>
        <n v="26.75"/>
        <n v="49.96"/>
        <n v="54.89"/>
        <n v="25.9"/>
        <n v="10.16"/>
        <n v="68.67"/>
        <n v="49.66"/>
        <n v="7.06"/>
        <n v="37.14"/>
        <n v="23.6"/>
        <n v="45.35"/>
        <n v="61.46"/>
        <n v="33.58"/>
        <n v="40.82"/>
        <n v="57.99"/>
        <n v="30.78"/>
        <n v="50.64"/>
        <n v="60.64"/>
        <n v="20.05"/>
        <n v="56.95"/>
        <n v="19.45"/>
        <n v="68.099999999999994"/>
        <n v="54.21"/>
        <n v="32.26"/>
        <n v="20.13"/>
        <n v="39.200000000000003"/>
        <n v="13.48"/>
        <n v="13.85"/>
        <n v="18.82"/>
        <n v="59.33"/>
        <n v="51.37"/>
        <n v="36.92"/>
        <n v="49.34"/>
        <n v="19.68"/>
        <n v="52.5"/>
        <n v="57.8"/>
        <n v="56.7"/>
        <n v="18.829999999999998"/>
        <n v="57.26"/>
        <n v="30.13"/>
        <n v="36.61"/>
        <n v="53.97"/>
        <n v="34.799999999999997"/>
        <n v="14.8"/>
        <n v="47.18"/>
        <n v="67.319999999999993"/>
        <n v="11.09"/>
        <n v="23.27"/>
        <n v="41.56"/>
        <n v="24.71"/>
        <n v="43.82"/>
        <n v="46.84"/>
        <n v="65.760000000000005"/>
        <n v="18.91"/>
        <n v="15.03"/>
        <n v="26.53"/>
        <n v="21.85"/>
        <n v="63.85"/>
        <n v="5.01"/>
        <n v="19.39"/>
        <n v="25.1"/>
        <n v="14.21"/>
        <n v="58.98"/>
        <n v="25.94"/>
        <n v="42.28"/>
        <n v="9.44"/>
        <n v="40.020000000000003"/>
        <n v="38.04"/>
        <n v="44.36"/>
        <n v="13.94"/>
        <n v="5.82"/>
        <n v="52.42"/>
        <n v="14.28"/>
        <n v="7.36"/>
        <n v="47.64"/>
        <n v="26.76"/>
        <n v="60.48"/>
        <n v="12"/>
        <n v="58.05"/>
        <n v="44.06"/>
        <n v="42.88"/>
        <n v="45.92"/>
        <n v="41.18"/>
        <n v="42.51"/>
        <n v="24.04"/>
        <n v="37.04"/>
        <n v="56.65"/>
        <n v="29.21"/>
        <n v="27.9"/>
        <n v="42.59"/>
        <n v="61.43"/>
        <n v="62.72"/>
        <n v="64"/>
        <n v="28.72"/>
        <n v="21.4"/>
        <n v="10.48"/>
        <n v="24.97"/>
        <n v="22.71"/>
        <n v="28.19"/>
        <n v="10.47"/>
        <n v="38.96"/>
        <n v="58.27"/>
        <n v="68.12"/>
        <n v="45.48"/>
        <n v="52.89"/>
        <n v="65.5"/>
        <n v="69.59"/>
        <n v="6.1"/>
        <n v="14.85"/>
        <n v="43.17"/>
        <n v="35"/>
        <n v="33.200000000000003"/>
        <n v="45.18"/>
        <n v="46.56"/>
        <n v="24.73"/>
        <n v="51.78"/>
        <n v="17.399999999999999"/>
        <n v="68.489999999999995"/>
        <n v="6.67"/>
        <n v="52.28"/>
        <n v="48.85"/>
        <n v="29.02"/>
        <n v="47.34"/>
        <n v="47.4"/>
        <n v="18.7"/>
        <n v="6.84"/>
        <n v="6.74"/>
        <n v="8.9"/>
        <n v="41.75"/>
        <n v="33.29"/>
        <n v="49.74"/>
        <n v="64.14"/>
        <n v="15.77"/>
        <n v="66.69"/>
        <n v="39.65"/>
        <n v="35.18"/>
        <n v="11.39"/>
        <n v="22.58"/>
        <n v="46.81"/>
        <n v="66.900000000000006"/>
        <n v="29.95"/>
        <n v="38.840000000000003"/>
        <n v="28.74"/>
        <n v="37.270000000000003"/>
        <n v="59.2"/>
        <n v="53.76"/>
        <n v="38.58"/>
        <n v="53.61"/>
        <n v="21.83"/>
        <n v="12.73"/>
        <n v="61.32"/>
        <n v="6.69"/>
        <n v="18.59"/>
        <n v="14.89"/>
        <n v="27.16"/>
        <n v="41.19"/>
        <n v="34.44"/>
        <n v="66.73"/>
        <n v="28.02"/>
        <n v="42.57"/>
        <n v="34.31"/>
        <n v="67.53"/>
        <n v="64.44"/>
        <n v="50.51"/>
        <n v="21.69"/>
        <n v="33.619999999999997"/>
        <n v="36.64"/>
        <n v="49.73"/>
        <n v="31.06"/>
        <n v="62.32"/>
        <n v="5.78"/>
        <n v="17.8"/>
        <n v="16.29"/>
        <n v="69.239999999999995"/>
        <n v="13.52"/>
        <n v="48.27"/>
        <n v="69.510000000000005"/>
        <n v="38.4"/>
        <n v="44.26"/>
        <n v="18.68"/>
        <n v="51.3"/>
        <n v="5.55"/>
        <n v="22.6"/>
        <n v="9.36"/>
        <n v="36.39"/>
        <n v="11.92"/>
        <n v="64.25"/>
        <n v="63.48"/>
        <n v="53.15"/>
        <n v="24.7"/>
        <n v="42.6"/>
        <n v="18.03"/>
        <n v="16.73"/>
        <n v="56.27"/>
        <n v="61.03"/>
        <n v="31.28"/>
        <n v="48.53"/>
        <n v="65.319999999999993"/>
        <n v="6.72"/>
        <n v="38.61"/>
        <n v="41.96"/>
        <n v="67.430000000000007"/>
        <n v="5.83"/>
        <n v="23.03"/>
        <n v="27.07"/>
        <n v="53.18"/>
        <n v="6.29"/>
        <n v="32.090000000000003"/>
        <n v="39.71"/>
        <n v="48.48"/>
        <n v="60.5"/>
        <n v="21.74"/>
        <n v="33.19"/>
        <n v="52.45"/>
        <n v="23.98"/>
        <n v="21.08"/>
        <n v="59.11"/>
        <n v="44.91"/>
        <n v="28.48"/>
        <n v="47.57"/>
        <n v="14.94"/>
        <n v="56.68"/>
        <n v="60.86"/>
        <n v="9.09"/>
        <n v="31.14"/>
        <n v="62.45"/>
        <n v="54.73"/>
        <n v="61.24"/>
        <n v="10.42"/>
        <n v="58.04"/>
        <n v="31.78"/>
        <n v="38.51"/>
        <n v="18.02"/>
        <n v="28.41"/>
        <n v="58.54"/>
        <n v="59.52"/>
        <n v="21.44"/>
        <n v="30.33"/>
        <n v="16.489999999999998"/>
        <n v="37.119999999999997"/>
        <n v="36.21"/>
        <n v="29.41"/>
        <n v="6.77"/>
        <n v="25.41"/>
        <n v="12.31"/>
        <n v="11.75"/>
        <n v="50.23"/>
        <n v="40.79"/>
        <n v="17.43"/>
        <n v="7.91"/>
        <n v="6.32"/>
        <n v="6.8"/>
        <n v="11.96"/>
        <n v="17.2"/>
        <n v="34.1"/>
        <n v="61.05"/>
        <n v="49.99"/>
        <n v="57.04"/>
        <n v="66.209999999999994"/>
        <n v="69.709999999999994"/>
        <n v="58.09"/>
        <n v="58.01"/>
        <n v="24.23"/>
        <n v="29.16"/>
        <n v="26.28"/>
        <n v="51.09"/>
        <n v="26.09"/>
        <n v="53.17"/>
        <n v="24.18"/>
        <n v="37.4"/>
        <n v="65.650000000000006"/>
        <n v="23.33"/>
        <n v="10.97"/>
        <n v="56.52"/>
        <n v="52.87"/>
        <n v="48.1"/>
        <n v="48.01"/>
        <n v="20.99"/>
        <n v="57.32"/>
        <n v="9.59"/>
        <n v="56.99"/>
        <n v="8.52"/>
        <n v="54.03"/>
        <n v="16.3"/>
        <n v="41.92"/>
        <n v="18.66"/>
        <n v="36.06"/>
        <n v="8.43"/>
        <n v="47.65"/>
        <n v="61.39"/>
        <n v="55.02"/>
        <n v="29.66"/>
        <n v="18.54"/>
        <n v="11.37"/>
        <n v="8.35"/>
        <n v="7.86"/>
        <n v="10.54"/>
        <n v="52.05"/>
        <n v="12.67"/>
        <n v="29.42"/>
        <n v="54.92"/>
        <n v="58.72"/>
        <n v="27.08"/>
        <n v="48.56"/>
        <n v="48.33"/>
        <n v="16.61"/>
        <n v="63.73"/>
        <n v="10.43"/>
        <n v="69.48"/>
        <n v="8.3000000000000007"/>
        <n v="59.37"/>
        <n v="34.06"/>
        <n v="50.66"/>
        <n v="57.23"/>
        <n v="6.91"/>
        <n v="26.04"/>
        <n v="13.14"/>
        <n v="68.38"/>
        <n v="51.23"/>
        <n v="38.93"/>
        <n v="33.85"/>
        <n v="28.09"/>
        <n v="8.5299999999999994"/>
        <n v="14.79"/>
        <n v="56.02"/>
        <n v="44.56"/>
        <n v="59.05"/>
        <n v="9.65"/>
        <n v="14.09"/>
        <n v="56.22"/>
        <n v="15.68"/>
        <n v="47.31"/>
        <n v="21.8"/>
        <n v="13.54"/>
        <n v="49.35"/>
        <n v="35.22"/>
        <n v="56.47"/>
        <n v="43.86"/>
        <n v="59.63"/>
        <n v="30.37"/>
        <n v="47.59"/>
        <n v="34.74"/>
        <n v="38.89"/>
        <n v="58.59"/>
        <n v="19.8"/>
        <n v="36.18"/>
        <n v="14.34"/>
        <n v="22.25"/>
        <n v="22.03"/>
        <n v="9.48"/>
        <n v="50.95"/>
        <n v="62.15"/>
        <n v="6.22"/>
        <n v="40.51"/>
        <n v="42.69"/>
        <n v="5.32"/>
        <n v="11.52"/>
        <n v="27.88"/>
        <n v="66.64"/>
        <n v="25.22"/>
        <n v="51.49"/>
        <n v="18.2"/>
        <n v="26.3"/>
        <n v="57.46"/>
        <n v="23.97"/>
        <n v="38.869999999999997"/>
        <n v="11.65"/>
        <n v="9.3699999999999992"/>
        <n v="58.73"/>
        <n v="20.16"/>
        <n v="50.94"/>
        <n v="25.39"/>
        <n v="24.63"/>
        <n v="9.14"/>
        <n v="48.62"/>
        <n v="50.8"/>
        <n v="22.16"/>
        <n v="51.64"/>
        <n v="58.92"/>
        <n v="66.459999999999994"/>
        <n v="39.61"/>
        <n v="31.75"/>
        <n v="22.98"/>
        <n v="51.6"/>
        <n v="5.98"/>
        <n v="30.64"/>
        <n v="49.63"/>
        <n v="61.82"/>
        <n v="21.52"/>
        <n v="51.86"/>
        <n v="31.45"/>
        <n v="27.37"/>
        <n v="21.87"/>
        <n v="26.01"/>
        <n v="18.559999999999999"/>
        <n v="59.65"/>
        <n v="42.16"/>
        <n v="17.47"/>
        <n v="65.900000000000006"/>
        <n v="13.15"/>
        <n v="7.97"/>
        <n v="37.979999999999997"/>
        <n v="7.99"/>
        <n v="16.48"/>
        <n v="51.03"/>
        <n v="19.05"/>
        <n v="59.34"/>
        <n v="69.319999999999993"/>
        <n v="30.79"/>
        <n v="20.41"/>
        <n v="69.66"/>
        <n v="45.45"/>
        <n v="17.38"/>
        <n v="59.07"/>
        <n v="50.63"/>
        <n v="17.350000000000001"/>
        <n v="67.3"/>
        <n v="16.53"/>
        <n v="61.59"/>
        <n v="26.32"/>
        <n v="57.52"/>
        <n v="55.79"/>
        <n v="9.16"/>
        <n v="29.18"/>
        <n v="17.149999999999999"/>
        <n v="69.37"/>
        <n v="18.89"/>
        <n v="51.54"/>
        <n v="29.01"/>
        <n v="26.27"/>
        <n v="22.09"/>
        <n v="29.73"/>
        <n v="46.22"/>
        <n v="26.82"/>
        <n v="29.99"/>
        <n v="35.28"/>
        <n v="12.56"/>
        <n v="40.47"/>
        <n v="41.73"/>
        <n v="22.88"/>
        <n v="21.66"/>
        <n v="40.799999999999997"/>
        <n v="57.72"/>
        <n v="55.83"/>
        <n v="57.12"/>
        <n v="65.540000000000006"/>
        <n v="21.84"/>
        <n v="19.510000000000002"/>
        <n v="5.46"/>
        <n v="33.25"/>
        <n v="32.299999999999997"/>
        <n v="64.42"/>
        <n v="6.53"/>
        <n v="58.47"/>
        <n v="9.3800000000000008"/>
        <n v="31.31"/>
        <n v="54.51"/>
        <n v="51"/>
        <n v="25.42"/>
        <n v="30.04"/>
        <n v="21.26"/>
        <n v="22.97"/>
        <n v="7.8"/>
        <n v="8.74"/>
        <n v="64.819999999999993"/>
        <n v="68.97"/>
        <n v="25.7"/>
        <n v="56.28"/>
        <n v="28.84"/>
        <n v="6.48"/>
        <n v="34.94"/>
        <n v="58.91"/>
        <n v="45.19"/>
        <n v="39.04"/>
        <n v="12.07"/>
        <n v="64.11"/>
        <n v="29.85"/>
        <n v="42.99"/>
        <n v="62.39"/>
        <n v="67.010000000000005"/>
        <n v="16.190000000000001"/>
        <n v="67.61"/>
        <n v="61.77"/>
        <n v="35.19"/>
        <n v="28.96"/>
        <n v="65.36"/>
        <n v="44.05"/>
        <n v="32.04"/>
        <n v="34.840000000000003"/>
        <n v="62.23"/>
        <n v="49.14"/>
        <n v="44.47"/>
        <n v="69.7"/>
        <n v="12.85"/>
        <n v="5.05"/>
        <n v="58.86"/>
        <n v="17.239999999999998"/>
        <n v="7.77"/>
        <n v="21.76"/>
        <n v="67.510000000000005"/>
        <n v="37.159999999999997"/>
        <n v="19.5"/>
        <n v="64.739999999999995"/>
        <n v="38.65"/>
        <n v="55.86"/>
        <n v="16.8"/>
        <n v="16"/>
        <n v="22.14"/>
        <n v="46.83"/>
        <n v="17.190000000000001"/>
        <n v="55.42"/>
        <n v="18.079999999999998"/>
        <n v="19.739999999999998"/>
        <n v="14.13"/>
        <n v="25.37"/>
        <n v="36.33"/>
        <n v="47.72"/>
        <n v="20.63"/>
        <n v="64.27"/>
        <n v="11.13"/>
        <n v="55.4"/>
        <n v="11.93"/>
        <n v="63.37"/>
        <n v="31.02"/>
        <n v="23.39"/>
        <n v="12.04"/>
        <n v="21.1"/>
        <n v="21.79"/>
        <n v="21.53"/>
        <n v="60.98"/>
        <n v="54.34"/>
        <n v="20.350000000000001"/>
        <n v="23.47"/>
        <n v="16.559999999999999"/>
        <n v="57.09"/>
        <n v="68.77"/>
        <n v="69.010000000000005"/>
        <n v="5.76"/>
        <n v="12.61"/>
        <n v="46.92"/>
        <n v="54.41"/>
        <n v="61.14"/>
        <n v="29.33"/>
        <n v="52.09"/>
        <n v="6.99"/>
        <n v="46.36"/>
        <n v="62.94"/>
        <n v="60.01"/>
        <n v="55.84"/>
        <n v="11.82"/>
        <n v="42.25"/>
        <n v="43.84"/>
        <n v="48.21"/>
        <n v="36.44"/>
        <n v="53.1"/>
        <n v="68.55"/>
        <n v="28.76"/>
        <n v="66.06"/>
        <n v="53.28"/>
        <n v="10.61"/>
        <n v="66.81"/>
        <n v="60.83"/>
        <n v="21.34"/>
        <n v="21.21"/>
        <n v="45.03"/>
        <n v="14.62"/>
        <n v="14.6"/>
        <n v="44.7"/>
        <n v="29.92"/>
        <n v="22.87"/>
        <n v="66.97"/>
        <n v="30.23"/>
        <n v="50.56"/>
        <n v="48.72"/>
        <n v="50.34"/>
        <n v="67.02"/>
        <n v="23.66"/>
        <n v="36.119999999999997"/>
        <n v="69.95"/>
        <n v="36.03"/>
        <n v="63.57"/>
        <n v="52.99"/>
        <n v="27.54"/>
        <n v="65.73"/>
        <n v="21.13"/>
        <n v="32.35"/>
        <n v="20.55"/>
        <n v="24.75"/>
        <n v="18.25"/>
        <n v="28.37"/>
        <n v="30.7"/>
        <n v="9.92"/>
        <n v="27.77"/>
        <n v="57.27"/>
        <n v="61.61"/>
        <n v="42.32"/>
        <n v="56.74"/>
        <n v="68.849999999999994"/>
        <n v="21.88"/>
        <n v="61.57"/>
        <n v="21.64"/>
        <n v="19.079999999999998"/>
        <n v="61.66"/>
        <n v="27.8"/>
        <n v="40.590000000000003"/>
        <n v="21.16"/>
        <n v="26.44"/>
        <n v="24.46"/>
        <n v="11.4"/>
        <n v="18"/>
        <n v="12.46"/>
        <n v="48.83"/>
        <n v="10.93"/>
        <n v="36.590000000000003"/>
        <n v="69.06"/>
        <n v="26.26"/>
        <n v="22"/>
        <n v="68.14"/>
        <n v="32.85"/>
        <n v="39.909999999999997"/>
        <n v="39.35"/>
        <n v="57.74"/>
        <n v="26.14"/>
        <n v="42.52"/>
        <n v="10.039999999999999"/>
        <n v="49.71"/>
        <n v="25.11"/>
        <n v="63.3"/>
        <n v="44.92"/>
        <n v="54.17"/>
        <n v="65.95"/>
        <n v="26.17"/>
        <n v="65.94"/>
        <n v="9.1999999999999993"/>
        <n v="43.38"/>
        <n v="19.149999999999999"/>
        <n v="7.15"/>
        <n v="25.67"/>
        <n v="9.77"/>
        <n v="10.37"/>
        <n v="25.45"/>
        <n v="32.64"/>
        <n v="52.66"/>
        <n v="44.85"/>
        <n v="32.9"/>
        <n v="50.58"/>
        <n v="12.54"/>
        <n v="14.1"/>
        <n v="64.680000000000007"/>
        <n v="11.74"/>
        <n v="18.13"/>
        <n v="25.99"/>
        <n v="56.94"/>
        <n v="30.43"/>
        <n v="21.99"/>
        <n v="32.96"/>
        <n v="64.86"/>
        <n v="25.8"/>
        <n v="35.619999999999997"/>
        <n v="20.39"/>
        <n v="34.159999999999997"/>
        <n v="62.14"/>
        <n v="44.32"/>
        <n v="42.61"/>
        <n v="28.68"/>
        <n v="12.35"/>
        <n v="38.11"/>
        <n v="36.770000000000003"/>
        <n v="23.07"/>
        <n v="30.84"/>
        <n v="47.1"/>
        <n v="11.03"/>
        <n v="52.95"/>
        <n v="20.399999999999999"/>
        <n v="42.95"/>
        <n v="8.19"/>
        <n v="47.88"/>
        <n v="31.49"/>
        <n v="35.21"/>
        <n v="58.82"/>
        <n v="16.25"/>
        <n v="56.34"/>
        <n v="51.55"/>
        <n v="45.76"/>
        <n v="57.44"/>
        <n v="33.4"/>
        <n v="47.7"/>
        <n v="56.75"/>
        <n v="25.52"/>
        <n v="28.61"/>
        <n v="10.34"/>
        <n v="7.57"/>
        <n v="25.74"/>
        <n v="34.33"/>
        <n v="62.78"/>
        <n v="51.01"/>
        <n v="54.53"/>
        <n v="6.39"/>
        <n v="20.04"/>
        <n v="44.38"/>
        <n v="61.44"/>
        <n v="5.23"/>
        <n v="65.67"/>
        <n v="47.04"/>
        <n v="62.92"/>
        <n v="38.71"/>
        <n v="40.75"/>
        <n v="48.11"/>
        <n v="13.56"/>
        <n v="32.43"/>
        <n v="49.01"/>
        <n v="47.3"/>
        <n v="24"/>
        <n v="31.04"/>
        <n v="41.63"/>
        <n v="39.36"/>
        <n v="18.46"/>
        <n v="32.82"/>
        <n v="8.32"/>
        <n v="25.78"/>
        <n v="32.840000000000003"/>
        <n v="32.42"/>
        <n v="56.91"/>
        <n v="55"/>
        <n v="27.81"/>
        <n v="50.37"/>
        <n v="67.58"/>
        <n v="63.58"/>
        <n v="26.55"/>
        <n v="23.81"/>
        <n v="10.78"/>
        <n v="47.63"/>
        <n v="51.35"/>
        <n v="35.869999999999997"/>
        <n v="47.01"/>
        <n v="63.38"/>
        <n v="47.85"/>
        <n v="28.17"/>
        <n v="22.27"/>
        <n v="26.65"/>
        <n v="9.74"/>
        <n v="55.92"/>
        <n v="19.47"/>
        <n v="40.53"/>
        <n v="21.81"/>
        <n v="10.53"/>
        <n v="53.51"/>
        <n v="19.73"/>
        <n v="22.83"/>
        <n v="52.52"/>
        <n v="15.29"/>
        <n v="51.71"/>
        <n v="51.95"/>
        <n v="10.23"/>
        <n v="53.22"/>
        <n v="68.48"/>
        <n v="53.07"/>
        <n v="38.99"/>
        <n v="13.92"/>
        <n v="43.66"/>
        <n v="5.91"/>
        <n v="42.39"/>
        <n v="46.46"/>
        <n v="63.67"/>
        <n v="33.51"/>
        <n v="25.31"/>
        <n v="52.03"/>
        <n v="52.79"/>
        <n v="14.45"/>
        <n v="34.69"/>
        <n v="16.7"/>
        <n v="49.57"/>
        <n v="41.22"/>
        <n v="40.57"/>
        <n v="46.33"/>
        <n v="31.16"/>
        <n v="13.31"/>
        <n v="69.87"/>
        <n v="32.01"/>
        <n v="6.65"/>
        <n v="58.99"/>
        <n v="37.729999999999997"/>
        <n v="45.05"/>
        <n v="20.48"/>
        <n v="59.21"/>
        <n v="60.43"/>
        <n v="63.92"/>
        <n v="31.56"/>
        <n v="22.66"/>
        <n v="18.93"/>
        <n v="14.12"/>
        <n v="55.65"/>
        <n v="48.09"/>
        <n v="36.619999999999997"/>
        <n v="55.82"/>
        <n v="36.46"/>
        <n v="54.19"/>
        <n v="65.2"/>
        <n v="35.43"/>
        <n v="59.28"/>
        <n v="20.69"/>
        <n v="9.31"/>
        <n v="48.54"/>
        <n v="50.14"/>
        <n v="34.64"/>
        <n v="61.65"/>
        <n v="64.47"/>
        <n v="56.53"/>
        <n v="7.61"/>
        <n v="13.71"/>
        <n v="39.380000000000003"/>
        <n v="27.17"/>
        <n v="68.91"/>
        <n v="45.02"/>
        <n v="50.53"/>
        <n v="9.33"/>
        <n v="34.520000000000003"/>
        <n v="47.2"/>
        <n v="6.03"/>
        <n v="6.96"/>
        <n v="5.62"/>
        <n v="34.46"/>
        <n v="44.1"/>
        <n v="57.25"/>
        <n v="44.02"/>
        <n v="36.43"/>
        <n v="18.52"/>
        <n v="14.05"/>
        <n v="23.95"/>
        <n v="10.3"/>
        <n v="13.36"/>
        <n v="23.38"/>
        <n v="53.91"/>
        <n v="63.15"/>
        <n v="22.1"/>
        <n v="6.43"/>
        <n v="38.21"/>
        <n v="62.73"/>
        <n v="25.09"/>
        <n v="47.48"/>
        <n v="65.47"/>
        <n v="69.41"/>
        <n v="66.989999999999995"/>
        <n v="50.4"/>
        <n v="65.53"/>
        <n v="19.62"/>
        <n v="9.0299999999999994"/>
        <n v="8.17"/>
        <n v="32.54"/>
        <n v="23.32"/>
        <n v="26"/>
        <n v="21.35"/>
        <n v="25.23"/>
        <n v="41.24"/>
        <n v="37.43"/>
        <n v="28.33"/>
        <n v="25.5"/>
        <n v="64.34"/>
        <n v="62.82"/>
        <n v="26.94"/>
        <n v="59.57"/>
        <n v="50.03"/>
        <n v="23.12"/>
        <n v="29.27"/>
        <n v="23.34"/>
        <n v="58.63"/>
        <n v="15.21"/>
        <n v="35.57"/>
        <n v="64.48"/>
        <n v="27.59"/>
        <n v="5.13"/>
        <n v="69.63"/>
        <n v="42.71"/>
        <n v="35.479999999999997"/>
        <n v="64.040000000000006"/>
        <n v="27.65"/>
        <n v="56.84"/>
        <n v="41.57"/>
        <n v="54.83"/>
        <n v="19.88"/>
        <n v="51.96"/>
        <n v="46.65"/>
        <n v="59.6"/>
        <n v="47.12"/>
        <n v="27.68"/>
        <n v="45.93"/>
        <n v="14"/>
        <n v="43.06"/>
        <n v="62.03"/>
        <n v="38.82"/>
        <n v="10.51"/>
        <n v="61.3"/>
        <n v="22.99"/>
        <n v="45.67"/>
        <n v="28.52"/>
        <n v="41.55"/>
        <n v="53.35"/>
        <n v="17.510000000000002"/>
        <n v="33.799999999999997"/>
        <n v="28.7"/>
        <n v="29.56"/>
        <n v="20.51"/>
        <n v="52.53"/>
        <n v="31.98"/>
        <n v="52.82"/>
        <n v="68.45"/>
        <n v="63.52"/>
        <n v="52.69"/>
        <n v="66.66"/>
        <n v="33.97"/>
        <n v="57.6"/>
        <n v="36.69"/>
        <n v="12.69"/>
        <n v="47.19"/>
        <n v="21.15"/>
        <n v="16.36"/>
        <n v="28.86"/>
        <n v="5.36"/>
        <n v="51.77"/>
        <n v="34.869999999999997"/>
        <n v="60.9"/>
        <n v="69.16"/>
        <n v="50.18"/>
        <n v="24.84"/>
        <n v="18.440000000000001"/>
        <n v="61.91"/>
        <n v="48.79"/>
        <n v="65.209999999999994"/>
        <n v="5.99"/>
        <n v="10.58"/>
        <n v="17.57"/>
        <n v="22.48"/>
        <n v="59.22"/>
        <n v="41.53"/>
        <n v="62.55"/>
        <n v="52.96"/>
        <n v="18.239999999999998"/>
        <n v="59.48"/>
        <n v="64.95"/>
        <n v="21.24"/>
        <n v="17.45"/>
        <n v="43.51"/>
        <n v="23.43"/>
        <n v="32.6"/>
        <n v="66.72"/>
        <n v="6.73"/>
        <n v="9.3000000000000007"/>
        <n v="25.95"/>
        <n v="42.62"/>
        <n v="65.069999999999993"/>
        <n v="46.19"/>
        <n v="20.95"/>
        <n v="54.72"/>
        <n v="38.1"/>
        <n v="37.29"/>
        <n v="32.81"/>
        <n v="21.45"/>
        <n v="9.7899999999999991"/>
        <n v="13.33"/>
        <n v="30.27"/>
        <n v="38.68"/>
        <n v="47.58"/>
        <n v="19.21"/>
        <n v="35.76"/>
        <n v="17.11"/>
        <n v="44.95"/>
        <n v="42.97"/>
        <n v="30.55"/>
        <n v="54.55"/>
        <n v="15.37"/>
        <n v="69.790000000000006"/>
        <n v="56.39"/>
        <n v="21.54"/>
        <n v="38.75"/>
        <n v="19.16"/>
        <n v="13.03"/>
        <n v="18.940000000000001"/>
        <n v="38.01"/>
        <n v="33.119999999999997"/>
        <n v="67.33"/>
        <n v="41.02"/>
        <n v="31.64"/>
        <n v="12.3"/>
        <n v="7.04"/>
        <n v="48.81"/>
        <n v="30.42"/>
        <n v="24.77"/>
        <n v="25.79"/>
        <n v="41.91"/>
        <n v="37.58"/>
        <n v="34.35"/>
        <n v="50.62"/>
        <n v="37.590000000000003"/>
        <n v="20.74"/>
        <n v="35.11"/>
        <n v="31.57"/>
        <n v="12.6"/>
        <n v="45.89"/>
        <n v="39.94"/>
        <n v="35.72"/>
        <n v="32.69"/>
        <n v="59.35"/>
        <n v="46.3"/>
        <n v="43.58"/>
        <n v="12.93"/>
        <n v="53.7"/>
        <n v="10.81"/>
        <n v="5.72"/>
        <n v="66.61"/>
        <n v="44.31"/>
        <n v="39.979999999999997"/>
        <n v="37.54"/>
        <n v="29.14"/>
        <n v="43.79"/>
        <n v="34.22"/>
        <n v="39.29"/>
        <n v="36.15"/>
        <n v="45.55"/>
        <n v="62.57"/>
        <n v="19.32"/>
        <n v="49.16"/>
        <n v="37.71"/>
        <n v="44.33"/>
        <n v="23.01"/>
        <n v="19.690000000000001"/>
        <n v="47.45"/>
        <n v="26.62"/>
        <n v="22.2"/>
        <n v="8.86"/>
        <n v="37.049999999999997"/>
        <n v="60.08"/>
        <n v="5.12"/>
        <n v="18.29"/>
        <n v="10.9"/>
        <n v="34.03"/>
        <n v="14.15"/>
        <n v="14.24"/>
        <n v="52.16"/>
        <n v="27.53"/>
        <n v="44.77"/>
        <n v="25.59"/>
        <n v="15.49"/>
        <n v="36.17"/>
        <n v="26.67"/>
        <n v="50.08"/>
        <n v="19.86"/>
        <n v="53.62"/>
        <n v="35.17"/>
        <n v="60.16"/>
        <n v="27.66"/>
        <n v="31.46"/>
        <n v="47.5"/>
        <n v="28.25"/>
        <n v="23.52"/>
        <n v="37.909999999999997"/>
        <n v="64.56"/>
        <n v="24.96"/>
        <n v="62.79"/>
        <n v="56.15"/>
        <n v="36.4"/>
        <n v="53.47"/>
        <n v="41.11"/>
        <n v="13.44"/>
        <n v="52.14"/>
        <n v="51.67"/>
        <n v="28.95"/>
        <n v="57.33"/>
        <n v="23.3"/>
        <n v="16.78"/>
        <n v="26.06"/>
        <n v="43.5"/>
        <n v="29.57"/>
        <n v="31.15"/>
        <n v="29.31"/>
        <n v="6.52"/>
        <n v="11.79"/>
        <n v="44.28"/>
        <n v="7.55"/>
        <n v="36.49"/>
        <n v="61.87"/>
        <n v="47.66"/>
        <n v="53.4"/>
        <n v="19.489999999999998"/>
        <n v="64.260000000000005"/>
        <n v="57.76"/>
        <n v="37.869999999999997"/>
        <n v="40.67"/>
        <n v="50.81"/>
        <n v="24.08"/>
        <n v="20.53"/>
        <n v="24.94"/>
        <n v="48.38"/>
        <n v="57.51"/>
        <n v="52.25"/>
        <n v="21.58"/>
        <n v="48.02"/>
        <n v="68.319999999999993"/>
        <n v="17.579999999999998"/>
        <n v="9.7100000000000009"/>
        <n v="18.22"/>
        <n v="42.44"/>
        <n v="50.02"/>
        <n v="43.33"/>
        <n v="49.31"/>
        <n v="11.35"/>
        <n v="48.94"/>
        <n v="64.73"/>
        <n v="52.1"/>
        <n v="27.27"/>
        <n v="39.53"/>
        <n v="47.89"/>
        <n v="29.51"/>
        <n v="52.02"/>
        <n v="64.290000000000006"/>
        <n v="56.87"/>
        <n v="22.21"/>
        <n v="20.89"/>
        <n v="21.95"/>
        <n v="34.81"/>
        <n v="25.97"/>
        <n v="10.95"/>
        <n v="31.95"/>
        <n v="49.81"/>
        <n v="46.43"/>
        <n v="61.47"/>
        <n v="64.81"/>
        <n v="42.96"/>
        <n v="45.61"/>
        <n v="41.25"/>
        <n v="10.76"/>
        <n v="49.04"/>
        <n v="16.350000000000001"/>
        <n v="39.840000000000003"/>
        <n v="40.06"/>
        <n v="40.64"/>
        <n v="16.22"/>
        <n v="47.09"/>
        <n v="40.33"/>
        <n v="11.54"/>
        <n v="28.47"/>
        <n v="38.67"/>
        <n v="34.630000000000003"/>
        <n v="39.159999999999997"/>
        <n v="28.29"/>
        <n v="29.54"/>
        <n v="37.67"/>
        <n v="13.55"/>
        <n v="29.13"/>
        <n v="58.22"/>
        <n v="46.62"/>
        <n v="23.92"/>
        <n v="27.29"/>
        <n v="40.07"/>
        <n v="43.57"/>
        <n v="19.89"/>
        <n v="49.88"/>
        <n v="28.8"/>
        <n v="26.47"/>
        <n v="42.4"/>
        <n v="47.03"/>
        <n v="16.62"/>
        <n v="24.01"/>
        <n v="40.86"/>
        <n v="7.67"/>
        <n v="9.4499999999999993"/>
        <n v="9.43"/>
        <n v="58.11"/>
        <n v="49.7"/>
        <n v="19.22"/>
        <n v="19.010000000000002"/>
        <n v="43.05"/>
        <n v="52.07"/>
        <n v="12.32"/>
        <n v="55.16"/>
        <n v="64.55"/>
        <n v="55.95"/>
        <n v="35.99"/>
        <n v="15.13"/>
        <n v="69.36"/>
        <n v="67.900000000000006"/>
        <n v="23.79"/>
        <n v="27.58"/>
        <n v="59"/>
        <n v="44.89"/>
        <n v="37.17"/>
        <n v="11.98"/>
        <n v="62.97"/>
        <n v="64.66"/>
        <n v="37.47"/>
        <n v="6.92"/>
        <n v="10.69"/>
        <n v="48.65"/>
        <n v="6.5"/>
        <n v="55.26"/>
        <n v="29.93"/>
        <n v="24.83"/>
        <n v="42.19"/>
        <n v="52.63"/>
        <n v="28.23"/>
        <n v="26.34"/>
        <n v="67.209999999999994"/>
        <n v="41.84"/>
        <n v="6.58"/>
        <n v="18.670000000000002"/>
        <n v="34.590000000000003"/>
        <n v="35.119999999999997"/>
        <n v="19.420000000000002"/>
        <n v="9.56"/>
        <n v="30.47"/>
        <n v="11.94"/>
        <n v="30.91"/>
        <n v="37.36"/>
        <n v="34.58"/>
        <n v="51.94"/>
        <n v="29.65"/>
        <n v="41.4"/>
        <n v="48.36"/>
        <n v="68.28"/>
        <n v="62.11"/>
        <n v="36.32"/>
        <n v="49.27"/>
        <n v="46.72"/>
        <n v="27.1"/>
        <n v="10.36"/>
        <n v="12.36"/>
        <n v="68.2"/>
        <n v="27.09"/>
        <n v="39.82"/>
        <n v="49.07"/>
        <n v="52"/>
        <n v="41.06"/>
        <n v="11.6"/>
        <n v="62.08"/>
        <n v="62.51"/>
        <n v="17.61"/>
        <n v="44.9"/>
        <n v="69.94"/>
        <n v="17.28"/>
        <n v="42.38"/>
        <n v="54.1"/>
        <n v="33"/>
        <n v="33.5"/>
        <n v="9.26"/>
        <n v="48.13"/>
        <n v="35.299999999999997"/>
        <n v="15.16"/>
        <n v="31.73"/>
        <n v="15.86"/>
        <n v="23.51"/>
        <n v="35.96"/>
        <n v="7.76"/>
        <n v="33.36"/>
        <n v="38.409999999999997"/>
        <n v="66.760000000000005"/>
        <n v="65.290000000000006"/>
        <n v="19.71"/>
        <n v="69.77"/>
        <n v="52.46"/>
        <n v="20.66"/>
        <n v="14.43"/>
        <n v="69.92"/>
        <n v="29.46"/>
        <n v="33.07"/>
        <n v="55.27"/>
        <n v="50.61"/>
        <n v="49.86"/>
        <n v="56.36"/>
        <n v="53.86"/>
        <n v="28.34"/>
        <n v="59.98"/>
        <n v="15.69"/>
        <n v="7.48"/>
        <n v="12.22"/>
        <n v="46.96"/>
        <n v="65.459999999999994"/>
        <n v="26.07"/>
        <n v="49.79"/>
        <n v="48.15"/>
        <n v="24.35"/>
        <n v="63.99"/>
        <n v="69.05"/>
        <n v="28.4"/>
        <n v="64.89"/>
        <n v="25.03"/>
        <n v="15.41"/>
        <n v="32.380000000000003"/>
        <n v="50.11"/>
        <n v="45.99"/>
        <n v="47.28"/>
        <n v="66.150000000000006"/>
        <n v="32.49"/>
        <n v="49.8"/>
        <n v="46.54"/>
        <n v="66.849999999999994"/>
        <n v="32.31"/>
        <n v="62.87"/>
        <n v="5.39"/>
        <n v="21.23"/>
        <n v="18.61"/>
        <n v="12.16"/>
        <n v="34.53"/>
        <n v="26.92"/>
        <n v="35.6"/>
        <n v="8.07"/>
        <n v="13.1"/>
        <n v="6.54"/>
        <n v="55.48"/>
        <n v="60.55"/>
        <n v="43.68"/>
        <n v="24.37"/>
        <n v="54.71"/>
        <n v="15.09"/>
        <n v="37.479999999999997"/>
        <n v="46.1"/>
        <n v="46"/>
        <n v="16.27"/>
        <n v="33.090000000000003"/>
        <n v="38.19"/>
        <n v="25.66"/>
        <n v="41.5"/>
        <n v="13.23"/>
        <n v="54.26"/>
        <n v="47.41"/>
        <n v="44.82"/>
        <n v="36.549999999999997"/>
        <n v="40.270000000000003"/>
        <n v="6.75"/>
        <n v="17.54"/>
        <n v="35.39"/>
        <n v="7.16"/>
        <n v="62.85"/>
        <n v="49.25"/>
        <n v="53.25"/>
        <n v="32.909999999999997"/>
        <n v="37.28"/>
        <n v="37.630000000000003"/>
        <n v="40.17"/>
        <n v="50.16"/>
        <n v="6.56"/>
        <n v="8.39"/>
        <n v="42.26"/>
        <n v="40.619999999999997"/>
        <n v="56.09"/>
        <n v="41.58"/>
        <n v="29.06"/>
        <n v="58.74"/>
        <n v="15.02"/>
        <n v="43.56"/>
        <n v="26.52"/>
        <n v="24.92"/>
        <n v="16.91"/>
        <n v="63.55"/>
        <n v="66.28"/>
        <n v="59.76"/>
        <n v="63.41"/>
        <n v="25"/>
        <n v="59.59"/>
        <n v="21.12"/>
        <n v="43.43"/>
        <n v="10.85"/>
        <n v="56.38"/>
        <n v="40.22"/>
        <n v="7.43"/>
        <n v="42.55"/>
        <n v="51.41"/>
        <n v="7.12"/>
        <n v="61.69"/>
        <n v="42.23"/>
        <n v="34.51"/>
        <n v="62.91"/>
        <n v="63.88"/>
        <n v="33.380000000000003"/>
        <n v="9.42"/>
        <n v="36.950000000000003"/>
        <n v="36.79"/>
        <n v="6.87"/>
        <n v="14.52"/>
        <n v="37.53"/>
        <n v="37.18"/>
        <n v="15.52"/>
        <n v="31.68"/>
        <n v="48.59"/>
        <n v="10.28"/>
        <n v="16.11"/>
        <n v="20.420000000000002"/>
        <n v="40.08"/>
        <n v="14.25"/>
        <n v="65.69"/>
        <n v="45.28"/>
        <n v="54.93"/>
        <n v="30.24"/>
        <n v="66.88"/>
        <n v="67.760000000000005"/>
        <n v="59.18"/>
        <n v="68.400000000000006"/>
        <n v="24.87"/>
        <n v="12.68"/>
        <n v="15.15"/>
        <n v="34.409999999999997"/>
        <n v="45.96"/>
        <n v="21.86"/>
        <n v="9.86"/>
        <n v="51.28"/>
        <n v="10.06"/>
        <n v="67.12"/>
        <n v="47.43"/>
        <n v="34.15"/>
        <n v="54.88"/>
        <n v="64.09"/>
        <n v="53.58"/>
        <n v="53.78"/>
        <n v="68.13"/>
        <n v="16.46"/>
        <n v="23.89"/>
        <n v="8.4700000000000006"/>
        <n v="5.29"/>
        <n v="11.8"/>
        <n v="12.08"/>
        <n v="12.98"/>
        <n v="10.050000000000001"/>
        <n v="66.3"/>
        <n v="37.33"/>
        <n v="63.18"/>
        <n v="63.62"/>
        <n v="36.11"/>
        <n v="13.42"/>
        <n v="42.3"/>
        <n v="20.45"/>
        <n v="8.77"/>
        <n v="53.01"/>
        <n v="51.33"/>
        <n v="68.260000000000005"/>
        <n v="16.05"/>
        <n v="22.12"/>
        <n v="45.15"/>
        <n v="31.74"/>
        <n v="47.94"/>
        <n v="63.65"/>
        <n v="31.87"/>
        <n v="64.83"/>
        <n v="61"/>
        <n v="55.52"/>
        <n v="6.61"/>
        <n v="53.14"/>
        <n v="56.58"/>
        <n v="19.29"/>
        <n v="30.71"/>
        <n v="39.869999999999997"/>
        <n v="23.59"/>
        <n v="31.83"/>
        <n v="54.97"/>
        <n v="30.38"/>
        <n v="59.91"/>
        <n v="10.199999999999999"/>
        <n v="49.67"/>
        <n v="50.05"/>
        <n v="62.52"/>
        <n v="70"/>
        <n v="24.26"/>
        <n v="13.95"/>
        <n v="36.340000000000003"/>
        <n v="51.73"/>
        <n v="59.93"/>
        <n v="48.93"/>
        <n v="46.4"/>
        <n v="17.010000000000002"/>
        <n v="66.569999999999993"/>
        <n v="54.35"/>
        <n v="42.54"/>
        <n v="43.09"/>
        <n v="47.99"/>
        <n v="28.94"/>
        <n v="61.35"/>
        <n v="46.67"/>
        <n v="29.37"/>
        <n v="26.5"/>
        <n v="58.24"/>
        <n v="45.54"/>
        <n v="65.239999999999995"/>
        <n v="9.39"/>
        <n v="35.83"/>
        <n v="29.49"/>
        <n v="18.43"/>
        <n v="40.92"/>
        <n v="65.92"/>
        <n v="38.92"/>
        <n v="56.66"/>
        <n v="26.42"/>
        <n v="11.05"/>
        <n v="69.459999999999994"/>
        <n v="55.24"/>
        <n v="32.479999999999997"/>
        <n v="33.18"/>
        <n v="24.57"/>
        <n v="67.83"/>
        <n v="57.19"/>
        <n v="19.77"/>
        <n v="49.08"/>
        <n v="28.21"/>
        <n v="19.59"/>
        <n v="8.3800000000000008"/>
        <n v="11.51"/>
        <n v="6.57"/>
        <n v="54.01"/>
        <n v="21.78"/>
        <n v="13.63"/>
        <n v="58.67"/>
        <n v="19.579999999999998"/>
        <n v="26.24"/>
        <n v="45.9"/>
        <n v="57.18"/>
        <n v="12.19"/>
        <n v="63.13"/>
        <n v="59.16"/>
        <n v="23.83"/>
        <n v="38.340000000000003"/>
        <n v="44.5"/>
        <n v="68.44"/>
        <n v="52.92"/>
        <n v="47.92"/>
        <n v="32.33"/>
        <n v="20.3"/>
        <n v="52.12"/>
        <n v="56.32"/>
        <n v="25.92"/>
        <n v="43.14"/>
        <n v="66.62"/>
        <n v="55.1"/>
        <n v="60.4"/>
        <n v="7.81"/>
        <n v="44.96"/>
        <n v="38.6"/>
        <n v="46.71"/>
        <n v="10.07"/>
        <n v="35.31"/>
        <n v="55.66"/>
        <n v="16.260000000000002"/>
        <n v="15.12"/>
        <n v="50.79"/>
        <n v="62.25"/>
        <n v="7.82"/>
        <n v="51.27"/>
        <n v="6.66"/>
        <n v="48.17"/>
        <n v="16.95"/>
        <n v="50.48"/>
        <n v="61.9"/>
        <n v="22.37"/>
        <n v="33.700000000000003"/>
        <n v="50.55"/>
        <n v="22.7"/>
        <n v="6.6"/>
        <n v="56.13"/>
        <n v="58.29"/>
        <n v="29.78"/>
        <n v="15.17"/>
        <n v="41.86"/>
        <n v="40.340000000000003"/>
        <n v="6.23"/>
        <n v="53.57"/>
        <n v="46.32"/>
        <n v="60.23"/>
        <n v="50.35"/>
        <n v="58.46"/>
        <n v="29"/>
        <n v="53.93"/>
        <n v="30.3"/>
        <n v="65.39"/>
        <n v="60.35"/>
        <n v="39.39"/>
        <n v="6.44"/>
        <n v="25.84"/>
        <n v="14.5"/>
        <n v="45.29"/>
        <n v="31.93"/>
        <n v="44.27"/>
        <n v="27.82"/>
        <n v="10.49"/>
        <n v="55.15"/>
        <n v="37.619999999999997"/>
        <n v="17.440000000000001"/>
        <n v="30.8"/>
        <n v="8.4499999999999993"/>
        <n v="61.73"/>
        <n v="63.35"/>
        <n v="53.99"/>
        <n v="22.19"/>
        <n v="31.43"/>
        <n v="69.56"/>
        <n v="23.5"/>
        <n v="48.91"/>
        <n v="67.260000000000005"/>
        <n v="37.26"/>
        <n v="60.49"/>
        <n v="5.71"/>
        <n v="41.97"/>
        <n v="61.31"/>
        <n v="23.45"/>
        <n v="33.450000000000003"/>
        <n v="23.78"/>
        <n v="43.42"/>
        <n v="19.37"/>
        <n v="57.06"/>
        <n v="37.700000000000003"/>
        <n v="62.62"/>
        <n v="68.59"/>
        <n v="62.5"/>
        <n v="59.38"/>
        <n v="11.85"/>
        <n v="13.07"/>
        <n v="68.33"/>
        <n v="44.83"/>
        <n v="39.58"/>
        <n v="15.36"/>
        <n v="13.9"/>
        <n v="24.98"/>
        <n v="35.880000000000003"/>
        <n v="42.21"/>
        <n v="17.7"/>
        <n v="14.82"/>
        <n v="5.18"/>
        <n v="33.11"/>
        <n v="21.46"/>
        <n v="23.73"/>
        <n v="34.04"/>
        <n v="36.56"/>
        <n v="51.53"/>
        <n v="33.1"/>
        <n v="48.44"/>
        <n v="27.86"/>
        <n v="63"/>
        <n v="61.83"/>
        <n v="52.54"/>
        <n v="9.6300000000000008"/>
        <n v="69.53"/>
        <n v="41.08"/>
        <n v="30.74"/>
        <n v="31.11"/>
        <n v="54.12"/>
        <n v="56.73"/>
        <n v="53.71"/>
        <n v="13.78"/>
        <n v="27.15"/>
        <n v="40.19"/>
        <n v="46.5"/>
        <n v="50.33"/>
        <n v="54.59"/>
        <n v="63.81"/>
        <n v="12.64"/>
        <n v="25.61"/>
        <n v="23.46"/>
        <n v="68.05"/>
        <n v="8.6"/>
        <n v="34.380000000000003"/>
        <n v="58.12"/>
        <n v="42.34"/>
        <n v="48.51"/>
        <n v="5.35"/>
        <n v="28.9"/>
        <n v="51.05"/>
        <n v="52.71"/>
        <n v="57.85"/>
        <n v="22.79"/>
        <n v="56.46"/>
        <n v="57.08"/>
        <n v="33.590000000000003"/>
        <n v="41.7"/>
        <n v="68.52"/>
        <n v="44.97"/>
        <n v="22.91"/>
        <n v="41.41"/>
        <n v="65.31"/>
        <n v="28.85"/>
        <n v="9.1"/>
        <n v="12.02"/>
        <n v="6.64"/>
        <n v="7.88"/>
        <n v="8.89"/>
        <n v="20.38"/>
        <n v="69.25"/>
        <n v="46.45"/>
        <n v="23.15"/>
        <n v="37.1"/>
        <n v="59.02"/>
        <n v="16.63"/>
        <n v="43.95"/>
        <n v="25.88"/>
        <n v="21.32"/>
        <n v="65.25"/>
        <n v="44.34"/>
        <n v="67.63"/>
        <n v="67.27"/>
        <n v="10.11"/>
        <n v="20.329999999999998"/>
        <n v="39.6"/>
        <n v="5.92"/>
        <n v="47.74"/>
        <n v="61.72"/>
        <n v="15.75"/>
        <n v="38.369999999999997"/>
        <n v="39.96"/>
        <n v="36.25"/>
        <n v="19.760000000000002"/>
        <n v="45.44"/>
        <n v="68.989999999999995"/>
        <n v="49.29"/>
        <n v="68.540000000000006"/>
        <n v="63.97"/>
        <n v="27.39"/>
        <n v="9.6199999999999992"/>
        <n v="54.44"/>
        <n v="63.23"/>
        <n v="64.959999999999994"/>
        <n v="45.1"/>
        <n v="25.55"/>
        <n v="35.97"/>
        <n v="61.27"/>
        <n v="47.56"/>
        <n v="9.6999999999999993"/>
        <n v="57.24"/>
        <n v="15.26"/>
        <n v="32.11"/>
        <n v="35.799999999999997"/>
        <n v="31.38"/>
        <n v="26.03"/>
        <n v="53.39"/>
        <n v="46.18"/>
        <n v="68.09"/>
        <n v="10.71"/>
        <n v="34.14"/>
        <n v="51.38"/>
        <n v="36"/>
        <n v="33.56"/>
        <n v="49.56"/>
        <n v="52.56"/>
        <n v="39.19"/>
        <n v="12.4"/>
        <n v="5.1100000000000003"/>
        <n v="33.270000000000003"/>
        <n v="41.62"/>
        <n v="47.67"/>
        <n v="58.9"/>
        <n v="52.67"/>
        <n v="33.31"/>
        <n v="66.099999999999994"/>
        <n v="7.51"/>
        <n v="49.03"/>
        <n v="45.79"/>
        <n v="56.23"/>
        <n v="60.39"/>
        <n v="14.03"/>
        <n v="27.5"/>
        <n v="6.21"/>
        <n v="54.39"/>
        <n v="22.57"/>
        <n v="14.35"/>
        <n v="59.86"/>
        <n v="45.09"/>
        <n v="35.79"/>
        <n v="46.75"/>
        <n v="6.27"/>
        <n v="39.49"/>
        <n v="57.42"/>
        <n v="8.09"/>
        <n v="41.77"/>
        <n v="42.35"/>
        <n v="30.69"/>
        <n v="23.91"/>
        <n v="5.86"/>
        <n v="36.9"/>
        <n v="35.58"/>
        <n v="60.59"/>
        <n v="10.4"/>
        <n v="10.63"/>
        <n v="61.34"/>
        <n v="56.86"/>
        <n v="49.17"/>
        <n v="39.520000000000003"/>
        <n v="63.74"/>
        <n v="53.66"/>
        <n v="62.44"/>
        <n v="23.29"/>
        <n v="69.89"/>
        <n v="21.29"/>
        <n v="42.22"/>
        <n v="66.650000000000006"/>
        <n v="32.29"/>
        <n v="32.4"/>
        <n v="22.68"/>
        <n v="40.42"/>
        <n v="13.24"/>
        <n v="20.59"/>
        <n v="68.84"/>
        <n v="33.93"/>
        <n v="33.61"/>
        <n v="28.31"/>
        <n v="40.31"/>
        <n v="6.28"/>
        <n v="7.84"/>
        <n v="12.26"/>
        <n v="39.74"/>
        <n v="15.64"/>
        <n v="18.98"/>
        <n v="66.48"/>
        <n v="40.43"/>
        <n v="49.92"/>
        <n v="8.49"/>
        <n v="48.71"/>
        <n v="27.92"/>
        <n v="19.52"/>
        <n v="52.23"/>
        <n v="67.150000000000006"/>
        <n v="60.13"/>
        <n v="55.35"/>
        <n v="39.69"/>
        <n v="9.19"/>
        <n v="18.38"/>
        <n v="22.33"/>
        <n v="68.11"/>
        <n v="40.049999999999997"/>
        <n v="42.48"/>
        <n v="33.24"/>
        <n v="63.49"/>
        <n v="19.57"/>
        <n v="23.13"/>
        <n v="26.16"/>
        <n v="59.24"/>
        <n v="6.11"/>
        <n v="18.170000000000002"/>
        <n v="21.67"/>
        <n v="6.45"/>
        <n v="45.24"/>
        <n v="17.39"/>
        <n v="46.07"/>
        <n v="52.34"/>
        <n v="62.75"/>
        <n v="69.3"/>
        <n v="49.48"/>
        <n v="29.44"/>
        <n v="50.22"/>
        <n v="9.4700000000000006"/>
        <n v="65.55"/>
        <n v="32.32"/>
        <n v="25.21"/>
        <n v="48.34"/>
        <n v="41.45"/>
        <n v="58.19"/>
        <n v="13.17"/>
        <n v="7.28"/>
        <n v="60.97"/>
        <n v="62.53"/>
        <n v="48.45"/>
        <n v="25.26"/>
        <n v="26.77"/>
        <n v="19.7"/>
        <n v="39.07"/>
        <n v="24.99"/>
        <n v="67.55"/>
        <n v="34.68"/>
        <n v="12.53"/>
        <n v="54.76"/>
        <n v="64.58"/>
        <n v="14.4"/>
        <n v="65"/>
        <n v="9.18"/>
        <n v="43.52"/>
        <n v="10.77"/>
        <n v="41.69"/>
        <n v="41.61"/>
        <n v="34.08"/>
        <n v="39.64"/>
        <n v="8.6199999999999992"/>
        <n v="25.47"/>
        <n v="27.11"/>
        <n v="50.97"/>
        <n v="40.78"/>
        <n v="15.28"/>
        <n v="64.64"/>
        <n v="19.95"/>
        <n v="44.4"/>
        <n v="35.92"/>
        <n v="24.13"/>
        <n v="12.11"/>
        <n v="53.21"/>
        <n v="10.6"/>
        <n v="51.13"/>
        <n v="62.98"/>
        <n v="59.42"/>
        <n v="17.73"/>
        <n v="9.35"/>
        <n v="18.87"/>
        <n v="45.42"/>
        <n v="36.6"/>
        <n v="64.06"/>
        <n v="51.72"/>
        <n v="42.11"/>
        <n v="5.84"/>
        <n v="37.299999999999997"/>
        <n v="51.22"/>
        <n v="17.899999999999999"/>
        <n v="23.08"/>
        <n v="16.66"/>
        <n v="66.260000000000005"/>
        <n v="56.67"/>
        <n v="60.28"/>
        <n v="49.22"/>
        <n v="14.68"/>
        <n v="29.84"/>
        <n v="26.23"/>
        <n v="60.24"/>
        <n v="40.03"/>
        <n v="46.2"/>
        <n v="61.09"/>
        <n v="29.91"/>
        <n v="63.19"/>
        <n v="10.09"/>
        <n v="67.45"/>
        <n v="65.86"/>
        <n v="12.14"/>
        <n v="38.79"/>
        <n v="19.38"/>
        <n v="21.56"/>
        <n v="5.81"/>
        <n v="5.37"/>
        <n v="14.57"/>
        <n v="39.26"/>
        <n v="22.67"/>
        <n v="42.5"/>
        <n v="37.81"/>
        <n v="67.87"/>
        <n v="39.14"/>
        <n v="33.69"/>
        <n v="62.42"/>
        <n v="57.05"/>
        <n v="11.61"/>
        <n v="39.85"/>
        <n v="42.76"/>
        <n v="23.88"/>
        <n v="24.82"/>
        <n v="28.66"/>
        <n v="55.67"/>
        <n v="39.950000000000003"/>
        <n v="13.38"/>
        <n v="18.260000000000002"/>
        <n v="16.5"/>
        <n v="64.400000000000006"/>
        <n v="12.12"/>
        <n v="56.1"/>
        <n v="42.45"/>
        <n v="7.95"/>
        <n v="10.130000000000001"/>
        <n v="22.31"/>
        <n v="30.67"/>
        <n v="40.74"/>
        <n v="16.54"/>
        <n v="18.850000000000001"/>
        <n v="28.28"/>
        <n v="40.65"/>
        <n v="34.42"/>
        <n v="23.87"/>
        <n v="41.2"/>
        <n v="9.0399999999999991"/>
        <n v="55.08"/>
        <n v="46.14"/>
        <n v="45.56"/>
        <n v="7.22"/>
        <n v="46.47"/>
        <n v="40.659999999999997"/>
        <n v="56.88"/>
        <n v="46.17"/>
        <n v="39.119999999999997"/>
        <n v="12.65"/>
        <n v="59.04"/>
        <n v="49.78"/>
        <n v="13.53"/>
        <n v="47.06"/>
        <n v="33.049999999999997"/>
        <n v="35.67"/>
        <n v="30.45"/>
        <n v="43.02"/>
        <n v="69.099999999999994"/>
        <n v="59.14"/>
        <n v="20.91"/>
        <n v="53.82"/>
        <n v="58.08"/>
        <n v="14.29"/>
        <n v="31.8"/>
        <n v="6.01"/>
        <n v="67.239999999999995"/>
        <n v="33.43"/>
        <n v="56.17"/>
        <n v="43.83"/>
        <n v="53.27"/>
        <n v="49.75"/>
        <n v="57.81"/>
        <n v="38.94"/>
        <n v="19.54"/>
        <n v="48.97"/>
        <n v="63.75"/>
        <n v="67.95"/>
        <n v="16.940000000000001"/>
        <n v="65.959999999999994"/>
        <n v="22.59"/>
        <n v="31.6"/>
        <n v="59.87"/>
        <n v="63.86"/>
        <n v="7.26"/>
        <n v="34.83"/>
        <n v="60.05"/>
        <n v="23.35"/>
        <n v="57.54"/>
        <n v="55.44"/>
        <n v="44.25"/>
        <n v="62.2"/>
        <n v="59.79"/>
        <n v="42.42"/>
        <n v="64.650000000000006"/>
        <n v="33.130000000000003"/>
        <n v="33.15"/>
        <n v="41.48"/>
        <n v="7.92"/>
        <n v="30.1"/>
        <n v="60.65"/>
        <n v="6.24"/>
        <n v="21.91"/>
        <n v="36.75"/>
        <n v="23.67"/>
        <n v="20.14"/>
        <n v="48.69"/>
        <n v="35.81"/>
        <n v="24.59"/>
        <n v="33.03"/>
        <n v="65.790000000000006"/>
        <n v="68.31"/>
        <n v="31.82"/>
        <n v="12.01"/>
        <n v="64.459999999999994"/>
        <n v="43"/>
        <n v="38.35"/>
        <n v="40.700000000000003"/>
        <n v="19.41"/>
        <n v="57.53"/>
        <n v="56.16"/>
        <n v="10.64"/>
        <n v="41.39"/>
        <n v="22.77"/>
        <n v="12.18"/>
        <n v="66.89"/>
        <n v="63.94"/>
        <n v="50.07"/>
        <n v="39.32"/>
        <n v="10.62"/>
        <n v="43.75"/>
        <n v="68.06"/>
        <n v="13.77"/>
        <n v="41.78"/>
        <n v="53.53"/>
        <n v="64.930000000000007"/>
        <n v="9.27"/>
        <n v="17"/>
        <n v="56.51"/>
        <n v="68.430000000000007"/>
        <n v="39.97"/>
        <n v="40.369999999999997"/>
        <n v="55.17"/>
        <n v="29.55"/>
        <n v="21.55"/>
        <n v="49.39"/>
        <n v="41.09"/>
        <n v="11.69"/>
        <n v="11.38"/>
        <n v="30.25"/>
        <n v="55.39"/>
        <n v="55.14"/>
        <n v="69.900000000000006"/>
        <n v="60.57"/>
        <n v="61.13"/>
        <n v="15.39"/>
        <n v="55.88"/>
        <n v="14.81"/>
        <n v="52.17"/>
        <n v="20.440000000000001"/>
        <n v="68.5"/>
        <n v="44.08"/>
        <n v="69.61"/>
        <n v="40.54"/>
        <n v="45.31"/>
        <n v="26.66"/>
        <n v="25.82"/>
        <n v="63.91"/>
        <n v="38.29"/>
        <n v="6.17"/>
        <n v="26.69"/>
        <n v="15"/>
        <n v="32.24"/>
        <n v="42.13"/>
        <n v="63.44"/>
        <n v="16.010000000000002"/>
        <n v="39.81"/>
        <n v="40.15"/>
        <n v="66.83"/>
        <n v="50.78"/>
        <n v="41.23"/>
        <n v="9.69"/>
        <n v="51.88"/>
        <n v="8.57"/>
        <n v="59.8"/>
        <n v="35.36"/>
        <n v="15.98"/>
        <n v="35.26"/>
        <n v="5.17"/>
        <n v="69.09"/>
        <n v="49.53"/>
        <n v="31.2"/>
        <n v="67.67"/>
        <n v="19.46"/>
        <n v="28.39"/>
        <n v="68.569999999999993"/>
        <n v="6.76"/>
        <n v="59.73"/>
        <n v="16.989999999999998"/>
        <n v="19.440000000000001"/>
        <n v="13.67"/>
        <n v="11.77"/>
        <n v="43.62"/>
        <n v="26.88"/>
        <n v="45.78"/>
        <n v="11.15"/>
        <n v="49.65"/>
        <n v="9.24"/>
        <n v="67.569999999999993"/>
        <n v="66.2"/>
        <n v="8.5"/>
        <n v="62.88"/>
        <n v="17.12"/>
        <n v="58.02"/>
        <n v="19.829999999999998"/>
        <n v="46.06"/>
        <n v="40.18"/>
        <n v="13.57"/>
        <n v="22.06"/>
        <n v="25.71"/>
        <n v="65.400000000000006"/>
        <n v="59.67"/>
        <n v="55.3"/>
        <n v="9.82"/>
        <n v="11.46"/>
        <n v="28.97"/>
        <n v="69.849999999999994"/>
        <n v="54.52"/>
        <n v="53.49"/>
        <n v="31.59"/>
        <n v="50.31"/>
        <n v="68.53"/>
        <n v="48.42"/>
        <n v="36.729999999999997"/>
        <n v="14.49"/>
        <n v="52.29"/>
        <n v="33.06"/>
        <n v="30.4"/>
        <n v="50.12"/>
        <n v="19.64"/>
        <n v="43.19"/>
        <n v="27.41"/>
        <n v="61.97"/>
        <n v="55.19"/>
        <n v="17.52"/>
        <n v="12.44"/>
        <n v="60.69"/>
        <n v="20.58"/>
        <n v="24.64"/>
        <n v="39.43"/>
        <n v="49.21"/>
        <n v="60.41"/>
        <n v="49.54"/>
        <n v="51.42"/>
        <n v="15.63"/>
        <n v="68.02"/>
        <n v="58.65"/>
        <n v="54.25"/>
        <n v="31.25"/>
        <n v="16.41"/>
        <n v="69.88"/>
        <n v="37.79"/>
        <n v="8.25"/>
        <n v="27"/>
        <n v="25.28"/>
        <n v="60.84"/>
        <n v="24.24"/>
        <n v="5.69"/>
        <n v="67.8"/>
        <n v="13.64"/>
        <n v="37.56"/>
        <n v="52.86"/>
        <n v="33.020000000000003"/>
        <n v="58.83"/>
        <n v="22.63"/>
        <n v="41.8"/>
        <n v="58.03"/>
        <n v="61.38"/>
        <n v="36.72"/>
        <n v="8.2200000000000006"/>
        <n v="62.77"/>
        <n v="5.53"/>
        <n v="29.43"/>
        <n v="47.53"/>
        <n v="29.94"/>
        <n v="30.17"/>
        <n v="69.569999999999993"/>
        <n v="58.34"/>
        <n v="65.62"/>
        <n v="11.86"/>
        <n v="16.420000000000002"/>
        <n v="35.46"/>
        <n v="9.23"/>
        <n v="63.46"/>
        <n v="64.78"/>
        <n v="26.9"/>
        <n v="54.61"/>
        <n v="45.82"/>
        <n v="63.5"/>
        <n v="65.3"/>
        <n v="65.599999999999994"/>
        <n v="10.119999999999999"/>
        <n v="20.5"/>
        <n v="42.58"/>
        <n v="34.76"/>
        <n v="20.07"/>
        <n v="30.11"/>
        <n v="42.81"/>
        <n v="41.05"/>
        <n v="51.56"/>
        <n v="32.950000000000003"/>
        <n v="35.89"/>
        <n v="27.36"/>
        <n v="67.099999999999994"/>
        <n v="14.23"/>
        <n v="58.43"/>
        <n v="9.68"/>
        <n v="16.07"/>
        <n v="13.04"/>
        <n v="68.959999999999994"/>
        <n v="28.1"/>
        <n v="64.489999999999995"/>
        <n v="9.58"/>
        <n v="53.56"/>
        <n v="68.510000000000005"/>
        <n v="68.790000000000006"/>
        <n v="6.68"/>
        <n v="60.77"/>
        <n v="35.03"/>
        <n v="27.71"/>
        <n v="22.47"/>
        <n v="14.18"/>
        <n v="36.57"/>
        <n v="48.82"/>
        <n v="61.58"/>
        <n v="24.66"/>
        <n v="46.02"/>
        <n v="17.53"/>
        <n v="25.19"/>
        <n v="37.75"/>
        <n v="39.89"/>
        <n v="42.17"/>
        <n v="5.85"/>
        <n v="14.58"/>
        <n v="27.38"/>
        <n v="22.76"/>
        <n v="52.19"/>
        <n v="11.62"/>
        <n v="62.37"/>
        <n v="62.89"/>
        <n v="7.29"/>
        <n v="65.03"/>
        <n v="15.24"/>
        <n v="65.099999999999994"/>
        <n v="68"/>
        <n v="34.99"/>
        <n v="8.23"/>
        <n v="12.76"/>
        <n v="57.94"/>
        <n v="64.45"/>
        <n v="34.950000000000003"/>
        <n v="33.909999999999997"/>
        <n v="64.010000000000005"/>
        <n v="14.53"/>
        <n v="51.99"/>
        <n v="51.61"/>
        <n v="28.46"/>
        <n v="46.08"/>
        <n v="37.200000000000003"/>
        <n v="8.02"/>
        <n v="25.63"/>
        <n v="66.08"/>
        <n v="35.54"/>
        <n v="46.24"/>
        <n v="18.77"/>
        <n v="63.36"/>
        <n v="24.06"/>
        <n v="52.15"/>
        <n v="17.3"/>
        <n v="40.49"/>
        <n v="39.270000000000003"/>
        <n v="66.19"/>
        <n v="43.71"/>
        <n v="44.24"/>
        <n v="60.38"/>
        <n v="67.23"/>
        <n v="33.08"/>
        <n v="47.86"/>
        <n v="44.72"/>
        <n v="65.16"/>
        <n v="15.34"/>
        <n v="8.4600000000000009"/>
        <n v="50.19"/>
        <n v="60.94"/>
        <n v="32.549999999999997"/>
        <n v="37.06"/>
        <n v="62.3"/>
        <n v="44.29"/>
        <n v="28.71"/>
        <n v="15.92"/>
        <n v="5.15"/>
        <n v="16.97"/>
        <n v="25.43"/>
        <n v="63.93"/>
        <n v="23.18"/>
        <n v="57.37"/>
        <n v="24.5"/>
        <n v="46.78"/>
        <n v="61.76"/>
        <n v="40.4"/>
        <n v="65.44"/>
        <n v="42.56"/>
        <n v="44.09"/>
        <n v="39.090000000000003"/>
        <n v="69.02"/>
        <n v="29.53"/>
        <n v="67.599999999999994"/>
        <n v="12.96"/>
        <n v="44.45"/>
        <n v="59.36"/>
        <n v="67.39"/>
        <n v="8.08"/>
        <n v="65.180000000000007"/>
        <n v="52.44"/>
        <n v="17.760000000000002"/>
        <n v="7.85"/>
        <n v="45.3"/>
        <n v="60.81"/>
        <n v="68.64"/>
        <n v="55.56"/>
        <n v="14.64"/>
        <n v="9.81"/>
        <n v="44.73"/>
        <n v="12.21"/>
        <n v="37.65"/>
        <n v="5.57"/>
        <n v="8.0299999999999994"/>
        <n v="34.130000000000003"/>
        <n v="38.159999999999997"/>
        <n v="48.87"/>
        <n v="41.52"/>
        <n v="31.08"/>
        <n v="62.31"/>
        <n v="51.2"/>
        <n v="35.85"/>
        <n v="34.119999999999997"/>
        <n v="60.04"/>
        <n v="58.84"/>
        <n v="17.77"/>
        <n v="55.06"/>
        <n v="64.23"/>
        <n v="24.86"/>
        <n v="56.41"/>
        <n v="58.39"/>
        <n v="31.65"/>
        <n v="67.64"/>
        <n v="29.48"/>
        <n v="13.81"/>
        <n v="8.1300000000000008"/>
        <n v="21.61"/>
        <n v="12.55"/>
        <n v="15.47"/>
        <n v="25.49"/>
        <n v="34.93"/>
        <n v="40.93"/>
        <n v="27.12"/>
        <n v="29.2"/>
        <n v="54.66"/>
        <n v="8.1199999999999992"/>
        <n v="9.5299999999999994"/>
        <n v="41.74"/>
        <n v="12.29"/>
        <n v="38.28"/>
        <n v="68.36"/>
        <n v="16.86"/>
        <n v="11.49"/>
        <n v="13.96"/>
        <n v="64.13"/>
        <n v="47.68"/>
        <n v="46.31"/>
        <n v="41.72"/>
        <n v="7.54"/>
        <n v="17.420000000000002"/>
        <n v="61.08"/>
        <n v="42.78"/>
        <n v="21.77"/>
        <n v="54.85"/>
        <n v="10.27"/>
        <n v="69.84"/>
        <n v="47.51"/>
        <n v="60.54"/>
        <n v="5.93"/>
        <n v="36.200000000000003"/>
        <n v="52.48"/>
        <n v="27.74"/>
        <n v="9"/>
        <n v="41.27"/>
        <n v="11.08"/>
        <n v="30.87"/>
        <n v="43.36"/>
        <n v="30.18"/>
        <n v="51.9"/>
        <n v="55.87"/>
        <n v="5.16"/>
        <n v="26.85"/>
        <n v="31.44"/>
        <n v="23.62"/>
        <n v="69.34"/>
        <n v="35.35"/>
        <n v="14.16"/>
        <n v="62.13"/>
        <n v="45.69"/>
        <n v="30.75"/>
        <n v="68.81"/>
        <n v="62.49"/>
        <n v="37.01"/>
        <n v="37.950000000000003"/>
        <n v="61.88"/>
        <n v="25.85"/>
        <n v="23.82"/>
        <n v="13.82"/>
        <n v="48.96"/>
        <n v="7.34"/>
        <n v="53.2"/>
        <n v="40.28"/>
        <n v="20.82"/>
        <n v="64.62"/>
        <n v="68.290000000000006"/>
        <n v="60.36"/>
        <n v="61.99"/>
        <n v="12.09"/>
        <n v="66.11"/>
        <n v="18.18"/>
        <n v="58"/>
        <n v="45.04"/>
        <n v="64.7"/>
        <n v="61.21"/>
        <n v="24.48"/>
        <n v="37.840000000000003"/>
        <n v="14.14"/>
        <n v="17.07"/>
        <n v="34.700000000000003"/>
        <n v="51.59"/>
        <n v="17.920000000000002"/>
        <n v="42.63"/>
        <n v="14.84"/>
        <n v="58.21"/>
        <n v="11.68"/>
        <n v="52.51"/>
        <n v="14.39"/>
        <n v="55.03"/>
        <n v="54.4"/>
        <n v="28.05"/>
        <n v="24.07"/>
        <n v="27.04"/>
        <n v="57.69"/>
        <n v="10.14"/>
        <n v="28.81"/>
        <n v="29.3"/>
        <n v="63.43"/>
        <n v="39.68"/>
        <n v="14.7"/>
        <n v="36.83"/>
        <n v="57.4"/>
        <n v="40.130000000000003"/>
        <n v="40.26"/>
        <n v="58.58"/>
        <n v="14.99"/>
        <n v="29.12"/>
        <n v="65.61"/>
        <n v="57.59"/>
        <n v="38.799999999999997"/>
        <n v="66.91"/>
        <n v="18.86"/>
        <n v="54.3"/>
        <n v="47.23"/>
        <n v="60.27"/>
        <n v="10.33"/>
        <n v="25.6"/>
        <n v="32.369999999999997"/>
        <n v="57.82"/>
        <n v="34.21"/>
        <n v="22.92"/>
        <n v="7.47"/>
        <n v="43.15"/>
        <n v="24.39"/>
        <n v="54.9"/>
        <n v="60.74"/>
        <n v="67.78"/>
        <n v="47.62"/>
        <n v="67.2"/>
        <n v="68.16"/>
        <n v="9.34"/>
        <n v="37.92"/>
        <n v="5.8"/>
        <n v="60"/>
        <n v="5.63"/>
        <n v="27.97"/>
        <n v="28.65"/>
        <n v="68.83"/>
        <n v="8"/>
        <n v="27.76"/>
        <n v="46.49"/>
        <n v="8.56"/>
        <n v="26.18"/>
        <n v="6.12"/>
        <n v="17.559999999999999"/>
        <n v="45.51"/>
        <n v="15.79"/>
        <n v="33.32"/>
        <n v="25.96"/>
        <n v="23.14"/>
        <n v="27.87"/>
        <n v="36.869999999999997"/>
        <n v="69.39"/>
        <n v="63.17"/>
        <n v="38.270000000000003"/>
        <n v="44.93"/>
        <n v="35.06"/>
        <n v="24.52"/>
        <n v="57.47"/>
        <n v="16.37"/>
        <n v="44.18"/>
        <n v="53.59"/>
        <n v="32.44"/>
        <n v="19.97"/>
        <n v="41.67"/>
        <n v="37.35"/>
        <n v="50.87"/>
        <n v="10.52"/>
        <n v="61.29"/>
        <n v="45.94"/>
        <n v="32.28"/>
        <n v="28.69"/>
        <n v="57.2"/>
        <n v="10.44"/>
        <n v="38.22"/>
        <n v="60.17"/>
        <n v="38.049999999999997"/>
        <n v="37.78"/>
        <n v="55.05"/>
        <n v="59.51"/>
        <n v="24.69"/>
        <n v="56.21"/>
        <n v="9.2899999999999991"/>
        <n v="54.74"/>
        <n v="20.9"/>
        <n v="30.21"/>
        <n v="30.93"/>
        <n v="62.93"/>
        <n v="12.2"/>
        <n v="56.6"/>
        <n v="41.42"/>
        <n v="32.19"/>
        <n v="61.55"/>
        <n v="13.47"/>
        <n v="46.91"/>
        <n v="12.52"/>
        <n v="56.98"/>
        <n v="14.97"/>
        <n v="67.37"/>
        <n v="8.5500000000000007"/>
        <n v="39.93"/>
        <n v="43.41"/>
        <n v="7.62"/>
        <n v="40.21"/>
        <n v="29.62"/>
        <n v="36.479999999999997"/>
        <n v="10.98"/>
        <n v="51.48"/>
        <n v="44.44"/>
        <n v="42.43"/>
        <n v="32.93"/>
        <n v="25.16"/>
        <n v="55.5"/>
        <n v="50.91"/>
        <n v="63.8"/>
        <n v="11.95"/>
        <n v="45.38"/>
        <n v="61.48"/>
        <n v="51.02"/>
        <n v="52.08"/>
        <n v="38.229999999999997"/>
        <n v="30.94"/>
        <n v="28.67"/>
        <n v="6.86"/>
        <n v="20.87"/>
        <n v="27.47"/>
        <n v="19.260000000000002"/>
        <n v="52.74"/>
        <n v="29.1"/>
        <n v="13.99"/>
        <n v="57.96"/>
        <n v="18.39"/>
        <n v="41"/>
        <n v="34.43"/>
        <n v="9.25"/>
        <n v="13.76"/>
        <n v="49.64"/>
        <n v="6.06"/>
        <n v="35.94"/>
        <n v="8.94"/>
        <n v="36.270000000000003"/>
        <n v="6.35"/>
        <n v="55.2"/>
        <n v="39.17"/>
        <n v="30.51"/>
        <n v="50.3"/>
        <n v="5.79"/>
        <n v="11.9"/>
        <n v="60.22"/>
        <n v="9.4"/>
        <n v="17.41"/>
        <n v="66.5"/>
        <n v="35.270000000000003"/>
        <n v="10.96"/>
        <n v="41.38"/>
        <n v="41.54"/>
        <n v="17.260000000000002"/>
        <n v="15.48"/>
        <n v="54"/>
        <n v="67.05"/>
        <n v="59.75"/>
        <n v="37.86"/>
        <n v="65.260000000000005"/>
        <n v="50.7"/>
        <n v="33.79"/>
        <n v="14.3"/>
        <n v="65.23"/>
        <n v="39.700000000000003"/>
        <n v="14.11"/>
        <n v="20.97"/>
        <n v="33.76"/>
        <n v="42.02"/>
        <n v="15.45"/>
        <n v="56.06"/>
        <n v="41.89"/>
        <n v="23"/>
        <n v="25.04"/>
        <n v="17.170000000000002"/>
        <n v="69.64"/>
        <n v="54.95"/>
        <n v="45.66"/>
        <n v="47.75"/>
        <n v="28.54"/>
        <n v="62.34"/>
        <n v="48.49"/>
        <n v="61.71"/>
        <n v="57.1"/>
        <n v="69.98"/>
        <n v="53.87"/>
        <n v="38.26"/>
        <n v="56.61"/>
        <n v="15.18"/>
        <n v="32.67"/>
        <n v="12.88"/>
        <n v="22.93"/>
        <n v="48.25"/>
        <n v="32.75"/>
        <n v="42.64"/>
        <n v="18.420000000000002"/>
        <n v="30.26"/>
        <n v="36.1"/>
        <n v="68.34"/>
        <n v="28.83"/>
        <n v="58.66"/>
        <n v="63.21"/>
        <n v="7.93"/>
        <n v="5.45"/>
        <n v="39.11"/>
        <n v="43.4"/>
        <n v="44.2"/>
        <n v="51.66"/>
        <n v="22.46"/>
        <n v="28.13"/>
        <n v="56.05"/>
        <n v="61.02"/>
        <n v="20.72"/>
        <n v="16.690000000000001"/>
        <n v="46.85"/>
        <n v="17.97"/>
        <n v="19.649999999999999"/>
        <n v="32.590000000000003"/>
        <n v="28.14"/>
        <n v="24.42"/>
        <n v="50.59"/>
        <n v="63.83"/>
        <n v="32.049999999999997"/>
        <n v="18.100000000000001"/>
        <n v="10.65"/>
        <n v="45.33"/>
        <n v="54.78"/>
        <n v="20.88"/>
        <n v="9.06"/>
        <n v="68.739999999999995"/>
        <n v="8.7899999999999991"/>
        <n v="50.52"/>
        <n v="28.91"/>
        <n v="60.61"/>
        <n v="25.01"/>
        <n v="43.97"/>
        <n v="31.89"/>
        <n v="31.48"/>
        <n v="64.75"/>
        <n v="10.15"/>
        <n v="35.32"/>
        <n v="11.31"/>
        <n v="38"/>
        <n v="54.64"/>
        <n v="41.46"/>
        <n v="20.76"/>
        <n v="53.85"/>
        <n v="38.57"/>
        <n v="31.92"/>
        <n v="11.59"/>
        <n v="10.029999999999999"/>
        <n v="11.72"/>
        <n v="67.849999999999994"/>
        <n v="8.6999999999999993"/>
        <n v="26.86"/>
        <n v="66"/>
        <n v="33.89"/>
        <n v="63.22"/>
        <n v="10.32"/>
        <n v="32.71"/>
        <n v="63.77"/>
        <n v="27.01"/>
        <n v="65.709999999999994"/>
        <n v="18.329999999999998"/>
        <n v="61.89"/>
        <n v="11.91"/>
        <n v="41.31"/>
        <n v="58.95"/>
        <n v="11.7"/>
        <n v="6.88"/>
        <n v="23.63"/>
        <n v="69.45"/>
        <n v="17.88"/>
        <n v="21.14"/>
        <n v="32.659999999999997"/>
        <n v="20.57"/>
        <n v="69.27"/>
        <n v="47.83"/>
        <n v="32.5"/>
        <n v="47.77"/>
        <n v="39.47"/>
        <n v="36.5"/>
        <n v="49.05"/>
        <n v="33.869999999999997"/>
        <n v="55.91"/>
        <n v="18.96"/>
        <n v="52.75"/>
        <n v="55.59"/>
        <n v="63.6"/>
        <n v="29.69"/>
        <n v="25.62"/>
        <n v="46.28"/>
        <n v="37.31"/>
        <n v="56.97"/>
        <n v="48.8"/>
        <n v="46.89"/>
        <n v="43.2"/>
        <n v="20.94"/>
        <n v="34.299999999999997"/>
        <n v="12.99"/>
        <n v="36.880000000000003"/>
        <n v="10.02"/>
        <n v="62.96"/>
        <n v="9.9700000000000006"/>
        <n v="35.1"/>
        <n v="32.450000000000003"/>
        <n v="59.62"/>
        <n v="49.62"/>
        <n v="51.24"/>
        <n v="27.91"/>
        <n v="55.6"/>
        <n v="31.34"/>
        <n v="56.89"/>
        <n v="58.53"/>
        <n v="5.77"/>
        <n v="9.15"/>
        <n v="6.7"/>
        <n v="62.63"/>
        <n v="54.04"/>
        <n v="27.13"/>
        <n v="69.5"/>
        <n v="25.53"/>
        <n v="31.35"/>
        <n v="24.85"/>
        <n v="36.51"/>
        <n v="66.430000000000007"/>
        <n v="64.41"/>
        <n v="68.680000000000007"/>
        <n v="34.25"/>
        <n v="52.62"/>
        <n v="34.11"/>
        <n v="60.51"/>
        <n v="52.77"/>
        <n v="14.93"/>
        <n v="48.19"/>
        <n v="55.89"/>
        <n v="34.4"/>
        <n v="60.62"/>
        <n v="66.45"/>
        <n v="66.92"/>
        <n v="30.52"/>
        <n v="26.56"/>
        <n v="61.96"/>
        <n v="8.75"/>
        <n v="49.93"/>
        <n v="64.37"/>
        <n v="46.86"/>
        <n v="21.73"/>
        <n v="57.16"/>
        <n v="26.7"/>
        <n v="5.33"/>
        <n v="50.85"/>
        <n v="20.65"/>
        <n v="10.87"/>
        <n v="23.09"/>
        <n v="44.57"/>
        <n v="58.6"/>
        <n v="50.1"/>
        <n v="44.66"/>
        <n v="51.15"/>
        <n v="68.25"/>
        <n v="40.909999999999997"/>
        <n v="59.56"/>
        <n v="19.63"/>
        <n v="53.32"/>
        <n v="58.56"/>
        <n v="58.71"/>
        <n v="37.11"/>
        <n v="20.73"/>
        <n v="67.56"/>
        <n v="68.95"/>
        <n v="44.41"/>
        <n v="64.760000000000005"/>
        <n v="46.64"/>
        <n v="50.26"/>
        <n v="15.97"/>
        <n v="33.229999999999997"/>
        <n v="42.67"/>
        <n v="44.94"/>
        <n v="39.450000000000003"/>
        <n v="42.87"/>
        <n v="62.17"/>
        <n v="67.41"/>
        <n v="50.13"/>
        <n v="44"/>
        <n v="15.25"/>
        <n v="41.03"/>
        <n v="57.92"/>
        <n v="14.69"/>
        <n v="65.08"/>
        <n v="21.65"/>
        <n v="35.49"/>
        <n v="5.27"/>
        <n v="12.28"/>
        <n v="25.33"/>
        <n v="10.29"/>
        <n v="61.06"/>
        <n v="20.260000000000002"/>
        <n v="38.729999999999997"/>
        <n v="54.06"/>
        <n v="46.61"/>
        <n v="41.47"/>
        <n v="26.49"/>
        <n v="50.88"/>
        <n v="35.42"/>
        <n v="22.8"/>
        <n v="35.93"/>
        <n v="35.200000000000003"/>
        <n v="69.31"/>
        <n v="49.19"/>
        <n v="22.18"/>
        <n v="64.16"/>
        <n v="45.72"/>
        <n v="65.83"/>
        <n v="65.41"/>
        <n v="43.64"/>
        <n v="30.03"/>
        <n v="17.82"/>
        <n v="53.67"/>
        <n v="50.9"/>
        <n v="69.8"/>
        <n v="25.13"/>
        <n v="16.13"/>
        <n v="47.81"/>
        <n v="13.83"/>
        <n v="55.74"/>
        <n v="33.46"/>
        <n v="27.55"/>
        <n v="39.5"/>
        <n v="52.94"/>
        <n v="9.67"/>
        <n v="36.26"/>
        <n v="11.78"/>
        <n v="31.03"/>
        <n v="11.56"/>
        <n v="14.19"/>
        <n v="69.19"/>
        <n v="55.32"/>
        <n v="10.38"/>
        <n v="11.14"/>
        <n v="59.15"/>
        <n v="18.149999999999999"/>
        <n v="59.69"/>
        <n v="22.95"/>
        <n v="55.85"/>
        <n v="45.11"/>
        <n v="60.53"/>
        <n v="57.65"/>
        <n v="63.24"/>
        <n v="8.68"/>
        <n v="50.36"/>
        <n v="66.47"/>
        <n v="60.02"/>
        <n v="52.47"/>
        <n v="66.98"/>
        <n v="58.81"/>
        <n v="60.11"/>
        <n v="41.93"/>
        <n v="59.31"/>
        <n v="9.83"/>
        <n v="9.11"/>
        <n v="67.59"/>
        <n v="7.05"/>
        <n v="14.96"/>
        <n v="7.89"/>
        <n v="46.98"/>
        <n v="65.739999999999995"/>
        <n v="47.25"/>
        <n v="67.84"/>
        <n v="38.24"/>
        <n v="22.29"/>
        <n v="30.16"/>
        <n v="44.52"/>
        <n v="58.42"/>
        <n v="18.11"/>
        <n v="39.799999999999997"/>
        <n v="9.89"/>
        <n v="35.47"/>
        <n v="41.33"/>
        <n v="65.8"/>
        <n v="55.71"/>
        <n v="58.25"/>
        <n v="33.159999999999997"/>
        <n v="58.55"/>
        <n v="62.01"/>
        <n v="41.79"/>
        <n v="28.99"/>
        <n v="24.62"/>
        <n v="36.049999999999997"/>
        <n v="16.43"/>
        <n v="62.4"/>
        <n v="19.48"/>
        <n v="16.149999999999999"/>
        <n v="18.489999999999998"/>
        <n v="44.03"/>
        <n v="32.18"/>
        <n v="17.04"/>
        <n v="60.2"/>
        <n v="21.09"/>
        <n v="35.15"/>
        <n v="52.31"/>
        <n v="6.13"/>
        <n v="26.29"/>
        <n v="18.78"/>
        <n v="69.62"/>
        <n v="16.100000000000001"/>
        <n v="59.32"/>
        <n v="9.1199999999999992"/>
        <n v="68.23"/>
        <n v="40.96"/>
        <n v="62.04"/>
        <n v="29.47"/>
        <n v="60.18"/>
        <n v="58.41"/>
        <n v="32.25"/>
        <n v="17.809999999999999"/>
        <n v="17.21"/>
        <n v="9.52"/>
        <n v="24.68"/>
        <n v="67.86"/>
        <n v="67.959999999999994"/>
        <n v="23.94"/>
        <n v="35.14"/>
        <n v="19.059999999999999"/>
        <n v="22.23"/>
        <n v="41.3"/>
        <n v="45.68"/>
        <n v="7.3"/>
        <n v="9.85"/>
        <n v="34.49"/>
        <n v="43.18"/>
        <n v="32.03"/>
        <n v="5.44"/>
        <n v="11.55"/>
        <n v="61.84"/>
        <n v="49.15"/>
        <n v="66.03"/>
        <n v="55.72"/>
        <n v="37"/>
        <n v="54.62"/>
        <n v="34.450000000000003"/>
        <n v="54.02"/>
        <n v="38.74"/>
        <n v="28.53"/>
        <n v="10.72"/>
        <n v="59.85"/>
        <n v="29.11"/>
        <n v="32.06"/>
        <n v="54.22"/>
        <n v="64.03"/>
        <n v="5.41"/>
        <n v="7.63"/>
        <n v="51.89"/>
        <n v="27.31"/>
        <n v="57.63"/>
        <n v="17.649999999999999"/>
        <n v="58.7"/>
        <n v="37.450000000000003"/>
        <n v="41.94"/>
        <n v="23.93"/>
        <n v="8.99"/>
        <n v="8.1999999999999993"/>
        <n v="22.4"/>
        <n v="29.03"/>
        <n v="67.31"/>
        <n v="45.87"/>
        <n v="49.46"/>
        <n v="49.28"/>
        <n v="64.31"/>
        <n v="34"/>
        <n v="24.27"/>
        <n v="63.98"/>
        <n v="34.56"/>
        <n v="23.06"/>
        <n v="33.54"/>
        <n v="8.34"/>
        <n v="51.4"/>
        <n v="45.46"/>
        <n v="47.82"/>
        <n v="50.96"/>
        <n v="53.16"/>
        <n v="8.64"/>
        <n v="44.58"/>
        <n v="42.05"/>
        <n v="10.18"/>
        <n v="37.69"/>
        <n v="59.71"/>
        <n v="53.6"/>
        <n v="19.3"/>
        <n v="53.55"/>
        <n v="46.76"/>
        <n v="46.01"/>
        <n v="57.11"/>
        <n v="65.64"/>
        <n v="8.81"/>
        <n v="22.85"/>
        <n v="6.47"/>
        <n v="8.41"/>
        <n v="12.25"/>
        <n v="17.600000000000001"/>
        <n v="25.2"/>
        <n v="63.07"/>
        <n v="9.6"/>
        <n v="18.190000000000001"/>
        <n v="57.98"/>
        <n v="60.95"/>
        <n v="10.25"/>
        <n v="32.68"/>
        <n v="39.369999999999997"/>
        <n v="13.29"/>
        <n v="9.84"/>
        <n v="58.78"/>
        <n v="8.27"/>
        <n v="11.11"/>
        <n v="6.85"/>
        <n v="27.69"/>
        <n v="44.17"/>
        <n v="60.89"/>
        <n v="11.41"/>
        <n v="15.54"/>
        <n v="12.24"/>
        <n v="56"/>
        <n v="11.42"/>
        <n v="44.16"/>
        <n v="7.4"/>
        <n v="19.989999999999998"/>
        <n v="43.26"/>
        <n v="34.5"/>
        <n v="8.24"/>
        <n v="39.44"/>
        <n v="45.01"/>
        <n v="45.86"/>
        <n v="20.059999999999999"/>
        <n v="16.16"/>
        <n v="32.47"/>
        <n v="38.549999999999997"/>
        <n v="54.82"/>
        <n v="24.21"/>
        <n v="34.770000000000003"/>
        <n v="46.58"/>
        <n v="43.29"/>
        <n v="29.29"/>
        <n v="17.079999999999998"/>
        <n v="32.159999999999997"/>
        <n v="5.75"/>
        <n v="13.39"/>
        <n v="68.7"/>
        <n v="38.15"/>
        <n v="67.290000000000006"/>
        <n v="18.739999999999998"/>
        <n v="10"/>
        <n v="58.14"/>
        <n v="20.03"/>
        <n v="17.75"/>
        <n v="6.02"/>
        <n v="55.78"/>
        <n v="59.3"/>
        <n v="6.89"/>
        <n v="15.7"/>
        <n v="7.45"/>
        <n v="24.17"/>
        <n v="21.06"/>
        <n v="17.23"/>
        <n v="45.57"/>
        <n v="21"/>
        <n v="11.64"/>
        <n v="13.19"/>
        <n v="11.32"/>
        <n v="11.43"/>
        <n v="56.25"/>
        <n v="14.42"/>
        <n v="14.56"/>
        <n v="25.69"/>
        <n v="8.4"/>
        <n v="56.85"/>
        <n v="5.9"/>
        <n v="61.2"/>
        <n v="17.87"/>
        <n v="32.979999999999997"/>
        <n v="10.26"/>
        <n v="20.7"/>
        <n v="23.11"/>
        <n v="6.63"/>
        <n v="56.54"/>
        <n v="36.020000000000003"/>
        <n v="29.07"/>
        <n v="7.42"/>
        <n v="18.53"/>
        <n v="11.16"/>
        <n v="64.239999999999995"/>
        <n v="43.77"/>
        <n v="67.489999999999995"/>
        <n v="54.33"/>
        <n v="42.46"/>
        <n v="12.74"/>
        <n v="50.25"/>
        <n v="59.01"/>
        <n v="68.19"/>
        <n v="17.86"/>
        <n v="31.84"/>
        <n v="48.35"/>
        <n v="58.77"/>
        <n v="62.99"/>
        <n v="60.67"/>
        <n v="23.31"/>
        <n v="46.35"/>
        <n v="31.85"/>
        <n v="29.25"/>
        <n v="66.55"/>
        <n v="36.799999999999997"/>
        <n v="18.059999999999999"/>
        <n v="61.7"/>
        <n v="15.56"/>
        <n v="62.09"/>
        <n v="7.24"/>
        <n v="16.14"/>
        <n v="43.67"/>
        <n v="36.99"/>
        <n v="62.69"/>
        <n v="56.14"/>
        <n v="48.16"/>
        <n v="66.27"/>
        <n v="27.06"/>
        <n v="43.92"/>
        <n v="24.02"/>
        <n v="56.63"/>
        <n v="26.78"/>
        <n v="25.07"/>
        <n v="26.63"/>
        <n v="35.090000000000003"/>
        <n v="38.39"/>
        <n v="21.17"/>
        <n v="48.39"/>
        <n v="42.36"/>
        <n v="13.91"/>
        <n v="49.97"/>
        <n v="45.65"/>
        <n v="20.56"/>
        <n v="9.08"/>
        <n v="45.41"/>
        <n v="32.21"/>
        <n v="65.849999999999994"/>
        <n v="61.1"/>
        <n v="24.41"/>
        <n v="62.05"/>
        <n v="69.22"/>
        <n v="41.71"/>
        <n v="12.89"/>
        <n v="14.26"/>
        <n v="66.12"/>
        <n v="53.46"/>
        <n v="15.73"/>
        <n v="20.49"/>
        <n v="8.16"/>
        <n v="54.27"/>
        <n v="43.03"/>
        <n v="17.84"/>
        <n v="52.24"/>
        <n v="52.01"/>
        <n v="33.340000000000003"/>
        <n v="42.49"/>
        <n v="27.14"/>
        <n v="35.61"/>
        <n v="38.53"/>
        <n v="51.91"/>
        <n v="47.76"/>
        <n v="24.16"/>
        <n v="21.75"/>
        <n v="9.73"/>
        <n v="35.229999999999997"/>
        <n v="20.29"/>
        <n v="27.22"/>
        <n v="46.42"/>
        <n v="61.74"/>
        <n v="6.25"/>
        <n v="26.19"/>
        <n v="13.74"/>
        <n v="67.989999999999995"/>
        <n v="23.86"/>
        <n v="26.64"/>
        <n v="63.66"/>
        <n v="46.9"/>
        <n v="40.090000000000003"/>
        <n v="5.26"/>
        <n v="42.89"/>
        <n v="15.78"/>
        <n v="21.22"/>
        <n v="33.81"/>
        <n v="30.83"/>
        <n v="47.91"/>
        <n v="58.23"/>
        <n v="26.96"/>
        <n v="39.46"/>
        <n v="65.989999999999995"/>
        <n v="47.95"/>
        <n v="53.44"/>
        <n v="35.07"/>
        <n v="9.9499999999999993"/>
        <n v="40.9"/>
        <n v="19.84"/>
        <n v="17.95"/>
        <n v="58.5"/>
        <n v="47.36"/>
        <n v="56.79"/>
        <n v="49.83"/>
        <n v="25.93"/>
        <n v="25.76"/>
        <n v="8.1"/>
        <n v="14.76"/>
        <n v="20.12"/>
        <n v="22.49"/>
      </sharedItems>
    </cacheField>
    <cacheField name="Total Cost" numFmtId="0">
      <sharedItems containsSemiMixedTypes="0" containsString="0" containsNumber="1" minValue="348.21" maxValue="20861.23" count="5952">
        <n v="4117.2"/>
        <n v="8298.81"/>
        <n v="3615.95"/>
        <n v="9505.65"/>
        <n v="8249.64"/>
        <n v="14881.71"/>
        <n v="6933.6"/>
        <n v="12594.7"/>
        <n v="5011.24"/>
        <n v="1899"/>
        <n v="2307.36"/>
        <n v="1962.38"/>
        <n v="2409.9899999999998"/>
        <n v="15821.96"/>
        <n v="1373.52"/>
        <n v="4435.5600000000004"/>
        <n v="6782.64"/>
        <n v="7899.98"/>
        <n v="9435.98"/>
        <n v="978.12"/>
        <n v="6417.9"/>
        <n v="7697.69"/>
        <n v="2314.83"/>
        <n v="7973"/>
        <n v="10016.299999999999"/>
        <n v="6829.03"/>
        <n v="4474.8999999999996"/>
        <n v="2368.8000000000002"/>
        <n v="3459.68"/>
        <n v="6364.92"/>
        <n v="1304.67"/>
        <n v="5726.01"/>
        <n v="17439.3"/>
        <n v="3080.7"/>
        <n v="4850.7"/>
        <n v="3350.39"/>
        <n v="2652.36"/>
        <n v="3704.4"/>
        <n v="1768.08"/>
        <n v="1525.16"/>
        <n v="2609"/>
        <n v="1735.22"/>
        <n v="4644.22"/>
        <n v="1765.3"/>
        <n v="3217.27"/>
        <n v="7360.21"/>
        <n v="6795.81"/>
        <n v="2783.49"/>
        <n v="3625.2"/>
        <n v="14619"/>
        <n v="3287.06"/>
        <n v="10648.82"/>
        <n v="9402.91"/>
        <n v="621.5"/>
        <n v="14357.58"/>
        <n v="868.14"/>
        <n v="6210.08"/>
        <n v="6579.57"/>
        <n v="12633.6"/>
        <n v="6974.24"/>
        <n v="7108.38"/>
        <n v="6067.92"/>
        <n v="6596.1"/>
        <n v="5512.56"/>
        <n v="17398.080000000002"/>
        <n v="4182.32"/>
        <n v="3093.66"/>
        <n v="1184.03"/>
        <n v="7086.24"/>
        <n v="4461.6499999999996"/>
        <n v="13132.8"/>
        <n v="5151.96"/>
        <n v="6915.05"/>
        <n v="7634.16"/>
        <n v="3372.6"/>
        <n v="7413.03"/>
        <n v="2747.2"/>
        <n v="7876.74"/>
        <n v="4305.6000000000004"/>
        <n v="7458.36"/>
        <n v="4746.79"/>
        <n v="6703.11"/>
        <n v="1533"/>
        <n v="7925.8"/>
        <n v="4161.75"/>
        <n v="1561.68"/>
        <n v="8703.6299999999992"/>
        <n v="2653.07"/>
        <n v="12448.98"/>
        <n v="2776.29"/>
        <n v="3537.18"/>
        <n v="15094.44"/>
        <n v="3869.22"/>
        <n v="2263.8000000000002"/>
        <n v="6066.08"/>
        <n v="2656.5"/>
        <n v="2225.92"/>
        <n v="10231.5"/>
        <n v="8400.06"/>
        <n v="10195.9"/>
        <n v="6381.48"/>
        <n v="1256.1300000000001"/>
        <n v="12129.81"/>
        <n v="2061.25"/>
        <n v="1995"/>
        <n v="1272.96"/>
        <n v="1142.76"/>
        <n v="2643.84"/>
        <n v="11264.56"/>
        <n v="8819.5499999999993"/>
        <n v="4025.34"/>
        <n v="6941.7"/>
        <n v="6690.17"/>
        <n v="4744.32"/>
        <n v="14330.68"/>
        <n v="4865.5200000000004"/>
        <n v="13092.38"/>
        <n v="3851.01"/>
        <n v="3946.25"/>
        <n v="8167.85"/>
        <n v="9744.14"/>
        <n v="1000.35"/>
        <n v="6282.54"/>
        <n v="3786.96"/>
        <n v="12538.22"/>
        <n v="6266.82"/>
        <n v="18263.16"/>
        <n v="4350.1000000000004"/>
        <n v="2562"/>
        <n v="6681.5"/>
        <n v="9369.2800000000007"/>
        <n v="6482"/>
        <n v="1471.8"/>
        <n v="734.16"/>
        <n v="2107.8000000000002"/>
        <n v="12906.82"/>
        <n v="4394.16"/>
        <n v="3156.14"/>
        <n v="4657.96"/>
        <n v="1278.51"/>
        <n v="13224.8"/>
        <n v="4008.9"/>
        <n v="2183.39"/>
        <n v="8046.5"/>
        <n v="2358.61"/>
        <n v="8588.84"/>
        <n v="9166.74"/>
        <n v="12859.2"/>
        <n v="7460.64"/>
        <n v="8582.7000000000007"/>
        <n v="8178"/>
        <n v="13977.36"/>
        <n v="5832.7"/>
        <n v="4167.8999999999996"/>
        <n v="15524.48"/>
        <n v="1580.8"/>
        <n v="1525.53"/>
        <n v="4538.72"/>
        <n v="3019.2"/>
        <n v="1488.52"/>
        <n v="6904.32"/>
        <n v="5932.08"/>
        <n v="13936.12"/>
        <n v="12820.86"/>
        <n v="9365.7199999999993"/>
        <n v="9610.68"/>
        <n v="7711.9"/>
        <n v="13394.04"/>
        <n v="17051.28"/>
        <n v="10626.18"/>
        <n v="6180.56"/>
        <n v="15919.2"/>
        <n v="4895.5200000000004"/>
        <n v="3826.65"/>
        <n v="1104.8399999999999"/>
        <n v="5215.04"/>
        <n v="14375.4"/>
        <n v="20025"/>
        <n v="14518.24"/>
        <n v="4131.53"/>
        <n v="1090.05"/>
        <n v="18411.36"/>
        <n v="8558.76"/>
        <n v="3579.84"/>
        <n v="5632.08"/>
        <n v="5411.25"/>
        <n v="7257.66"/>
        <n v="8517.4599999999991"/>
        <n v="1966.8"/>
        <n v="1230.1199999999999"/>
        <n v="8453.48"/>
        <n v="8215.23"/>
        <n v="18799.02"/>
        <n v="4121.3999999999996"/>
        <n v="2328.41"/>
        <n v="1920.66"/>
        <n v="7817.95"/>
        <n v="5842.2"/>
        <n v="7512.28"/>
        <n v="5547.21"/>
        <n v="1220"/>
        <n v="11491.48"/>
        <n v="5523.48"/>
        <n v="12083.79"/>
        <n v="5476.8"/>
        <n v="3245.1"/>
        <n v="14201.6"/>
        <n v="4668.84"/>
        <n v="3705.6"/>
        <n v="6463"/>
        <n v="3102.84"/>
        <n v="1475.94"/>
        <n v="4024.02"/>
        <n v="15225.08"/>
        <n v="6721.65"/>
        <n v="2994.24"/>
        <n v="13781.4"/>
        <n v="9530.8799999999992"/>
        <n v="2004.5"/>
        <n v="4927.6499999999996"/>
        <n v="3608.76"/>
        <n v="5985.84"/>
        <n v="13549.93"/>
        <n v="1479.28"/>
        <n v="7489.95"/>
        <n v="4636.1000000000004"/>
        <n v="13666.47"/>
        <n v="5014.04"/>
        <n v="5247.84"/>
        <n v="13357.95"/>
        <n v="7995.26"/>
        <n v="4838.6499999999996"/>
        <n v="1086.33"/>
        <n v="7241.04"/>
        <n v="7353.19"/>
        <n v="5996.51"/>
        <n v="3652.56"/>
        <n v="1439.2"/>
        <n v="4851.84"/>
        <n v="3258.45"/>
        <n v="4636.24"/>
        <n v="6898.55"/>
        <n v="2240.35"/>
        <n v="1595.79"/>
        <n v="15630.3"/>
        <n v="7096.28"/>
        <n v="3527.95"/>
        <n v="3845.07"/>
        <n v="14355.12"/>
        <n v="4856.05"/>
        <n v="3848.8"/>
        <n v="11059.4"/>
        <n v="10182.36"/>
        <n v="5414.87"/>
        <n v="3716.76"/>
        <n v="651"/>
        <n v="852.24"/>
        <n v="1478.88"/>
        <n v="2397.7800000000002"/>
        <n v="7220.68"/>
        <n v="4214.9799999999996"/>
        <n v="13405.84"/>
        <n v="1888.05"/>
        <n v="8819.1200000000008"/>
        <n v="1080.6400000000001"/>
        <n v="2804.16"/>
        <n v="10609.44"/>
        <n v="1917.6"/>
        <n v="14103.6"/>
        <n v="4217.74"/>
        <n v="10642.5"/>
        <n v="9741.4"/>
        <n v="7481.3"/>
        <n v="6175.96"/>
        <n v="11855.75"/>
        <n v="3229.1"/>
        <n v="12604.48"/>
        <n v="6340.4"/>
        <n v="4811.7299999999996"/>
        <n v="3782.9"/>
        <n v="6203.4"/>
        <n v="1647.6"/>
        <n v="3161.43"/>
        <n v="3549.48"/>
        <n v="5471.18"/>
        <n v="7526.91"/>
        <n v="7751.66"/>
        <n v="17515.8"/>
        <n v="2641"/>
        <n v="937.2"/>
        <n v="11690.7"/>
        <n v="8753.2199999999993"/>
        <n v="3663.62"/>
        <n v="10638.72"/>
        <n v="6136.56"/>
        <n v="8905.0400000000009"/>
        <n v="3436.84"/>
        <n v="7115.52"/>
        <n v="6433.72"/>
        <n v="9574.2000000000007"/>
        <n v="7498.92"/>
        <n v="1124.97"/>
        <n v="8157.67"/>
        <n v="5705.7"/>
        <n v="6384.36"/>
        <n v="4770.42"/>
        <n v="17200.88"/>
        <n v="1421.2"/>
        <n v="5080.6000000000004"/>
        <n v="7243.56"/>
        <n v="2067.62"/>
        <n v="8092.44"/>
        <n v="627.6"/>
        <n v="13026.64"/>
        <n v="632"/>
        <n v="3460.86"/>
        <n v="4260.08"/>
        <n v="16680.86"/>
        <n v="5432.4"/>
        <n v="6028.83"/>
        <n v="10169.49"/>
        <n v="5362.23"/>
        <n v="1593.72"/>
        <n v="1650.34"/>
        <n v="6266.26"/>
        <n v="1602.18"/>
        <n v="6083.15"/>
        <n v="2096.25"/>
        <n v="2187.81"/>
        <n v="9709.7000000000007"/>
        <n v="9257.4"/>
        <n v="8681.4"/>
        <n v="4207.1400000000003"/>
        <n v="1314.28"/>
        <n v="1859.89"/>
        <n v="15151.5"/>
        <n v="12078"/>
        <n v="1540.68"/>
        <n v="15320.7"/>
        <n v="2776.9"/>
        <n v="3576.58"/>
        <n v="8930.18"/>
        <n v="4460.3999999999996"/>
        <n v="1633.8"/>
        <n v="7570.8"/>
        <n v="451.03"/>
        <n v="9653.4"/>
        <n v="6426"/>
        <n v="3628.8"/>
        <n v="685.87"/>
        <n v="1896.16"/>
        <n v="7233.82"/>
        <n v="1153.5999999999999"/>
        <n v="10124.4"/>
        <n v="6980.4"/>
        <n v="16905.439999999999"/>
        <n v="576.79999999999995"/>
        <n v="8230.0400000000009"/>
        <n v="7551.45"/>
        <n v="885.78"/>
        <n v="1747.31"/>
        <n v="9513.2000000000007"/>
        <n v="4053.84"/>
        <n v="9501.84"/>
        <n v="3281.04"/>
        <n v="5449.99"/>
        <n v="11691.02"/>
        <n v="8911.2199999999993"/>
        <n v="2564.5500000000002"/>
        <n v="16576.05"/>
        <n v="5452.61"/>
        <n v="3471.6"/>
        <n v="6300.16"/>
        <n v="3148.18"/>
        <n v="5057.01"/>
        <n v="2496.4499999999998"/>
        <n v="890.27"/>
        <n v="3893.4"/>
        <n v="7144.72"/>
        <n v="19079.88"/>
        <n v="7533.12"/>
        <n v="3276.72"/>
        <n v="7245"/>
        <n v="1980.63"/>
        <n v="2759.62"/>
        <n v="9938.06"/>
        <n v="7972.02"/>
        <n v="4054.68"/>
        <n v="4516.2"/>
        <n v="1461.65"/>
        <n v="11482.62"/>
        <n v="7010.4"/>
        <n v="9679.5"/>
        <n v="7014"/>
        <n v="8866.64"/>
        <n v="3659.25"/>
        <n v="1466.61"/>
        <n v="9679.83"/>
        <n v="8664.0400000000009"/>
        <n v="7255.7"/>
        <n v="8944.4"/>
        <n v="16553.900000000001"/>
        <n v="4664.6400000000003"/>
        <n v="9082.08"/>
        <n v="4614.3999999999996"/>
        <n v="11316.96"/>
        <n v="11093.76"/>
        <n v="4915.8900000000003"/>
        <n v="6457.15"/>
        <n v="11344.41"/>
        <n v="6651.6"/>
        <n v="5875.1"/>
        <n v="3014.26"/>
        <n v="4485.8999999999996"/>
        <n v="6199.92"/>
        <n v="19323.54"/>
        <n v="3939.52"/>
        <n v="7814.88"/>
        <n v="10368.49"/>
        <n v="13028.7"/>
        <n v="6723.84"/>
        <n v="2337.9299999999998"/>
        <n v="4743.92"/>
        <n v="14257.75"/>
        <n v="1186.8"/>
        <n v="11872.2"/>
        <n v="675.62"/>
        <n v="1312.5"/>
        <n v="5421.3"/>
        <n v="15242.57"/>
        <n v="3702.7"/>
        <n v="1124.8"/>
        <n v="6737.85"/>
        <n v="8810.34"/>
        <n v="2880"/>
        <n v="11646.6"/>
        <n v="7035.75"/>
        <n v="6507.6"/>
        <n v="15136.35"/>
        <n v="3810.09"/>
        <n v="10485.719999999999"/>
        <n v="2051.0500000000002"/>
        <n v="889.98"/>
        <n v="7212.72"/>
        <n v="5210"/>
        <n v="4974.97"/>
        <n v="2192.3000000000002"/>
        <n v="4970.16"/>
        <n v="2479.36"/>
        <n v="11724.56"/>
        <n v="1076.04"/>
        <n v="6982.5"/>
        <n v="7784.78"/>
        <n v="2228.16"/>
        <n v="14602.64"/>
        <n v="12736"/>
        <n v="11728.4"/>
        <n v="3558"/>
        <n v="7500.99"/>
        <n v="3023.65"/>
        <n v="4756.7700000000004"/>
        <n v="5076.1499999999996"/>
        <n v="608.19000000000005"/>
        <n v="3610.97"/>
        <n v="17476.560000000001"/>
        <n v="3800.19"/>
        <n v="6657.33"/>
        <n v="8152.85"/>
        <n v="7593.32"/>
        <n v="17538.28"/>
        <n v="4075.6"/>
        <n v="15826.25"/>
        <n v="4593.16"/>
        <n v="7036.64"/>
        <n v="2424.84"/>
        <n v="10726.56"/>
        <n v="5247.9"/>
        <n v="4539.0600000000004"/>
        <n v="1956.04"/>
        <n v="1246.08"/>
        <n v="12345"/>
        <n v="4107.55"/>
        <n v="6094.57"/>
        <n v="2679"/>
        <n v="8046.38"/>
        <n v="10697.76"/>
        <n v="10793.45"/>
        <n v="7934.76"/>
        <n v="7518.42"/>
        <n v="3086.08"/>
        <n v="4649.9399999999996"/>
        <n v="5319.24"/>
        <n v="4834.2"/>
        <n v="3568.95"/>
        <n v="5181.28"/>
        <n v="3200.69"/>
        <n v="5865.75"/>
        <n v="1200"/>
        <n v="16433.400000000001"/>
        <n v="8918"/>
        <n v="9626.34"/>
        <n v="17448.75"/>
        <n v="10356.5"/>
        <n v="794.82"/>
        <n v="5999.12"/>
        <n v="4114.8"/>
        <n v="4094.5"/>
        <n v="3020.6"/>
        <n v="10202.01"/>
        <n v="2130.6999999999998"/>
        <n v="6482.4"/>
        <n v="12367.74"/>
        <n v="11372.4"/>
        <n v="3962.7"/>
        <n v="9556.0400000000009"/>
        <n v="2024.21"/>
        <n v="4968"/>
        <n v="5711.2"/>
        <n v="5132.3999999999996"/>
        <n v="12129.6"/>
        <n v="7061.73"/>
        <n v="17360.86"/>
        <n v="6778.43"/>
        <n v="11288"/>
        <n v="12659.92"/>
        <n v="6904.66"/>
        <n v="11660.06"/>
        <n v="4688.6400000000003"/>
        <n v="8055.05"/>
        <n v="12523.6"/>
        <n v="3376.63"/>
        <n v="5851.12"/>
        <n v="8806.7000000000007"/>
        <n v="8409.4599999999991"/>
        <n v="5942.12"/>
        <n v="1276.8399999999999"/>
        <n v="4043.76"/>
        <n v="8299.84"/>
        <n v="5808.88"/>
        <n v="2083.9"/>
        <n v="1522.54"/>
        <n v="15962.8"/>
        <n v="6560.32"/>
        <n v="17878.88"/>
        <n v="13362.5"/>
        <n v="11246.16"/>
        <n v="10076.299999999999"/>
        <n v="13298"/>
        <n v="4724.72"/>
        <n v="4972.59"/>
        <n v="16901.62"/>
        <n v="13635"/>
        <n v="3690.4"/>
        <n v="8980.92"/>
        <n v="1746.36"/>
        <n v="1302.21"/>
        <n v="2446.84"/>
        <n v="9640.75"/>
        <n v="8702.2999999999993"/>
        <n v="11718.94"/>
        <n v="3249.4"/>
        <n v="11668.78"/>
        <n v="13218.36"/>
        <n v="4086.42"/>
        <n v="3807.44"/>
        <n v="3903.2"/>
        <n v="4821.09"/>
        <n v="9080.77"/>
        <n v="2452.3200000000002"/>
        <n v="6012.24"/>
        <n v="3932.62"/>
        <n v="2777.4"/>
        <n v="705.03"/>
        <n v="6121.28"/>
        <n v="865.07"/>
        <n v="4010.83"/>
        <n v="9868.59"/>
        <n v="2282.2199999999998"/>
        <n v="2248.2399999999998"/>
        <n v="2638.23"/>
        <n v="12444.48"/>
        <n v="4867.2"/>
        <n v="2989.89"/>
        <n v="8178.21"/>
        <n v="10408.86"/>
        <n v="3816"/>
        <n v="7723.86"/>
        <n v="3351"/>
        <n v="9155.64"/>
        <n v="740.88"/>
        <n v="4468.32"/>
        <n v="6330.96"/>
        <n v="3393.55"/>
        <n v="2556.8000000000002"/>
        <n v="4634"/>
        <n v="1463.35"/>
        <n v="15628.8"/>
        <n v="3504.35"/>
        <n v="1398.63"/>
        <n v="12242.93"/>
        <n v="2210.94"/>
        <n v="7586.15"/>
        <n v="7380"/>
        <n v="7380.8"/>
        <n v="7468.08"/>
        <n v="5724.32"/>
        <n v="9191.73"/>
        <n v="2288"/>
        <n v="16655.400000000001"/>
        <n v="16890"/>
        <n v="7492.69"/>
        <n v="6425.9"/>
        <n v="5450.96"/>
        <n v="3996.42"/>
        <n v="2256.2399999999998"/>
        <n v="3607.8"/>
        <n v="359.1"/>
        <n v="5189.5"/>
        <n v="3796.96"/>
        <n v="10868.22"/>
        <n v="6785.8"/>
        <n v="629.91999999999996"/>
        <n v="6248.97"/>
        <n v="8839.48"/>
        <n v="1609.68"/>
        <n v="9210.7199999999993"/>
        <n v="2808.4"/>
        <n v="6439.7"/>
        <n v="5039.72"/>
        <n v="2955.04"/>
        <n v="7265.96"/>
        <n v="3073.47"/>
        <n v="6617.7"/>
        <n v="10634.4"/>
        <n v="7155.52"/>
        <n v="1644.1"/>
        <n v="10535.75"/>
        <n v="2547.9499999999998"/>
        <n v="7627.2"/>
        <n v="15395.64"/>
        <n v="7484.32"/>
        <n v="2838.33"/>
        <n v="8584.7999999999993"/>
        <n v="1658.04"/>
        <n v="3434.8"/>
        <n v="4215.68"/>
        <n v="2527.12"/>
        <n v="5577.02"/>
        <n v="3904.12"/>
        <n v="4282.72"/>
        <n v="10460.08"/>
        <n v="3227.52"/>
        <n v="9660"/>
        <n v="5144.2"/>
        <n v="9525.6"/>
        <n v="1148.6300000000001"/>
        <n v="16032.8"/>
        <n v="3103.39"/>
        <n v="7578.27"/>
        <n v="6566.4"/>
        <n v="3508.05"/>
        <n v="2505.6"/>
        <n v="1332"/>
        <n v="3396.96"/>
        <n v="9113.7199999999993"/>
        <n v="4443.12"/>
        <n v="2694.87"/>
        <n v="2164.11"/>
        <n v="8686.0400000000009"/>
        <n v="6646.99"/>
        <n v="12313.42"/>
        <n v="13396.24"/>
        <n v="11902.56"/>
        <n v="3990.01"/>
        <n v="4208.3999999999996"/>
        <n v="3051.06"/>
        <n v="5226.41"/>
        <n v="976.8"/>
        <n v="2753.1"/>
        <n v="8428.2000000000007"/>
        <n v="1437.87"/>
        <n v="12420.55"/>
        <n v="5138.3500000000004"/>
        <n v="3112.4"/>
        <n v="2728.32"/>
        <n v="7313.52"/>
        <n v="7574.48"/>
        <n v="2621.36"/>
        <n v="1736.96"/>
        <n v="3921.96"/>
        <n v="8597.0400000000009"/>
        <n v="8605.84"/>
        <n v="4345.2"/>
        <n v="3248.02"/>
        <n v="1271.82"/>
        <n v="1379.34"/>
        <n v="4954.42"/>
        <n v="14939.7"/>
        <n v="1199.52"/>
        <n v="574.08000000000004"/>
        <n v="9432.7199999999993"/>
        <n v="5592.84"/>
        <n v="14515.2"/>
        <n v="2508"/>
        <n v="11319.75"/>
        <n v="9737.26"/>
        <n v="5059.84"/>
        <n v="13592.32"/>
        <n v="6341.72"/>
        <n v="10755.03"/>
        <n v="3125.2"/>
        <n v="8519.2000000000007"/>
        <n v="15238.85"/>
        <n v="4673.6000000000004"/>
        <n v="4798.8"/>
        <n v="1082.43"/>
        <n v="12691.82"/>
        <n v="4202.3999999999996"/>
        <n v="9583.08"/>
        <n v="15617.28"/>
        <n v="6400"/>
        <n v="8411.0400000000009"/>
        <n v="1694.48"/>
        <n v="5970.6"/>
        <n v="2944.88"/>
        <n v="7241.3"/>
        <n v="6199.83"/>
        <n v="5976.28"/>
        <n v="1151.7"/>
        <n v="5610.24"/>
        <n v="5768.73"/>
        <n v="17983.68"/>
        <n v="9823.68"/>
        <n v="9467.31"/>
        <n v="1177.68"/>
        <n v="15130.5"/>
        <n v="13222.1"/>
        <n v="1311.5"/>
        <n v="1188"/>
        <n v="3367.26"/>
        <n v="8505"/>
        <n v="9329.2000000000007"/>
        <n v="10572.12"/>
        <n v="13921.44"/>
        <n v="6474.82"/>
        <n v="5292.22"/>
        <n v="2899.68"/>
        <n v="4593.6000000000004"/>
        <n v="18492.3"/>
        <n v="5146.72"/>
        <n v="460.23"/>
        <n v="6691.84"/>
        <n v="10453.9"/>
        <n v="4236.92"/>
        <n v="1953.9"/>
        <n v="9468"/>
        <n v="9669.6"/>
        <n v="4544.1000000000004"/>
        <n v="725.04"/>
        <n v="1846.76"/>
        <n v="1059.0999999999999"/>
        <n v="5928.5"/>
        <n v="5792.46"/>
        <n v="13927.2"/>
        <n v="7504.38"/>
        <n v="2460.12"/>
        <n v="8269.56"/>
        <n v="4599.3999999999996"/>
        <n v="9054.4599999999991"/>
        <n v="2357.06"/>
        <n v="2471.63"/>
        <n v="2099.94"/>
        <n v="13387.66"/>
        <n v="15186.3"/>
        <n v="7038.25"/>
        <n v="7093.2"/>
        <n v="10603.32"/>
        <n v="1839.36"/>
        <n v="7789.43"/>
        <n v="7459.2"/>
        <n v="7848.96"/>
        <n v="5478.36"/>
        <n v="10936.44"/>
        <n v="1375.29"/>
        <n v="2686.03"/>
        <n v="8523.48"/>
        <n v="1324.62"/>
        <n v="2937.22"/>
        <n v="3841.62"/>
        <n v="7258.35"/>
        <n v="4236.96"/>
        <n v="2594.9699999999998"/>
        <n v="3134.04"/>
        <n v="10943.72"/>
        <n v="3166.26"/>
        <n v="10770.21"/>
        <n v="6244.42"/>
        <n v="13978.71"/>
        <n v="12759.12"/>
        <n v="6010.69"/>
        <n v="5248.98"/>
        <n v="9503.14"/>
        <n v="8976.5400000000009"/>
        <n v="4763.2"/>
        <n v="8702.75"/>
        <n v="5637.84"/>
        <n v="5683.98"/>
        <n v="10407.44"/>
        <n v="1063.52"/>
        <n v="1904.6"/>
        <n v="3909.6"/>
        <n v="5235.75"/>
        <n v="12324.72"/>
        <n v="1744.08"/>
        <n v="5309.7"/>
        <n v="8619.24"/>
        <n v="6988.8"/>
        <n v="11153.52"/>
        <n v="10505.1"/>
        <n v="1232.8800000000001"/>
        <n v="13338"/>
        <n v="1026.75"/>
        <n v="4384.3999999999996"/>
        <n v="2143.44"/>
        <n v="10080.030000000001"/>
        <n v="2038.32"/>
        <n v="3266.36"/>
        <n v="3761.3"/>
        <n v="12271.75"/>
        <n v="18282.240000000002"/>
        <n v="11958.75"/>
        <n v="3482.7"/>
        <n v="12354"/>
        <n v="3515.85"/>
        <n v="11898.73"/>
        <n v="3814.44"/>
        <n v="4636.3599999999997"/>
        <n v="10409.950000000001"/>
        <n v="3173.56"/>
        <n v="4222.8"/>
        <n v="12763.39"/>
        <n v="9863.32"/>
        <n v="1142.4000000000001"/>
        <n v="1969.11"/>
        <n v="8475.92"/>
        <n v="11545.12"/>
        <n v="10923.66"/>
        <n v="419.76"/>
        <n v="1865.43"/>
        <n v="2679.93"/>
        <n v="12125.04"/>
        <n v="1383.8"/>
        <n v="7909.44"/>
        <n v="6963.53"/>
        <n v="3415.06"/>
        <n v="10762.56"/>
        <n v="11071.5"/>
        <n v="5108.8999999999996"/>
        <n v="6604.81"/>
        <n v="4720.5"/>
        <n v="1966.36"/>
        <n v="4785.16"/>
        <n v="14836.61"/>
        <n v="9116.73"/>
        <n v="5582.08"/>
        <n v="3520.18"/>
        <n v="9471"/>
        <n v="4048.74"/>
        <n v="9503.4500000000007"/>
        <n v="4623.16"/>
        <n v="4477.72"/>
        <n v="7850.94"/>
        <n v="1977.14"/>
        <n v="11039.52"/>
        <n v="1408.95"/>
        <n v="8314.3799999999992"/>
        <n v="15112.9"/>
        <n v="9523.02"/>
        <n v="5266.64"/>
        <n v="3011.38"/>
        <n v="4120.84"/>
        <n v="2987.32"/>
        <n v="3889.51"/>
        <n v="1099.22"/>
        <n v="7983.21"/>
        <n v="4917.3599999999997"/>
        <n v="17617.919999999998"/>
        <n v="1822.4"/>
        <n v="3245.31"/>
        <n v="2638.4"/>
        <n v="10392.27"/>
        <n v="7617.19"/>
        <n v="1781.12"/>
        <n v="1252.45"/>
        <n v="3201.66"/>
        <n v="3680.69"/>
        <n v="1398.25"/>
        <n v="3986.2"/>
        <n v="4319.78"/>
        <n v="7709.31"/>
        <n v="5002.41"/>
        <n v="2333.4499999999998"/>
        <n v="1308.24"/>
        <n v="863.6"/>
        <n v="777.4"/>
        <n v="4282.8"/>
        <n v="5831.1"/>
        <n v="7880.67"/>
        <n v="3785.1"/>
        <n v="5448.91"/>
        <n v="9069.36"/>
        <n v="8938.35"/>
        <n v="11780.99"/>
        <n v="11850.36"/>
        <n v="11427.97"/>
        <n v="3658.73"/>
        <n v="4607.28"/>
        <n v="6937.92"/>
        <n v="3780.66"/>
        <n v="7409.56"/>
        <n v="7975.5"/>
        <n v="4570.0200000000004"/>
        <n v="10846"/>
        <n v="6893.25"/>
        <n v="2752.94"/>
        <n v="2161.09"/>
        <n v="351.9"/>
        <n v="14638.68"/>
        <n v="7824.76"/>
        <n v="12650.3"/>
        <n v="5569.16"/>
        <n v="5919.18"/>
        <n v="16565.48"/>
        <n v="2685.2"/>
        <n v="12423.82"/>
        <n v="860.52"/>
        <n v="8749.44"/>
        <n v="15560.64"/>
        <n v="1744.1"/>
        <n v="8635.52"/>
        <n v="6832.86"/>
        <n v="2929.62"/>
        <n v="3533.88"/>
        <n v="7397.22"/>
        <n v="1272.93"/>
        <n v="8052.85"/>
        <n v="5463.71"/>
        <n v="6217.26"/>
        <n v="2046.54"/>
        <n v="3300.12"/>
        <n v="1660.02"/>
        <n v="1661.65"/>
        <n v="1603.44"/>
        <n v="13131.36"/>
        <n v="3088.22"/>
        <n v="6662.4"/>
        <n v="1330.35"/>
        <n v="2147.66"/>
        <n v="5656.76"/>
        <n v="14327.68"/>
        <n v="17289.93"/>
        <n v="6661.68"/>
        <n v="1070.4000000000001"/>
        <n v="8573.18"/>
        <n v="6215.68"/>
        <n v="13049.1"/>
        <n v="3704.03"/>
        <n v="12937.19"/>
        <n v="1355.9"/>
        <n v="4364.53"/>
        <n v="15702.48"/>
        <n v="1635.1"/>
        <n v="9439.83"/>
        <n v="6369.22"/>
        <n v="9929.36"/>
        <n v="10244.17"/>
        <n v="1059.48"/>
        <n v="884.48"/>
        <n v="5832.96"/>
        <n v="4431.37"/>
        <n v="3179.88"/>
        <n v="11009.18"/>
        <n v="6096.37"/>
        <n v="9732.5"/>
        <n v="4163.55"/>
        <n v="3286.53"/>
        <n v="1944.84"/>
        <n v="2114.9699999999998"/>
        <n v="15125.4"/>
        <n v="11229.12"/>
        <n v="5786.9"/>
        <n v="13647.6"/>
        <n v="2142.3000000000002"/>
        <n v="2550.29"/>
        <n v="5340.9"/>
        <n v="4609.92"/>
        <n v="3595.56"/>
        <n v="4256.25"/>
        <n v="5297.4"/>
        <n v="1570.64"/>
        <n v="13677.97"/>
        <n v="2714.25"/>
        <n v="2218.86"/>
        <n v="5985.82"/>
        <n v="5043.8999999999996"/>
        <n v="8527.09"/>
        <n v="4434.0200000000004"/>
        <n v="12720.54"/>
        <n v="10564.98"/>
        <n v="7191.18"/>
        <n v="8166.9"/>
        <n v="18617.22"/>
        <n v="5097.33"/>
        <n v="2257.1999999999998"/>
        <n v="6946.56"/>
        <n v="3943.5"/>
        <n v="6675"/>
        <n v="621.28"/>
        <n v="5110.96"/>
        <n v="654.12"/>
        <n v="1944.8"/>
        <n v="12075.15"/>
        <n v="6028.55"/>
        <n v="2665.55"/>
        <n v="1275.0999999999999"/>
        <n v="2390.09"/>
        <n v="575.34"/>
        <n v="7641.51"/>
        <n v="1005.48"/>
        <n v="1647.36"/>
        <n v="3457.12"/>
        <n v="13661.2"/>
        <n v="4211.74"/>
        <n v="12821.01"/>
        <n v="2548"/>
        <n v="498.68"/>
        <n v="5812.3"/>
        <n v="10630.1"/>
        <n v="6471.9"/>
        <n v="5791.63"/>
        <n v="4154.8"/>
        <n v="943.65"/>
        <n v="2239.4299999999998"/>
        <n v="12685.68"/>
        <n v="3346.56"/>
        <n v="3973.32"/>
        <n v="5331.9"/>
        <n v="3300.42"/>
        <n v="2348.98"/>
        <n v="10745.02"/>
        <n v="11988.8"/>
        <n v="5429.2"/>
        <n v="4802.5200000000004"/>
        <n v="13021.32"/>
        <n v="5050.96"/>
        <n v="9149.91"/>
        <n v="6889.75"/>
        <n v="6262.5"/>
        <n v="11750.8"/>
        <n v="1967.35"/>
        <n v="4481.1000000000004"/>
        <n v="7843.2"/>
        <n v="867.1"/>
        <n v="7568.08"/>
        <n v="14491.96"/>
        <n v="7542.04"/>
        <n v="5182.96"/>
        <n v="3077.36"/>
        <n v="3554.56"/>
        <n v="6638.08"/>
        <n v="8868.9"/>
        <n v="3499.28"/>
        <n v="6158.25"/>
        <n v="1334.07"/>
        <n v="3485.34"/>
        <n v="4361.6000000000004"/>
        <n v="11022.84"/>
        <n v="17000.25"/>
        <n v="8052.56"/>
        <n v="3686.17"/>
        <n v="16475"/>
        <n v="1262.4000000000001"/>
        <n v="1793.25"/>
        <n v="7861.86"/>
        <n v="2165.29"/>
        <n v="3642.08"/>
        <n v="8624.07"/>
        <n v="5429.25"/>
        <n v="14004.24"/>
        <n v="16706.12"/>
        <n v="3325.32"/>
        <n v="3796.26"/>
        <n v="17136.36"/>
        <n v="10180.799999999999"/>
        <n v="4779.5"/>
        <n v="12818.19"/>
        <n v="5366.78"/>
        <n v="1999.2"/>
        <n v="4042.55"/>
        <n v="18574.8"/>
        <n v="3752.31"/>
        <n v="5666.28"/>
        <n v="2816.24"/>
        <n v="5176.8"/>
        <n v="9261.14"/>
        <n v="778.6"/>
        <n v="8112.04"/>
        <n v="2984.1"/>
        <n v="13804.63"/>
        <n v="3570.21"/>
        <n v="6626.88"/>
        <n v="12111.9"/>
        <n v="8431.74"/>
        <n v="6817.35"/>
        <n v="1891.44"/>
        <n v="3954.11"/>
        <n v="2654.28"/>
        <n v="8532.51"/>
        <n v="4159.8"/>
        <n v="4425.3"/>
        <n v="3268.91"/>
        <n v="2787.12"/>
        <n v="3717.76"/>
        <n v="4492.17"/>
        <n v="12018.24"/>
        <n v="5148"/>
        <n v="5848.2"/>
        <n v="7221.6"/>
        <n v="7388.16"/>
        <n v="6922.92"/>
        <n v="13823.04"/>
        <n v="6179.5"/>
        <n v="7995.88"/>
        <n v="6224.4"/>
        <n v="3414.25"/>
        <n v="365.82"/>
        <n v="7281.75"/>
        <n v="3940.6"/>
        <n v="12368.64"/>
        <n v="1090.51"/>
        <n v="5320.77"/>
        <n v="1153.74"/>
        <n v="3913.75"/>
        <n v="4251.78"/>
        <n v="14892"/>
        <n v="7117.6"/>
        <n v="3514.68"/>
        <n v="3805.54"/>
        <n v="5168.25"/>
        <n v="2223"/>
        <n v="1771.23"/>
        <n v="2499.64"/>
        <n v="13158.46"/>
        <n v="14966.49"/>
        <n v="1387.8"/>
        <n v="1384.53"/>
        <n v="12888.12"/>
        <n v="5133.5200000000004"/>
        <n v="751.68"/>
        <n v="7861.5"/>
        <n v="14668.59"/>
        <n v="4699.76"/>
        <n v="1991.04"/>
        <n v="1810.5"/>
        <n v="15258.18"/>
        <n v="3880.5"/>
        <n v="10102.65"/>
        <n v="15410.33"/>
        <n v="16819.509999999998"/>
        <n v="1780.9"/>
        <n v="19539.29"/>
        <n v="7103.55"/>
        <n v="2111.4"/>
        <n v="5068"/>
        <n v="6209.2"/>
        <n v="8854.0499999999993"/>
        <n v="1890.36"/>
        <n v="6166.68"/>
        <n v="5072.62"/>
        <n v="10641.33"/>
        <n v="8697.7800000000007"/>
        <n v="6759.44"/>
        <n v="19794.8"/>
        <n v="1182.2"/>
        <n v="3998.5"/>
        <n v="676.7"/>
        <n v="10241.64"/>
        <n v="1913.64"/>
        <n v="1631.7"/>
        <n v="3590.4"/>
        <n v="10936.62"/>
        <n v="9401.48"/>
        <n v="4407"/>
        <n v="10034.700000000001"/>
        <n v="5797.5"/>
        <n v="13573.98"/>
        <n v="2066.4"/>
        <n v="2400"/>
        <n v="3409.56"/>
        <n v="8101.59"/>
        <n v="3077.01"/>
        <n v="3713.14"/>
        <n v="2043.04"/>
        <n v="3651.9"/>
        <n v="1540.17"/>
        <n v="3653.28"/>
        <n v="4650.24"/>
        <n v="11214.2"/>
        <n v="6044.59"/>
        <n v="14139.4"/>
        <n v="2237.13"/>
        <n v="13296"/>
        <n v="3299.49"/>
        <n v="3018.29"/>
        <n v="5449.82"/>
        <n v="6483.18"/>
        <n v="2572.9"/>
        <n v="2877.56"/>
        <n v="1688"/>
        <n v="3878.62"/>
        <n v="2454.42"/>
        <n v="12317.96"/>
        <n v="10324.6"/>
        <n v="4497.3500000000004"/>
        <n v="5609.33"/>
        <n v="1424.16"/>
        <n v="15414.3"/>
        <n v="8000.88"/>
        <n v="11622.13"/>
        <n v="19046.759999999998"/>
        <n v="6419.01"/>
        <n v="1209.5999999999999"/>
        <n v="1160.1199999999999"/>
        <n v="4994.6000000000004"/>
        <n v="8117.16"/>
        <n v="13874.55"/>
        <n v="18219.72"/>
        <n v="6628.58"/>
        <n v="12657.87"/>
        <n v="1020.54"/>
        <n v="5748.64"/>
        <n v="4657.5600000000004"/>
        <n v="5520.92"/>
        <n v="16472.8"/>
        <n v="2848.62"/>
        <n v="3673.96"/>
        <n v="6168.5"/>
        <n v="3551.04"/>
        <n v="2603.34"/>
        <n v="9146.44"/>
        <n v="8442.9"/>
        <n v="16109.25"/>
        <n v="6557.28"/>
        <n v="16515"/>
        <n v="11561.76"/>
        <n v="2779.82"/>
        <n v="11357.7"/>
        <n v="11679.36"/>
        <n v="1424.5"/>
        <n v="3286.36"/>
        <n v="4772.25"/>
        <n v="2926.95"/>
        <n v="2032.18"/>
        <n v="1748"/>
        <n v="1372.4"/>
        <n v="10191.6"/>
        <n v="5505.28"/>
        <n v="5775.7"/>
        <n v="6289.25"/>
        <n v="8438.2199999999993"/>
        <n v="2237.02"/>
        <n v="1480.96"/>
        <n v="13154.4"/>
        <n v="11930.58"/>
        <n v="3894.8"/>
        <n v="19703.88"/>
        <n v="2697.24"/>
        <n v="10330.32"/>
        <n v="17417.55"/>
        <n v="7242.03"/>
        <n v="5085.6000000000004"/>
        <n v="12770.59"/>
        <n v="3745.44"/>
        <n v="16103.85"/>
        <n v="1732.66"/>
        <n v="4043.75"/>
        <n v="3760.65"/>
        <n v="3019.5"/>
        <n v="4653.75"/>
        <n v="5645.63"/>
        <n v="3530.5"/>
        <n v="2499.84"/>
        <n v="7164.66"/>
        <n v="7445.1"/>
        <n v="5052.0200000000004"/>
        <n v="5628.56"/>
        <n v="14582.18"/>
        <n v="10396.35"/>
        <n v="2253.64"/>
        <n v="8435.09"/>
        <n v="3462.4"/>
        <n v="4044.96"/>
        <n v="4145.04"/>
        <n v="4007.9"/>
        <n v="1556.8"/>
        <n v="10391.040000000001"/>
        <n v="3576.04"/>
        <n v="4177.5200000000004"/>
        <n v="736.28"/>
        <n v="4035.9"/>
        <n v="4441.1400000000003"/>
        <n v="4824"/>
        <n v="9932.25"/>
        <n v="934.5"/>
        <n v="5224.8100000000004"/>
        <n v="2349.9499999999998"/>
        <n v="10318.379999999999"/>
        <n v="15084.08"/>
        <n v="6422.58"/>
        <n v="7011.42"/>
        <n v="6094"/>
        <n v="7699.82"/>
        <n v="1675.35"/>
        <n v="9498.58"/>
        <n v="3108.65"/>
        <n v="16917.82"/>
        <n v="2038.92"/>
        <n v="7058.32"/>
        <n v="2961.8"/>
        <n v="10140.84"/>
        <n v="2059.02"/>
        <n v="16268.1"/>
        <n v="10196.84"/>
        <n v="13524"/>
        <n v="12188.25"/>
        <n v="9085.58"/>
        <n v="9892.5"/>
        <n v="5678.89"/>
        <n v="11539.5"/>
        <n v="910.8"/>
        <n v="7830.96"/>
        <n v="15770.7"/>
        <n v="7938.54"/>
        <n v="11450.16"/>
        <n v="1340.5"/>
        <n v="1015.3"/>
        <n v="4697.6099999999997"/>
        <n v="2491.35"/>
        <n v="2063.63"/>
        <n v="4886.3999999999996"/>
        <n v="3394.56"/>
        <n v="11479.88"/>
        <n v="12116.72"/>
        <n v="11077.95"/>
        <n v="3158.4"/>
        <n v="4248.72"/>
        <n v="1391.94"/>
        <n v="3087.9"/>
        <n v="9184.56"/>
        <n v="2618.02"/>
        <n v="3372.18"/>
        <n v="3768.55"/>
        <n v="11558.82"/>
        <n v="5994.71"/>
        <n v="3320.49"/>
        <n v="3102"/>
        <n v="4878.08"/>
        <n v="17317.62"/>
        <n v="3870"/>
        <n v="8299.4599999999991"/>
        <n v="5261.37"/>
        <n v="3099.28"/>
        <n v="8540"/>
        <n v="4019.62"/>
        <n v="3107"/>
        <n v="8509.44"/>
        <n v="11376.87"/>
        <n v="5736"/>
        <n v="716.3"/>
        <n v="10480.25"/>
        <n v="5405.19"/>
        <n v="6759.51"/>
        <n v="3824.16"/>
        <n v="6876.6"/>
        <n v="1808.92"/>
        <n v="4130.1000000000004"/>
        <n v="5752.8"/>
        <n v="12326.65"/>
        <n v="1646.19"/>
        <n v="8100"/>
        <n v="5362.56"/>
        <n v="4282.6400000000003"/>
        <n v="8520.82"/>
        <n v="10020.56"/>
        <n v="5587.9"/>
        <n v="6898.57"/>
        <n v="8334.2999999999993"/>
        <n v="4696.25"/>
        <n v="7734.3"/>
        <n v="9803.16"/>
        <n v="5569.92"/>
        <n v="9897.6"/>
        <n v="2425.2800000000002"/>
        <n v="6815.13"/>
        <n v="11660.32"/>
        <n v="2538.4"/>
        <n v="10446.299999999999"/>
        <n v="15785.28"/>
        <n v="2780.84"/>
        <n v="12485"/>
        <n v="11787.66"/>
        <n v="5187.6000000000004"/>
        <n v="1403.6"/>
        <n v="14497.1"/>
        <n v="1315.02"/>
        <n v="5779.22"/>
        <n v="8073.52"/>
        <n v="2099.02"/>
        <n v="1188.49"/>
        <n v="5740.02"/>
        <n v="8651.16"/>
        <n v="3704.02"/>
        <n v="7396.45"/>
        <n v="4144.28"/>
        <n v="1265.22"/>
        <n v="4949.88"/>
        <n v="5236.84"/>
        <n v="4203.2"/>
        <n v="12533.76"/>
        <n v="1286.58"/>
        <n v="16745.849999999999"/>
        <n v="1525.86"/>
        <n v="12606.72"/>
        <n v="16422.12"/>
        <n v="2823.84"/>
        <n v="7338.9"/>
        <n v="11380.74"/>
        <n v="5868"/>
        <n v="3463.92"/>
        <n v="1152.5999999999999"/>
        <n v="2367.39"/>
        <n v="3773.77"/>
        <n v="12676.4"/>
        <n v="2088"/>
        <n v="14092.56"/>
        <n v="1986.56"/>
        <n v="6952.21"/>
        <n v="6769.92"/>
        <n v="4430.3999999999996"/>
        <n v="4840.4399999999996"/>
        <n v="3380.46"/>
        <n v="4917.3"/>
        <n v="5368.95"/>
        <n v="1098.24"/>
        <n v="6109.86"/>
        <n v="7159.12"/>
        <n v="6386.74"/>
        <n v="6772.29"/>
        <n v="9955"/>
        <n v="1724.22"/>
        <n v="8462.16"/>
        <n v="19598.2"/>
        <n v="11953.04"/>
        <n v="2893.95"/>
        <n v="1309.55"/>
        <n v="7916.37"/>
        <n v="1951.18"/>
        <n v="6572.94"/>
        <n v="11297"/>
        <n v="3658.74"/>
        <n v="7286.55"/>
        <n v="16478.8"/>
        <n v="17979.78"/>
        <n v="5407.05"/>
        <n v="3107.52"/>
        <n v="2309.94"/>
        <n v="6458.3"/>
        <n v="5863"/>
        <n v="2094.1"/>
        <n v="5312.4"/>
        <n v="18111.060000000001"/>
        <n v="3368.31"/>
        <n v="7822.29"/>
        <n v="5016.3"/>
        <n v="2442.96"/>
        <n v="13859.09"/>
        <n v="3788.16"/>
        <n v="3401.67"/>
        <n v="12972.44"/>
        <n v="4250.62"/>
        <n v="5481.26"/>
        <n v="12104.35"/>
        <n v="11662.38"/>
        <n v="3417.6"/>
        <n v="5792.8"/>
        <n v="982.08"/>
        <n v="3919.52"/>
        <n v="15806.34"/>
        <n v="7601.28"/>
        <n v="11110.51"/>
        <n v="7589.01"/>
        <n v="9942.4500000000007"/>
        <n v="3688.8"/>
        <n v="1950.31"/>
        <n v="9474.2199999999993"/>
        <n v="1483.41"/>
        <n v="5383.53"/>
        <n v="13148.18"/>
        <n v="6367"/>
        <n v="644.64"/>
        <n v="2285.0100000000002"/>
        <n v="2747.82"/>
        <n v="13553.54"/>
        <n v="5163.24"/>
        <n v="14880.58"/>
        <n v="6532.92"/>
        <n v="3114.61"/>
        <n v="1690.65"/>
        <n v="8325.6"/>
        <n v="4141.6000000000004"/>
        <n v="9567.01"/>
        <n v="1798.26"/>
        <n v="8862.2999999999993"/>
        <n v="10994.47"/>
        <n v="7273.81"/>
        <n v="4518.2"/>
        <n v="2688.62"/>
        <n v="14918.31"/>
        <n v="6358.17"/>
        <n v="4065.27"/>
        <n v="571.9"/>
        <n v="4542.2299999999996"/>
        <n v="9017.4699999999993"/>
        <n v="5397.28"/>
        <n v="12794.2"/>
        <n v="4669.4399999999996"/>
        <n v="9888.07"/>
        <n v="11300.41"/>
        <n v="3736.36"/>
        <n v="18920.32"/>
        <n v="5144.28"/>
        <n v="1790.14"/>
        <n v="11532.24"/>
        <n v="3369.54"/>
        <n v="4010.08"/>
        <n v="8458.7999999999993"/>
        <n v="10243.17"/>
        <n v="5090.18"/>
        <n v="2203.1999999999998"/>
        <n v="4098.3599999999997"/>
        <n v="5079.62"/>
        <n v="11520.6"/>
        <n v="5906.52"/>
        <n v="10729.62"/>
        <n v="14539.6"/>
        <n v="2530.11"/>
        <n v="3486.34"/>
        <n v="1806.93"/>
        <n v="5204.34"/>
        <n v="12033.84"/>
        <n v="2006.93"/>
        <n v="1977.57"/>
        <n v="2411.29"/>
        <n v="3009.48"/>
        <n v="13487.66"/>
        <n v="1974.48"/>
        <n v="2103.6999999999998"/>
        <n v="13316.4"/>
        <n v="3997.14"/>
        <n v="6614.01"/>
        <n v="1537.22"/>
        <n v="11887.59"/>
        <n v="3633.15"/>
        <n v="4922.5"/>
        <n v="7526.09"/>
        <n v="18743.52"/>
        <n v="6437.86"/>
        <n v="14350.52"/>
        <n v="1212.9000000000001"/>
        <n v="6938.52"/>
        <n v="10525.6"/>
        <n v="1495.44"/>
        <n v="1939.14"/>
        <n v="890.88"/>
        <n v="1230.78"/>
        <n v="4548.72"/>
        <n v="5607.34"/>
        <n v="6262.2"/>
        <n v="7213.5"/>
        <n v="2320"/>
        <n v="3433.56"/>
        <n v="7796.02"/>
        <n v="1314.92"/>
        <n v="997.55"/>
        <n v="5867.75"/>
        <n v="1864.3"/>
        <n v="1549.76"/>
        <n v="5938.52"/>
        <n v="5930.1"/>
        <n v="6946.5"/>
        <n v="3423.2"/>
        <n v="8900.35"/>
        <n v="4221.1000000000004"/>
        <n v="12825.92"/>
        <n v="1041.6600000000001"/>
        <n v="7374.53"/>
        <n v="5143.8599999999997"/>
        <n v="2001.23"/>
        <n v="7125.56"/>
        <n v="8024.12"/>
        <n v="16367.5"/>
        <n v="20545.36"/>
        <n v="5348.52"/>
        <n v="5024.25"/>
        <n v="9324"/>
        <n v="11467.75"/>
        <n v="4100.58"/>
        <n v="1137.78"/>
        <n v="6070.12"/>
        <n v="1225.5"/>
        <n v="5824.66"/>
        <n v="5200.3599999999997"/>
        <n v="6136"/>
        <n v="11103.56"/>
        <n v="1378.6"/>
        <n v="4376.75"/>
        <n v="5773.6"/>
        <n v="2844.68"/>
        <n v="3909.54"/>
        <n v="3111"/>
        <n v="19108.98"/>
        <n v="16647.3"/>
        <n v="1508.64"/>
        <n v="12986.26"/>
        <n v="7304.38"/>
        <n v="2843.76"/>
        <n v="4009.99"/>
        <n v="1797.18"/>
        <n v="2937.6"/>
        <n v="7035.6"/>
        <n v="1171.17"/>
        <n v="7196"/>
        <n v="1120.0899999999999"/>
        <n v="9105.92"/>
        <n v="15539.68"/>
        <n v="15883.53"/>
        <n v="2317.56"/>
        <n v="620.73"/>
        <n v="12185.25"/>
        <n v="6620.05"/>
        <n v="7876.56"/>
        <n v="13832.64"/>
        <n v="3677.45"/>
        <n v="10719.24"/>
        <n v="6820.8"/>
        <n v="8230.86"/>
        <n v="6195.79"/>
        <n v="1491"/>
        <n v="15484.08"/>
        <n v="5737.95"/>
        <n v="14903.73"/>
        <n v="13886.8"/>
        <n v="764.64"/>
        <n v="11244"/>
        <n v="1267.3"/>
        <n v="13947.52"/>
        <n v="5120.8"/>
        <n v="8956.35"/>
        <n v="3892"/>
        <n v="4843.29"/>
        <n v="6588.18"/>
        <n v="8124.3"/>
        <n v="15879.68"/>
        <n v="2295.85"/>
        <n v="7608.72"/>
        <n v="2175.5700000000002"/>
        <n v="16980.099999999999"/>
        <n v="6598.13"/>
        <n v="6850.5"/>
        <n v="8498.9599999999991"/>
        <n v="6024.75"/>
        <n v="15151.4"/>
        <n v="3169.31"/>
        <n v="6084"/>
        <n v="4953.12"/>
        <n v="3702.3"/>
        <n v="3488.08"/>
        <n v="17750.2"/>
        <n v="1804.88"/>
        <n v="11976.84"/>
        <n v="3581.76"/>
        <n v="4428.3"/>
        <n v="9369.5"/>
        <n v="4322.34"/>
        <n v="18521.580000000002"/>
        <n v="10299.9"/>
        <n v="9103.85"/>
        <n v="10798.4"/>
        <n v="564.08000000000004"/>
        <n v="3545.35"/>
        <n v="978.6"/>
        <n v="14858.58"/>
        <n v="7038"/>
        <n v="1758.35"/>
        <n v="1720.68"/>
        <n v="8709.0499999999993"/>
        <n v="8265.84"/>
        <n v="4789.7700000000004"/>
        <n v="4032"/>
        <n v="8952.36"/>
        <n v="736.02"/>
        <n v="12956.54"/>
        <n v="5474.04"/>
        <n v="5604.75"/>
        <n v="4106.3599999999997"/>
        <n v="3838.38"/>
        <n v="959.44"/>
        <n v="3439.7"/>
        <n v="5642.93"/>
        <n v="4986.41"/>
        <n v="3806.46"/>
        <n v="16686.599999999999"/>
        <n v="16529.240000000002"/>
        <n v="10236.719999999999"/>
        <n v="2310.12"/>
        <n v="3595.8"/>
        <n v="8791.2199999999993"/>
        <n v="13709.99"/>
        <n v="9585.8700000000008"/>
        <n v="1114.1400000000001"/>
        <n v="2518.04"/>
        <n v="1563.73"/>
        <n v="1470"/>
        <n v="5170.3999999999996"/>
        <n v="8823.7800000000007"/>
        <n v="6489"/>
        <n v="9038"/>
        <n v="5059.2"/>
        <n v="8970.48"/>
        <n v="13948.65"/>
        <n v="8208.7999999999993"/>
        <n v="1751.04"/>
        <n v="11836.52"/>
        <n v="11366.25"/>
        <n v="1847.88"/>
        <n v="4833.6499999999996"/>
        <n v="5743.32"/>
        <n v="6255.81"/>
        <n v="2379.8000000000002"/>
        <n v="19615.68"/>
        <n v="5914.56"/>
        <n v="1487.33"/>
        <n v="1971.6"/>
        <n v="2932.35"/>
        <n v="3793.18"/>
        <n v="7808.4"/>
        <n v="12055.59"/>
        <n v="4085.25"/>
        <n v="7168.32"/>
        <n v="9525"/>
        <n v="7308.84"/>
        <n v="9843"/>
        <n v="5426.85"/>
        <n v="2574.77"/>
        <n v="7982.15"/>
        <n v="1439.64"/>
        <n v="8172.9"/>
        <n v="2204.7600000000002"/>
        <n v="2379"/>
        <n v="2785.45"/>
        <n v="2288.64"/>
        <n v="1557.01"/>
        <n v="10473.35"/>
        <n v="8937.76"/>
        <n v="6095.36"/>
        <n v="8737.2999999999993"/>
        <n v="9908.84"/>
        <n v="11128.2"/>
        <n v="4549.5200000000004"/>
        <n v="9351.86"/>
        <n v="4060.08"/>
        <n v="590.94000000000005"/>
        <n v="1992.06"/>
        <n v="2649.42"/>
        <n v="3293.75"/>
        <n v="2682.4"/>
        <n v="925.13"/>
        <n v="3863.76"/>
        <n v="3344.88"/>
        <n v="4239.3599999999997"/>
        <n v="17909.78"/>
        <n v="6522.18"/>
        <n v="14022.96"/>
        <n v="11133.22"/>
        <n v="2438.46"/>
        <n v="1835.12"/>
        <n v="3603.9"/>
        <n v="408.32"/>
        <n v="10738.2"/>
        <n v="3528.72"/>
        <n v="5796.18"/>
        <n v="1598.98"/>
        <n v="4442.46"/>
        <n v="11086.1"/>
        <n v="3022.8"/>
        <n v="4252.08"/>
        <n v="6465.48"/>
        <n v="2965.82"/>
        <n v="3124.79"/>
        <n v="3283.28"/>
        <n v="2791.8"/>
        <n v="3376.8"/>
        <n v="7712.1"/>
        <n v="13721.11"/>
        <n v="6590.1"/>
        <n v="6536.76"/>
        <n v="7289.87"/>
        <n v="8075.48"/>
        <n v="6706.55"/>
        <n v="12315.8"/>
        <n v="10211.67"/>
        <n v="6403.5"/>
        <n v="7467.04"/>
        <n v="4880.96"/>
        <n v="1784.34"/>
        <n v="8538.2999999999993"/>
        <n v="2280.91"/>
        <n v="13067.12"/>
        <n v="1224.08"/>
        <n v="8392.86"/>
        <n v="2939.4"/>
        <n v="10855.95"/>
        <n v="4342.5200000000004"/>
        <n v="2158.92"/>
        <n v="4692.5"/>
        <n v="2098.08"/>
        <n v="15178.8"/>
        <n v="11604.35"/>
        <n v="6638.68"/>
        <n v="6797.17"/>
        <n v="5675.55"/>
        <n v="9656.6"/>
        <n v="13765.4"/>
        <n v="3651.48"/>
        <n v="5260.12"/>
        <n v="2338.02"/>
        <n v="13210.34"/>
        <n v="1886.82"/>
        <n v="5060.33"/>
        <n v="10296.65"/>
        <n v="5483.72"/>
        <n v="2064.6"/>
        <n v="2223.86"/>
        <n v="7817.55"/>
        <n v="16522"/>
        <n v="619.52"/>
        <n v="8206.3799999999992"/>
        <n v="4645.66"/>
        <n v="1809.4"/>
        <n v="9961.3799999999992"/>
        <n v="6771.97"/>
        <n v="1726.3"/>
        <n v="2079.04"/>
        <n v="11266.56"/>
        <n v="3771.61"/>
        <n v="6491.65"/>
        <n v="5783.34"/>
        <n v="4042.89"/>
        <n v="3038.28"/>
        <n v="5093.97"/>
        <n v="3957.84"/>
        <n v="4807.3500000000004"/>
        <n v="8663.84"/>
        <n v="2780.4"/>
        <n v="15335.32"/>
        <n v="10093.790000000001"/>
        <n v="13656.32"/>
        <n v="7578.84"/>
        <n v="5348.2"/>
        <n v="2612.5"/>
        <n v="1497.25"/>
        <n v="6209.28"/>
        <n v="10273.61"/>
        <n v="17754"/>
        <n v="2970.24"/>
        <n v="8630.5"/>
        <n v="1088.3399999999999"/>
        <n v="11113.83"/>
        <n v="6344.95"/>
        <n v="7025.2"/>
        <n v="8284"/>
        <n v="11228.7"/>
        <n v="9578.6299999999992"/>
        <n v="11823.84"/>
        <n v="3736.32"/>
        <n v="6256.8"/>
        <n v="3240.77"/>
        <n v="12762.49"/>
        <n v="2692.35"/>
        <n v="8217"/>
        <n v="15937.74"/>
        <n v="4030.9"/>
        <n v="2030.38"/>
        <n v="2918.72"/>
        <n v="8413.44"/>
        <n v="3610.5"/>
        <n v="14771.36"/>
        <n v="8604.8700000000008"/>
        <n v="7818.65"/>
        <n v="6184.41"/>
        <n v="1447.44"/>
        <n v="2337.12"/>
        <n v="11614.64"/>
        <n v="1096.47"/>
        <n v="6686.28"/>
        <n v="1834.65"/>
        <n v="9596.8700000000008"/>
        <n v="12683.35"/>
        <n v="11867.34"/>
        <n v="3791.4"/>
        <n v="3586.16"/>
        <n v="13880.16"/>
        <n v="14093.44"/>
        <n v="8747.9699999999993"/>
        <n v="3009.58"/>
        <n v="13261.41"/>
        <n v="4077.44"/>
        <n v="5611.76"/>
        <n v="2600.64"/>
        <n v="3547.44"/>
        <n v="1193.22"/>
        <n v="3859.64"/>
        <n v="2768.34"/>
        <n v="8563.26"/>
        <n v="14089.95"/>
        <n v="3553"/>
        <n v="3517.54"/>
        <n v="5530.88"/>
        <n v="4273.78"/>
        <n v="12639.2"/>
        <n v="1950.48"/>
        <n v="3568.74"/>
        <n v="1000.13"/>
        <n v="3571.12"/>
        <n v="1825.26"/>
        <n v="11204.16"/>
        <n v="4801.92"/>
        <n v="5676.23"/>
        <n v="7002.02"/>
        <n v="567.5"/>
        <n v="3475.44"/>
        <n v="9836.94"/>
        <n v="8479.6299999999992"/>
        <n v="6199.9"/>
        <n v="4226.8500000000004"/>
        <n v="11621.82"/>
        <n v="8955.43"/>
        <n v="2508.35"/>
        <n v="3797.46"/>
        <n v="11315.04"/>
        <n v="6369.44"/>
        <n v="3886.75"/>
        <n v="8195.24"/>
        <n v="3948"/>
        <n v="4700.25"/>
        <n v="4763.1499999999996"/>
        <n v="10094.9"/>
        <n v="4108.72"/>
        <n v="5289.84"/>
        <n v="6985.93"/>
        <n v="2244.84"/>
        <n v="1149.75"/>
        <n v="6805.35"/>
        <n v="4682.1400000000003"/>
        <n v="3807.26"/>
        <n v="4602.75"/>
        <n v="6680.59"/>
        <n v="3073.5"/>
        <n v="9721.5"/>
        <n v="8978.64"/>
        <n v="9532.49"/>
        <n v="4578.75"/>
        <n v="717.6"/>
        <n v="3648.84"/>
        <n v="645.6"/>
        <n v="10788.8"/>
        <n v="1978.35"/>
        <n v="7211.04"/>
        <n v="8012"/>
        <n v="9591.0400000000009"/>
        <n v="3456.55"/>
        <n v="4553.96"/>
        <n v="2376.1799999999998"/>
        <n v="9744.6200000000008"/>
        <n v="1816.64"/>
        <n v="2872.49"/>
        <n v="7057.75"/>
        <n v="4059.69"/>
        <n v="3037.44"/>
        <n v="2781.14"/>
        <n v="8145.78"/>
        <n v="6405.75"/>
        <n v="848.89"/>
        <n v="5336.46"/>
        <n v="7410.82"/>
        <n v="6149.26"/>
        <n v="7675.36"/>
        <n v="3281.64"/>
        <n v="8596.14"/>
        <n v="8722"/>
        <n v="8626.43"/>
        <n v="3631.36"/>
        <n v="2439"/>
        <n v="6932.94"/>
        <n v="5517.5"/>
        <n v="8558.34"/>
        <n v="9184.14"/>
        <n v="3468.4"/>
        <n v="3438.54"/>
        <n v="2925.11"/>
        <n v="10021.1"/>
        <n v="2585.6999999999998"/>
        <n v="3292.08"/>
        <n v="1872"/>
        <n v="4049.91"/>
        <n v="8310.4"/>
        <n v="6537.17"/>
        <n v="3506.82"/>
        <n v="6122.55"/>
        <n v="10010.700000000001"/>
        <n v="1487.98"/>
        <n v="2925.22"/>
        <n v="2655.45"/>
        <n v="810.98"/>
        <n v="6566.43"/>
        <n v="11132.8"/>
        <n v="3478.82"/>
        <n v="1192.3800000000001"/>
        <n v="3458.4"/>
        <n v="13673.79"/>
        <n v="3364.77"/>
        <n v="2496.9"/>
        <n v="5467.35"/>
        <n v="3560.48"/>
        <n v="12190.36"/>
        <n v="8714.25"/>
        <n v="5986.65"/>
        <n v="3599"/>
        <n v="4054.84"/>
        <n v="19906.32"/>
        <n v="2668.88"/>
        <n v="15752.8"/>
        <n v="5043.4799999999996"/>
        <n v="4164.58"/>
        <n v="7139"/>
        <n v="10010.469999999999"/>
        <n v="10035.9"/>
        <n v="2407.98"/>
        <n v="3010.56"/>
        <n v="7484.1"/>
        <n v="5289.48"/>
        <n v="8147.16"/>
        <n v="6032.67"/>
        <n v="3628.02"/>
        <n v="366.76"/>
        <n v="1999.03"/>
        <n v="9584.0499999999993"/>
        <n v="1170"/>
        <n v="9725.76"/>
        <n v="1556.36"/>
        <n v="6803.42"/>
        <n v="5569.08"/>
        <n v="7736.61"/>
        <n v="1441.44"/>
        <n v="5956.53"/>
        <n v="7138.14"/>
        <n v="12299.43"/>
        <n v="2426.7199999999998"/>
        <n v="1447.6"/>
        <n v="1867"/>
        <n v="9504.26"/>
        <n v="5822.58"/>
        <n v="6468.33"/>
        <n v="9306.7999999999993"/>
        <n v="4524.8599999999997"/>
        <n v="5260.8"/>
        <n v="1357.52"/>
        <n v="3233.04"/>
        <n v="6977.63"/>
        <n v="3450.66"/>
        <n v="3771.02"/>
        <n v="11170.64"/>
        <n v="1469.52"/>
        <n v="7123.48"/>
        <n v="1510.2"/>
        <n v="11478.74"/>
        <n v="1790.11"/>
        <n v="7293.9"/>
        <n v="843.7"/>
        <n v="9894.6"/>
        <n v="3868.8"/>
        <n v="10063.64"/>
        <n v="12290.4"/>
        <n v="12794.66"/>
        <n v="802.4"/>
        <n v="8063.04"/>
        <n v="6257.29"/>
        <n v="4430.16"/>
        <n v="9157.1200000000008"/>
        <n v="2818.4"/>
        <n v="652.67999999999995"/>
        <n v="5646.31"/>
        <n v="1878.72"/>
        <n v="9479.7999999999993"/>
        <n v="7287.21"/>
        <n v="9596.6200000000008"/>
        <n v="9028.8799999999992"/>
        <n v="5512"/>
        <n v="9566.98"/>
        <n v="1693.6"/>
        <n v="16327.04"/>
        <n v="12322.24"/>
        <n v="3188.01"/>
        <n v="4226.3999999999996"/>
        <n v="1716.44"/>
        <n v="2857.25"/>
        <n v="3322.6"/>
        <n v="4392.43"/>
        <n v="7207.44"/>
        <n v="6994"/>
        <n v="3784.32"/>
        <n v="4831.32"/>
        <n v="11198.7"/>
        <n v="4356"/>
        <n v="8576"/>
        <n v="2222.4"/>
        <n v="3320.97"/>
        <n v="4238"/>
        <n v="7660.1"/>
        <n v="1680.91"/>
        <n v="2486.2399999999998"/>
        <n v="9455.5400000000009"/>
        <n v="8602.23"/>
        <n v="4044.3"/>
        <n v="5524.85"/>
        <n v="7911.2"/>
        <n v="1125.2"/>
        <n v="9774.48"/>
        <n v="5876.73"/>
        <n v="13084.96"/>
        <n v="16453.080000000002"/>
        <n v="4730.3999999999996"/>
        <n v="20861.23"/>
        <n v="4721.3999999999996"/>
        <n v="2437.88"/>
        <n v="10266.92"/>
        <n v="779.22"/>
        <n v="10557.92"/>
        <n v="1590.84"/>
        <n v="2149.5500000000002"/>
        <n v="11219.81"/>
        <n v="11690.91"/>
        <n v="7877.88"/>
        <n v="6863.12"/>
        <n v="8284.92"/>
        <n v="10556.56"/>
        <n v="1785.42"/>
        <n v="13975.34"/>
        <n v="4393.2"/>
        <n v="1177"/>
        <n v="5800.83"/>
        <n v="2094.4"/>
        <n v="2688.4"/>
        <n v="16628.759999999998"/>
        <n v="9298.08"/>
        <n v="1509.12"/>
        <n v="17805.12"/>
        <n v="2841.63"/>
        <n v="7284.6"/>
        <n v="5028.79"/>
        <n v="4718.7"/>
        <n v="1582.75"/>
        <n v="15661.64"/>
        <n v="7316.75"/>
        <n v="11582.19"/>
        <n v="7457.4"/>
        <n v="4179.28"/>
        <n v="1590.4"/>
        <n v="19012.77"/>
        <n v="2623.84"/>
        <n v="3704.8"/>
        <n v="10221.66"/>
        <n v="7308.76"/>
        <n v="3852.5"/>
        <n v="2197"/>
        <n v="5957.92"/>
        <n v="6564.41"/>
        <n v="7542.36"/>
        <n v="8557.68"/>
        <n v="8136.45"/>
        <n v="7586.46"/>
        <n v="2176.83"/>
        <n v="8138.16"/>
        <n v="5776.8"/>
        <n v="9261.4599999999991"/>
        <n v="4024.35"/>
        <n v="3476.2"/>
        <n v="1938.6"/>
        <n v="18798.13"/>
        <n v="652.19000000000005"/>
        <n v="4309.6899999999996"/>
        <n v="10507.6"/>
        <n v="11394.77"/>
        <n v="4559.45"/>
        <n v="3583.58"/>
        <n v="8134.76"/>
        <n v="4115.97"/>
        <n v="3258.88"/>
        <n v="6249.93"/>
        <n v="2826.6"/>
        <n v="7440.4"/>
        <n v="5269.9"/>
        <n v="1420.32"/>
        <n v="2161.5"/>
        <n v="1942.38"/>
        <n v="15534.4"/>
        <n v="7084.35"/>
        <n v="12623.52"/>
        <n v="7237.89"/>
        <n v="8889.2099999999991"/>
        <n v="4814.4799999999996"/>
        <n v="4581.09"/>
        <n v="3531.06"/>
        <n v="3972.88"/>
        <n v="5946.9"/>
        <n v="12696"/>
        <n v="3205.19"/>
        <n v="5095.8599999999997"/>
        <n v="10464.06"/>
        <n v="6774.3"/>
        <n v="11928.28"/>
        <n v="1308.6600000000001"/>
        <n v="7345.5"/>
        <n v="6806.86"/>
        <n v="2566.62"/>
        <n v="13836.3"/>
        <n v="13654.08"/>
        <n v="7126.38"/>
        <n v="7675.5"/>
        <n v="6322.39"/>
        <n v="985.5"/>
        <n v="7836.8"/>
        <n v="1718.92"/>
        <n v="2654.25"/>
        <n v="816.24"/>
        <n v="12255.75"/>
        <n v="3398.25"/>
        <n v="4952.25"/>
        <n v="6698.82"/>
        <n v="6976.92"/>
        <n v="3280.64"/>
        <n v="6547.62"/>
        <n v="3093.09"/>
        <n v="12790.8"/>
        <n v="1640"/>
        <n v="2072.33"/>
        <n v="8300.25"/>
        <n v="3786.82"/>
        <n v="7964.84"/>
        <n v="8367.48"/>
        <n v="11698.56"/>
        <n v="6730.8"/>
        <n v="6995.96"/>
        <n v="2453.2199999999998"/>
        <n v="4770.8999999999996"/>
        <n v="18735.36"/>
        <n v="10806.24"/>
        <n v="2237.62"/>
        <n v="1930.32"/>
        <n v="2849.31"/>
        <n v="3054.48"/>
        <n v="2583.44"/>
        <n v="1212.6400000000001"/>
        <n v="7579.44"/>
        <n v="2864.16"/>
        <n v="4635.12"/>
        <n v="5163.12"/>
        <n v="4652.79"/>
        <n v="3195.99"/>
        <n v="5820.1"/>
        <n v="10531.5"/>
        <n v="3489.2"/>
        <n v="12773.55"/>
        <n v="4573.32"/>
        <n v="5340.72"/>
        <n v="7051.68"/>
        <n v="16232.96"/>
        <n v="1977.65"/>
        <n v="3250"/>
        <n v="3456.22"/>
        <n v="2280.96"/>
        <n v="8703.26"/>
        <n v="10336.34"/>
        <n v="3081.4"/>
        <n v="7216.64"/>
        <n v="5590.58"/>
        <n v="4832.74"/>
        <n v="2393.2399999999998"/>
        <n v="5032.68"/>
        <n v="1136.79"/>
        <n v="7488.8"/>
        <n v="12544.04"/>
        <n v="8553.61"/>
        <n v="918.48"/>
        <n v="17519.96"/>
        <n v="5447.67"/>
        <n v="8938.09"/>
        <n v="2977.54"/>
        <n v="1081.5999999999999"/>
        <n v="17551.89"/>
        <n v="15522.84"/>
        <n v="7276.84"/>
        <n v="1959.36"/>
        <n v="4580.3999999999996"/>
        <n v="12784.5"/>
        <n v="5727.25"/>
        <n v="8976.76"/>
        <n v="810.66"/>
        <n v="10060.799999999999"/>
        <n v="2105.4"/>
        <n v="5854.68"/>
        <n v="3085.94"/>
        <n v="3367.84"/>
        <n v="8141.76"/>
        <n v="10203.9"/>
        <n v="2241.04"/>
        <n v="3850.29"/>
        <n v="5207.1000000000004"/>
        <n v="11022"/>
        <n v="6123.06"/>
        <n v="3334.5"/>
        <n v="11955.58"/>
        <n v="2483.1"/>
        <n v="3525.63"/>
        <n v="12135.04"/>
        <n v="12359.25"/>
        <n v="7892.64"/>
        <n v="13148.31"/>
        <n v="3480.58"/>
        <n v="11555.1"/>
        <n v="12439.68"/>
        <n v="6437.2"/>
        <n v="8338.2199999999993"/>
        <n v="5681.28"/>
        <n v="7113.6"/>
        <n v="5297.31"/>
        <n v="1737.16"/>
        <n v="4361.72"/>
        <n v="1090.8"/>
        <n v="5242.8599999999997"/>
        <n v="4955.04"/>
        <n v="3138.2"/>
        <n v="8870.2800000000007"/>
        <n v="2105.73"/>
        <n v="5355.7"/>
        <n v="11887.54"/>
        <n v="1755.08"/>
        <n v="10820.08"/>
        <n v="744.44"/>
        <n v="3490.24"/>
        <n v="6472.8"/>
        <n v="20355.32"/>
        <n v="1865.18"/>
        <n v="12474.09"/>
        <n v="7239.8"/>
        <n v="7792.96"/>
        <n v="3589.04"/>
        <n v="12001.92"/>
        <n v="9572.84"/>
        <n v="14920.47"/>
        <n v="4296.0600000000004"/>
        <n v="3451.5"/>
        <n v="5857.6"/>
        <n v="4176.22"/>
        <n v="2890.69"/>
        <n v="1695"/>
        <n v="7884.39"/>
        <n v="1385.98"/>
        <n v="3277.95"/>
        <n v="4757.0600000000004"/>
        <n v="2100.4"/>
        <n v="676.48"/>
        <n v="3556.52"/>
        <n v="2150.6999999999998"/>
        <n v="11536.2"/>
        <n v="8399.25"/>
        <n v="17564.04"/>
        <n v="8283.6"/>
        <n v="5207"/>
        <n v="4511.78"/>
        <n v="8461.4599999999991"/>
        <n v="7871.98"/>
        <n v="1919.06"/>
        <n v="9602.1"/>
        <n v="7295.54"/>
        <n v="3169.32"/>
        <n v="2535.8000000000002"/>
        <n v="3076.5"/>
        <n v="4261.4399999999996"/>
        <n v="6305.6"/>
        <n v="3355"/>
        <n v="5411.61"/>
        <n v="1771.54"/>
        <n v="2756.52"/>
        <n v="9855.36"/>
        <n v="10443.780000000001"/>
        <n v="4477.95"/>
        <n v="5530"/>
        <n v="2184.9299999999998"/>
        <n v="6772.5"/>
        <n v="8315.8799999999992"/>
        <n v="12895.86"/>
        <n v="9929.4"/>
        <n v="6178.29"/>
        <n v="3187"/>
        <n v="10437.629999999999"/>
        <n v="4700.63"/>
        <n v="9943"/>
        <n v="3370.16"/>
        <n v="1475.6"/>
        <n v="9779.43"/>
        <n v="699"/>
        <n v="7051.04"/>
        <n v="19435.25"/>
        <n v="2542.86"/>
        <n v="1282.3399999999999"/>
        <n v="9405.7800000000007"/>
        <n v="2607"/>
        <n v="2322.1999999999998"/>
        <n v="7594.72"/>
        <n v="8713.32"/>
        <n v="3132.92"/>
        <n v="9924.36"/>
        <n v="2127.25"/>
        <n v="2344.9"/>
        <n v="2449.83"/>
        <n v="7984.6"/>
        <n v="7136.73"/>
        <n v="6534.43"/>
        <n v="5888.55"/>
        <n v="1769.61"/>
        <n v="11378.79"/>
        <n v="12186.72"/>
        <n v="4283.58"/>
        <n v="2915.96"/>
        <n v="11442.81"/>
        <n v="1417.8"/>
        <n v="14155.95"/>
        <n v="10260.25"/>
        <n v="12251.2"/>
        <n v="5939.4"/>
        <n v="6300"/>
        <n v="8186.16"/>
        <n v="4536.62"/>
        <n v="1032.3"/>
        <n v="9612.2999999999993"/>
        <n v="10213.84"/>
        <n v="8903.2999999999993"/>
        <n v="12673.85"/>
        <n v="10345.200000000001"/>
        <n v="3475.94"/>
        <n v="6723.08"/>
        <n v="13113.24"/>
        <n v="13688"/>
        <n v="3793.23"/>
        <n v="1165.08"/>
        <n v="690.54"/>
        <n v="17840.759999999998"/>
        <n v="14457.1"/>
        <n v="7061.64"/>
        <n v="4912.26"/>
        <n v="9885.94"/>
        <n v="4816.3500000000004"/>
        <n v="2301.12"/>
        <n v="4659.34"/>
        <n v="12392.7"/>
        <n v="2196.48"/>
        <n v="9193.99"/>
        <n v="1503.45"/>
        <n v="6197.07"/>
        <n v="4770"/>
        <n v="6348.16"/>
        <n v="6421.14"/>
        <n v="10942.38"/>
        <n v="9089.6"/>
        <n v="1033.0899999999999"/>
        <n v="14548.52"/>
        <n v="1784.1"/>
        <n v="7407.4"/>
        <n v="4872.88"/>
        <n v="9885.9"/>
        <n v="6340.35"/>
        <n v="4275.76"/>
        <n v="4000.14"/>
        <n v="12153.24"/>
        <n v="6529"/>
        <n v="9031.0400000000009"/>
        <n v="10975.44"/>
        <n v="16204.76"/>
        <n v="1373.84"/>
        <n v="2861.95"/>
        <n v="13197.4"/>
        <n v="12870.92"/>
        <n v="3183.04"/>
        <n v="1791.72"/>
        <n v="4054.05"/>
        <n v="12480.72"/>
        <n v="2341.88"/>
        <n v="3091.86"/>
        <n v="14983.78"/>
        <n v="5753.07"/>
        <n v="3451.56"/>
        <n v="9963.24"/>
        <n v="2708.16"/>
        <n v="4740.78"/>
        <n v="7252.2"/>
        <n v="7597.8"/>
        <n v="1055.8800000000001"/>
        <n v="3349.41"/>
        <n v="1773.9"/>
        <n v="5671.05"/>
        <n v="3136.32"/>
        <n v="2044.5"/>
        <n v="9815.4"/>
        <n v="8155.13"/>
        <n v="3916"/>
        <n v="3778.56"/>
        <n v="9960.2999999999993"/>
        <n v="3487.98"/>
        <n v="9998.44"/>
        <n v="2620.85"/>
        <n v="4355.97"/>
        <n v="3274.88"/>
        <n v="16387.32"/>
        <n v="5457.07"/>
        <n v="4217.3999999999996"/>
        <n v="2854.42"/>
        <n v="14148.33"/>
        <n v="12153.96"/>
        <n v="5651.5"/>
        <n v="15056.8"/>
        <n v="5177.13"/>
        <n v="12753.72"/>
        <n v="10195.200000000001"/>
        <n v="4216.96"/>
        <n v="1842.81"/>
        <n v="7293.65"/>
        <n v="3877.3"/>
        <n v="5212"/>
        <n v="5688.32"/>
        <n v="7750.08"/>
        <n v="12573"/>
        <n v="5661.97"/>
        <n v="6600.42"/>
        <n v="5224.8900000000003"/>
        <n v="11125.54"/>
        <n v="4573.3"/>
        <n v="1636.88"/>
        <n v="11355.2"/>
        <n v="6043.88"/>
        <n v="765.38"/>
        <n v="10385.76"/>
        <n v="9379.7999999999993"/>
        <n v="11584.08"/>
        <n v="3021"/>
        <n v="6178.28"/>
        <n v="3990.03"/>
        <n v="13692.36"/>
        <n v="1466.99"/>
        <n v="4115.74"/>
        <n v="5575.53"/>
        <n v="2325.1799999999998"/>
        <n v="2268"/>
        <n v="5079"/>
        <n v="7566.81"/>
        <n v="18675"/>
        <n v="1720.4"/>
        <n v="12745.2"/>
        <n v="10356.540000000001"/>
        <n v="672.66"/>
        <n v="3998.11"/>
        <n v="1610.25"/>
        <n v="5451.84"/>
        <n v="8615.4"/>
        <n v="15970.2"/>
        <n v="4966.1400000000003"/>
        <n v="9031.6"/>
        <n v="14608.95"/>
        <n v="2179.1999999999998"/>
        <n v="1095.5999999999999"/>
        <n v="5281.64"/>
        <n v="2217.6"/>
        <n v="3702.6"/>
        <n v="11199.02"/>
        <n v="3592.32"/>
        <n v="7694.28"/>
        <n v="6134.68"/>
        <n v="3868.35"/>
        <n v="8525.58"/>
        <n v="1519.89"/>
        <n v="7702.24"/>
        <n v="8955.48"/>
        <n v="485.94"/>
        <n v="13392.5"/>
        <n v="10607.28"/>
        <n v="9456.11"/>
        <n v="12335.75"/>
        <n v="6044.32"/>
        <n v="6429.09"/>
        <n v="6605.98"/>
        <n v="7511"/>
        <n v="12457.83"/>
        <n v="2848.2"/>
        <n v="5100.42"/>
        <n v="9474.9500000000007"/>
        <n v="4469.01"/>
        <n v="7562.88"/>
        <n v="1429.68"/>
        <n v="5271.36"/>
        <n v="1957.5"/>
        <n v="11820.69"/>
        <n v="8699.68"/>
        <n v="7535.48"/>
        <n v="6419.15"/>
        <n v="5593.28"/>
        <n v="12107.5"/>
        <n v="6287.32"/>
        <n v="4314.96"/>
        <n v="1300.76"/>
        <n v="13194.17"/>
        <n v="7334.95"/>
        <n v="640.91999999999996"/>
        <n v="2595.7800000000002"/>
        <n v="2040.48"/>
        <n v="5636.4"/>
        <n v="7033.6"/>
        <n v="18984.240000000002"/>
        <n v="523.9"/>
        <n v="6481.65"/>
        <n v="7625.28"/>
        <n v="2936.96"/>
        <n v="16851.099999999999"/>
        <n v="3401.37"/>
        <n v="1420.16"/>
        <n v="4840.22"/>
        <n v="8695"/>
        <n v="5710.5"/>
        <n v="11885.13"/>
        <n v="12174.06"/>
        <n v="7377.48"/>
        <n v="10650.24"/>
        <n v="12689.1"/>
        <n v="2118.7600000000002"/>
        <n v="9073.5"/>
        <n v="1358.98"/>
        <n v="11961.45"/>
        <n v="1858.85"/>
        <n v="798.79"/>
        <n v="14898.33"/>
        <n v="6777.05"/>
        <n v="9667.0499999999993"/>
        <n v="1831.06"/>
        <n v="12201.02"/>
        <n v="3254.16"/>
        <n v="7760.16"/>
        <n v="10701.6"/>
        <n v="5994.3"/>
        <n v="7451.78"/>
        <n v="9053.8799999999992"/>
        <n v="16750"/>
        <n v="7522.68"/>
        <n v="7303.74"/>
        <n v="2287.0500000000002"/>
        <n v="1019.46"/>
        <n v="8184.96"/>
        <n v="9497.8700000000008"/>
        <n v="11028.18"/>
        <n v="9340.8799999999992"/>
        <n v="8356.26"/>
        <n v="6279"/>
        <n v="5593.5"/>
        <n v="1198.08"/>
        <n v="3308.2"/>
        <n v="3022.58"/>
        <n v="8830.58"/>
        <n v="3897.21"/>
        <n v="3336.84"/>
        <n v="9792.7199999999993"/>
        <n v="4495.8"/>
        <n v="1289.3399999999999"/>
        <n v="7278.32"/>
        <n v="5543.82"/>
        <n v="1497.02"/>
        <n v="5198.2700000000004"/>
        <n v="2274.7600000000002"/>
        <n v="6333.65"/>
        <n v="3795"/>
        <n v="7095.27"/>
        <n v="4808.16"/>
        <n v="8339.7999999999993"/>
        <n v="2449.52"/>
        <n v="2920.5"/>
        <n v="14428.4"/>
        <n v="3616.08"/>
        <n v="1490.6"/>
        <n v="5627"/>
        <n v="1452.36"/>
        <n v="11387"/>
        <n v="4660.45"/>
        <n v="4601.8"/>
        <n v="17346.599999999999"/>
        <n v="3482.5"/>
        <n v="13482"/>
        <n v="5598.99"/>
        <n v="10449.27"/>
        <n v="13450.24"/>
        <n v="2003.04"/>
        <n v="17660.62"/>
        <n v="6367.4"/>
        <n v="7685"/>
        <n v="1260.28"/>
        <n v="5961.6"/>
        <n v="9146.34"/>
        <n v="7143.84"/>
        <n v="8736.42"/>
        <n v="1877.8"/>
        <n v="7945.32"/>
        <n v="14437.01"/>
        <n v="5371"/>
        <n v="1502.02"/>
        <n v="5239.95"/>
        <n v="7561.62"/>
        <n v="4822.8"/>
        <n v="6131.58"/>
        <n v="7765.5"/>
        <n v="13136.13"/>
        <n v="1185.8"/>
        <n v="6780.43"/>
        <n v="5551"/>
        <n v="13210.78"/>
        <n v="14548.68"/>
        <n v="3223.2"/>
        <n v="3764.67"/>
        <n v="3592.5"/>
        <n v="6340.05"/>
        <n v="2510.2199999999998"/>
        <n v="17761.05"/>
        <n v="1737.2"/>
        <n v="9007.56"/>
        <n v="14588.12"/>
        <n v="12066.9"/>
        <n v="5384.61"/>
        <n v="963"/>
        <n v="9998.94"/>
        <n v="6634.04"/>
        <n v="4997.24"/>
        <n v="8294.2999999999993"/>
        <n v="1882.06"/>
        <n v="12047.8"/>
        <n v="14600.67"/>
        <n v="1821.87"/>
        <n v="7694.05"/>
        <n v="1207.8699999999999"/>
        <n v="7636.23"/>
        <n v="4234.5"/>
        <n v="8390.76"/>
        <n v="3777.28"/>
        <n v="2687.2"/>
        <n v="10049.700000000001"/>
        <n v="6839.7"/>
        <n v="11362.7"/>
        <n v="6166.8"/>
        <n v="4163.6400000000003"/>
        <n v="1909.44"/>
        <n v="7554.96"/>
        <n v="1963.52"/>
        <n v="4582"/>
        <n v="6087.27"/>
        <n v="5313.26"/>
        <n v="4456.7"/>
        <n v="1298.8800000000001"/>
        <n v="5438.4"/>
        <n v="12996.69"/>
        <n v="7529.85"/>
        <n v="1274"/>
        <n v="865.44"/>
        <n v="4787.79"/>
        <n v="624.16"/>
        <n v="1709.96"/>
        <n v="5997.97"/>
        <n v="1351.28"/>
        <n v="5726.78"/>
        <n v="7276"/>
        <n v="1176.69"/>
        <n v="2196.06"/>
        <n v="14681"/>
        <n v="7571.35"/>
        <n v="2469.15"/>
        <n v="6509.92"/>
        <n v="5582.72"/>
        <n v="2384.4499999999998"/>
        <n v="10944.5"/>
        <n v="11449.88"/>
        <n v="7276.19"/>
        <n v="10660.1"/>
        <n v="2884.48"/>
        <n v="3658.6"/>
        <n v="5405.85"/>
        <n v="4140.8"/>
        <n v="12948.39"/>
        <n v="4749.12"/>
        <n v="5926.96"/>
        <n v="6786"/>
        <n v="4256.6400000000003"/>
        <n v="12917.33"/>
        <n v="17221.12"/>
        <n v="1152.54"/>
        <n v="1530.65"/>
        <n v="1341.78"/>
        <n v="1263.52"/>
        <n v="10652.4"/>
        <n v="1172.1600000000001"/>
        <n v="4010.16"/>
        <n v="16664.400000000001"/>
        <n v="1701"/>
        <n v="3875.37"/>
        <n v="2703.14"/>
        <n v="5391.75"/>
        <n v="2437.56"/>
        <n v="8139.16"/>
        <n v="9062.5"/>
        <n v="8574.2999999999993"/>
        <n v="5434"/>
        <n v="2908.16"/>
        <n v="19731.14"/>
        <n v="12716.82"/>
        <n v="8224.7999999999993"/>
        <n v="3198.5"/>
        <n v="7997.88"/>
        <n v="1221.74"/>
        <n v="3211.96"/>
        <n v="9358.0400000000009"/>
        <n v="13446.72"/>
        <n v="11726"/>
        <n v="6526.24"/>
        <n v="15760.98"/>
        <n v="6913.62"/>
        <n v="6208.65"/>
        <n v="9711.9"/>
        <n v="13234.32"/>
        <n v="12046.71"/>
        <n v="9844.92"/>
        <n v="15901.28"/>
        <n v="10974.86"/>
        <n v="5213.25"/>
        <n v="931.2"/>
        <n v="11505.24"/>
        <n v="3527.16"/>
        <n v="2609.46"/>
        <n v="2729.35"/>
        <n v="9308"/>
        <n v="7531.2"/>
        <n v="6507.5"/>
        <n v="5232.22"/>
        <n v="3509.68"/>
        <n v="8919.7900000000009"/>
        <n v="1799.28"/>
        <n v="3789.54"/>
        <n v="5292.14"/>
        <n v="7236"/>
        <n v="4559.47"/>
        <n v="6678.44"/>
        <n v="5055.12"/>
        <n v="11563.2"/>
        <n v="11253.18"/>
        <n v="8582.61"/>
        <n v="9957.6"/>
        <n v="1649.2"/>
        <n v="689.85"/>
        <n v="3460.08"/>
        <n v="5030.6400000000003"/>
        <n v="11736.84"/>
        <n v="12584.88"/>
        <n v="7646.4"/>
        <n v="14901.7"/>
        <n v="9591.1200000000008"/>
        <n v="7067.2"/>
        <n v="12272.11"/>
        <n v="6495.45"/>
        <n v="5618.5"/>
        <n v="1411.88"/>
        <n v="10786.6"/>
        <n v="1493.42"/>
        <n v="1790.78"/>
        <n v="6227.44"/>
        <n v="3699.36"/>
        <n v="7703.16"/>
        <n v="3992.33"/>
        <n v="5435.1"/>
        <n v="1655.54"/>
        <n v="10747.99"/>
        <n v="4840"/>
        <n v="13534.68"/>
        <n v="403.65"/>
        <n v="6689.97"/>
        <n v="1128.5"/>
        <n v="2611.6999999999998"/>
        <n v="10894.52"/>
        <n v="2344.6799999999998"/>
        <n v="6191.67"/>
        <n v="7947.5"/>
        <n v="1169"/>
        <n v="1711.71"/>
        <n v="10306.89"/>
        <n v="16996.32"/>
        <n v="7316.88"/>
        <n v="8505.1200000000008"/>
        <n v="2273.29"/>
        <n v="10567.81"/>
        <n v="10975.75"/>
        <n v="3719.58"/>
        <n v="8978.2000000000007"/>
        <n v="6475.59"/>
        <n v="11444.98"/>
        <n v="2940.93"/>
        <n v="890.72"/>
        <n v="10885.5"/>
        <n v="2275.52"/>
        <n v="7578.54"/>
        <n v="15571.63"/>
        <n v="15972.16"/>
        <n v="6169.5"/>
        <n v="2683.2"/>
        <n v="1849.62"/>
        <n v="15887.06"/>
        <n v="6595.76"/>
        <n v="14751"/>
        <n v="10314.719999999999"/>
        <n v="16891.099999999999"/>
        <n v="4292.8"/>
        <n v="12925.08"/>
        <n v="6218.43"/>
        <n v="10203.94"/>
        <n v="1916.1"/>
        <n v="5634.65"/>
        <n v="12666"/>
        <n v="4543.08"/>
        <n v="19261.849999999999"/>
        <n v="4585.18"/>
        <n v="3758.4"/>
        <n v="6667.92"/>
        <n v="9660.3799999999992"/>
        <n v="6267.24"/>
        <n v="13772.72"/>
        <n v="2568.56"/>
        <n v="3067.91"/>
        <n v="7064.13"/>
        <n v="10732.1"/>
        <n v="15970.88"/>
        <n v="7493.24"/>
        <n v="9670.0499999999993"/>
        <n v="4134.03"/>
        <n v="6313.13"/>
        <n v="2337.98"/>
        <n v="791.28"/>
        <n v="2077.6"/>
        <n v="4032.63"/>
        <n v="1817.94"/>
        <n v="1029.8399999999999"/>
        <n v="12969.18"/>
        <n v="3059.98"/>
        <n v="2087.0700000000002"/>
        <n v="12995.64"/>
        <n v="2667"/>
        <n v="2408.56"/>
        <n v="10966.8"/>
        <n v="1404.52"/>
        <n v="4387.68"/>
        <n v="6150.32"/>
        <n v="6670.95"/>
        <n v="1745.11"/>
        <n v="2112.75"/>
        <n v="2085.14"/>
        <n v="12929.28"/>
        <n v="1171.6199999999999"/>
        <n v="3263.57"/>
        <n v="5221.04"/>
        <n v="3767.36"/>
        <n v="10550.46"/>
        <n v="3840"/>
        <n v="11885.55"/>
        <n v="15843.24"/>
        <n v="13589.38"/>
        <n v="6752.7"/>
        <n v="9287.4599999999991"/>
        <n v="946.57"/>
        <n v="4153.88"/>
        <n v="4019.4"/>
        <n v="15927.05"/>
        <n v="7783.44"/>
        <n v="5344.71"/>
        <n v="3756.27"/>
        <n v="9451.7999999999993"/>
        <n v="12021.84"/>
        <n v="3422.65"/>
        <n v="7346.04"/>
        <n v="2487.04"/>
        <n v="6349"/>
        <n v="1546.03"/>
        <n v="5805.63"/>
        <n v="7717.2"/>
        <n v="12446.89"/>
        <n v="5924"/>
        <n v="8382.42"/>
        <n v="3538.5"/>
        <n v="10149.879999999999"/>
        <n v="5580.72"/>
        <n v="1075.3599999999999"/>
        <n v="2125.89"/>
        <n v="4138.97"/>
        <n v="361.2"/>
        <n v="742.76"/>
        <n v="12079.08"/>
        <n v="3032.76"/>
        <n v="2678.06"/>
        <n v="3466.95"/>
        <n v="876.09"/>
        <n v="9352.2099999999991"/>
        <n v="11253.1"/>
        <n v="14871.75"/>
        <n v="2792.43"/>
        <n v="4989.6000000000004"/>
        <n v="7323.04"/>
        <n v="7124.48"/>
        <n v="12655.44"/>
        <n v="1808.77"/>
        <n v="15524.52"/>
        <n v="4585.8900000000003"/>
        <n v="6181.68"/>
        <n v="10291.35"/>
        <n v="6367.04"/>
        <n v="7361.32"/>
        <n v="7009.3"/>
        <n v="5970.14"/>
        <n v="6383.3"/>
        <n v="1190.73"/>
        <n v="16525.96"/>
        <n v="3437.37"/>
        <n v="12802.25"/>
        <n v="4064.78"/>
        <n v="1732.64"/>
        <n v="14084.07"/>
        <n v="8244"/>
        <n v="2396.37"/>
        <n v="12693.59"/>
        <n v="12160.95"/>
        <n v="4142.6400000000003"/>
        <n v="3694.26"/>
        <n v="1974.02"/>
        <n v="1970"/>
        <n v="14019.72"/>
        <n v="3161.76"/>
        <n v="3907"/>
        <n v="10346.24"/>
        <n v="5622.75"/>
        <n v="1217.28"/>
        <n v="8376.2000000000007"/>
        <n v="5527.79"/>
        <n v="10528.24"/>
        <n v="14170.76"/>
        <n v="15162.98"/>
        <n v="7976.4"/>
        <n v="2791.3"/>
        <n v="2430.8200000000002"/>
        <n v="14785.2"/>
        <n v="5427.22"/>
        <n v="10849.44"/>
        <n v="4118.3999999999996"/>
        <n v="16250"/>
        <n v="2065.5"/>
        <n v="4059.25"/>
        <n v="3244.7"/>
        <n v="8138.24"/>
        <n v="3496.9"/>
        <n v="1464.72"/>
        <n v="6253.5"/>
        <n v="11068.26"/>
        <n v="7224.96"/>
        <n v="6857.72"/>
        <n v="1160.8800000000001"/>
        <n v="1646.42"/>
        <n v="6596.73"/>
        <n v="6353.5"/>
        <n v="4391.82"/>
        <n v="13901.16"/>
        <n v="14679.36"/>
        <n v="5505.3"/>
        <n v="2567.04"/>
        <n v="18893.12"/>
        <n v="12863.36"/>
        <n v="4369.05"/>
        <n v="3060.61"/>
        <n v="5872.32"/>
        <n v="1667.68"/>
        <n v="7104"/>
        <n v="10273.120000000001"/>
        <n v="3209.29"/>
        <n v="2724.75"/>
        <n v="9950.27"/>
        <n v="1937.25"/>
        <n v="1749"/>
        <n v="14572.05"/>
        <n v="18570.240000000002"/>
        <n v="10454.68"/>
        <n v="3646.33"/>
        <n v="15865.14"/>
        <n v="1018.66"/>
        <n v="4392.54"/>
        <n v="3758.76"/>
        <n v="2477.75"/>
        <n v="6858.28"/>
        <n v="938.4"/>
        <n v="1278.21"/>
        <n v="3264.51"/>
        <n v="3043.14"/>
        <n v="2745"/>
        <n v="17168.080000000002"/>
        <n v="3299.25"/>
        <n v="12361.08"/>
        <n v="6653.38"/>
        <n v="7078.26"/>
        <n v="951.92"/>
        <n v="2611"/>
        <n v="14905.02"/>
        <n v="1396.2"/>
        <n v="5746.92"/>
        <n v="5890.47"/>
        <n v="1516.06"/>
        <n v="11529.24"/>
        <n v="15697.59"/>
        <n v="16215.32"/>
        <n v="10139.32"/>
        <n v="1684.38"/>
        <n v="6499.73"/>
        <n v="3412.8"/>
        <n v="2794.24"/>
        <n v="1321.2"/>
        <n v="7161.6"/>
        <n v="7842.77"/>
        <n v="655.38"/>
        <n v="7108.32"/>
        <n v="3802.85"/>
        <n v="3500.25"/>
        <n v="2494.8000000000002"/>
        <n v="6536.63"/>
        <n v="1571.76"/>
        <n v="2452.62"/>
        <n v="3412.26"/>
        <n v="905.19"/>
        <n v="9650.64"/>
        <n v="9002.5"/>
        <n v="5781.5"/>
        <n v="1633.24"/>
        <n v="1997.82"/>
        <n v="1391.36"/>
        <n v="4255.16"/>
        <n v="4721.5"/>
        <n v="13698.88"/>
        <n v="11640.56"/>
        <n v="3387.06"/>
        <n v="4734.21"/>
        <n v="2560.14"/>
        <n v="5096.9399999999996"/>
        <n v="6809"/>
        <n v="685.58"/>
        <n v="14666.86"/>
        <n v="1604.8"/>
        <n v="1331.76"/>
        <n v="2578.89"/>
        <n v="4514.8999999999996"/>
        <n v="4828.71"/>
        <n v="5780"/>
        <n v="3591.95"/>
        <n v="14409.2"/>
        <n v="1543.5"/>
        <n v="9976.89"/>
        <n v="6653.8"/>
        <n v="5862.06"/>
        <n v="14356.6"/>
        <n v="13059"/>
        <n v="11009.25"/>
        <n v="13577.9"/>
        <n v="4061.85"/>
        <n v="3366.9"/>
        <n v="7571.5"/>
        <n v="5329.31"/>
        <n v="4996.68"/>
        <n v="13896.06"/>
        <n v="6798.84"/>
        <n v="1418.87"/>
        <n v="4561.08"/>
        <n v="16268.21"/>
        <n v="4069.26"/>
        <n v="4000.64"/>
        <n v="951.86"/>
        <n v="3340.8"/>
        <n v="2928.76"/>
        <n v="2722.7"/>
        <n v="5433.2"/>
        <n v="2059.4699999999998"/>
        <n v="998.07"/>
        <n v="4031.95"/>
        <n v="1692.76"/>
        <n v="1859.82"/>
        <n v="1734.7"/>
        <n v="2326.5"/>
        <n v="13974.8"/>
        <n v="1624.08"/>
        <n v="4937.6499999999996"/>
        <n v="16605.599999999999"/>
        <n v="11121.9"/>
        <n v="620.1"/>
        <n v="2917.44"/>
        <n v="11796.12"/>
        <n v="6202.18"/>
        <n v="7084.77"/>
        <n v="1964.46"/>
        <n v="11203.5"/>
        <n v="2265.98"/>
        <n v="2073.5"/>
        <n v="8059.8"/>
        <n v="9875.52"/>
        <n v="9146.25"/>
        <n v="6180.84"/>
        <n v="14919.76"/>
        <n v="3304.32"/>
        <n v="1815.66"/>
        <n v="1661.66"/>
        <n v="4296.6000000000004"/>
        <n v="6784.76"/>
        <n v="6783.58"/>
        <n v="3558.6"/>
        <n v="17129.05"/>
        <n v="5999.24"/>
        <n v="6221.2"/>
        <n v="2701.8"/>
        <n v="2070.16"/>
        <n v="3249.72"/>
        <n v="2970.55"/>
        <n v="13149.9"/>
        <n v="8246.36"/>
        <n v="404.32"/>
        <n v="12314.55"/>
        <n v="3218"/>
        <n v="2846.6"/>
        <n v="1397.76"/>
        <n v="10500"/>
        <n v="2724.22"/>
        <n v="3299.04"/>
        <n v="12224.52"/>
        <n v="5817.42"/>
        <n v="5633.28"/>
        <n v="2618.5500000000002"/>
        <n v="13165.92"/>
        <n v="5127.34"/>
        <n v="1407.12"/>
        <n v="4423.6400000000003"/>
        <n v="735.14"/>
        <n v="2389.08"/>
        <n v="4825.3"/>
        <n v="3562.78"/>
        <n v="10272.959999999999"/>
        <n v="7856.1"/>
        <n v="2882.34"/>
        <n v="3935.18"/>
        <n v="10779.6"/>
        <n v="11887.14"/>
        <n v="705.2"/>
        <n v="1787.4"/>
        <n v="12435.84"/>
        <n v="3241.05"/>
        <n v="10441.08"/>
        <n v="3310.56"/>
        <n v="8945.16"/>
        <n v="734.58"/>
        <n v="3901.17"/>
        <n v="7632"/>
        <n v="432.72"/>
        <n v="13515.24"/>
        <n v="5853.12"/>
        <n v="9193.25"/>
        <n v="16794.830000000002"/>
        <n v="2848.95"/>
        <n v="1896.48"/>
        <n v="14489.44"/>
        <n v="11858.67"/>
        <n v="6268.5"/>
        <n v="3837.5"/>
        <n v="13469.73"/>
        <n v="11370.48"/>
        <n v="1680.44"/>
        <n v="9989.8799999999992"/>
        <n v="2150.64"/>
        <n v="16447.5"/>
        <n v="6455.25"/>
        <n v="3879.26"/>
        <n v="18073.04"/>
        <n v="10042.200000000001"/>
        <n v="2530.08"/>
        <n v="3539.2"/>
        <n v="10177.9"/>
        <n v="12835.86"/>
        <n v="1255.98"/>
        <n v="9727.4699999999993"/>
        <n v="3687.6"/>
        <n v="6861.51"/>
        <n v="10268.549999999999"/>
        <n v="18955.84"/>
        <n v="2420.46"/>
        <n v="1447.7"/>
        <n v="7735.55"/>
        <n v="6617.1"/>
        <n v="2991.6"/>
        <n v="11864.16"/>
        <n v="4185.6000000000004"/>
        <n v="2301"/>
        <n v="7588.4"/>
        <n v="11240.52"/>
        <n v="7126.56"/>
        <n v="19007.099999999999"/>
        <n v="11736.49"/>
        <n v="7785.55"/>
        <n v="9248.85"/>
        <n v="7093.08"/>
        <n v="1853.28"/>
        <n v="9886.2999999999993"/>
        <n v="3973.2"/>
        <n v="6125.65"/>
        <n v="7719.75"/>
        <n v="14483.28"/>
        <n v="4766.1499999999996"/>
        <n v="1404"/>
        <n v="6485.36"/>
        <n v="9963.36"/>
        <n v="7791"/>
        <n v="6580.26"/>
        <n v="10959.06"/>
        <n v="866.64"/>
        <n v="1852.88"/>
        <n v="2682.98"/>
        <n v="6719.22"/>
        <n v="1849.1"/>
        <n v="8451.16"/>
        <n v="15808.48"/>
        <n v="3491.78"/>
        <n v="9809.91"/>
        <n v="14276.43"/>
        <n v="7172.55"/>
        <n v="9482.36"/>
        <n v="1694.6"/>
        <n v="15924.6"/>
        <n v="2618.1799999999998"/>
        <n v="9991.2999999999993"/>
        <n v="6751"/>
        <n v="8820.5"/>
        <n v="2971.1"/>
        <n v="1552.32"/>
        <n v="1458.1"/>
        <n v="13537.35"/>
        <n v="3571.44"/>
        <n v="6393.92"/>
        <n v="15878.28"/>
        <n v="10445.76"/>
        <n v="3325.14"/>
        <n v="627.76"/>
        <n v="8443.56"/>
        <n v="5745.61"/>
        <n v="6170.67"/>
        <n v="937.86"/>
        <n v="7959.91"/>
        <n v="5746.2"/>
        <n v="8235.24"/>
        <n v="17477.13"/>
        <n v="13363.46"/>
        <n v="4155.8100000000004"/>
        <n v="1151.8800000000001"/>
        <n v="10204.08"/>
        <n v="3460.16"/>
        <n v="2782.44"/>
        <n v="7306.25"/>
        <n v="5580.92"/>
        <n v="16077.84"/>
        <n v="4725.6400000000003"/>
        <n v="3649.05"/>
        <n v="7186.16"/>
        <n v="5513.59"/>
        <n v="5194.3999999999996"/>
        <n v="1075.32"/>
        <n v="8554.7800000000007"/>
        <n v="5786.64"/>
        <n v="2839"/>
        <n v="10680.39"/>
        <n v="17791.8"/>
        <n v="3557.33"/>
        <n v="6079.41"/>
        <n v="2502.94"/>
        <n v="5241.1499999999996"/>
        <n v="8865"/>
        <n v="17105.400000000001"/>
        <n v="6378.8"/>
        <n v="12347.5"/>
        <n v="10997.61"/>
        <n v="8711.08"/>
        <n v="3051.09"/>
        <n v="7612.56"/>
        <n v="3266.06"/>
        <n v="6080.25"/>
        <n v="13182.82"/>
        <n v="3253.26"/>
        <n v="6493.13"/>
        <n v="13560.6"/>
        <n v="15664.05"/>
        <n v="16899.03"/>
        <n v="6866.6"/>
        <n v="5326.98"/>
        <n v="1229.44"/>
        <n v="16443.97"/>
        <n v="4478.49"/>
        <n v="12684.76"/>
        <n v="4206.04"/>
        <n v="13199.01"/>
        <n v="1962.24"/>
        <n v="827.7"/>
        <n v="20276"/>
        <n v="2777.06"/>
        <n v="12254.24"/>
        <n v="11067.99"/>
        <n v="7427.16"/>
        <n v="5391.82"/>
        <n v="12868.04"/>
        <n v="6698.85"/>
        <n v="1280.95"/>
        <n v="5758.56"/>
        <n v="2194.6999999999998"/>
        <n v="16552.689999999999"/>
        <n v="559.70000000000005"/>
        <n v="4750.2"/>
        <n v="3790.71"/>
        <n v="629.34"/>
        <n v="9045.56"/>
        <n v="3000.86"/>
        <n v="6765.64"/>
        <n v="8648.1299999999992"/>
        <n v="1441.26"/>
        <n v="1920"/>
        <n v="9431.64"/>
        <n v="5899.92"/>
        <n v="8763.0400000000009"/>
        <n v="15225.6"/>
        <n v="1488.93"/>
        <n v="1057.3499999999999"/>
        <n v="6252.12"/>
        <n v="3098.2"/>
        <n v="3981"/>
        <n v="8311.0499999999993"/>
        <n v="12965.02"/>
        <n v="2843.68"/>
        <n v="3092.25"/>
        <n v="2561.15"/>
        <n v="707.37"/>
        <n v="12710.6"/>
        <n v="2296.7600000000002"/>
        <n v="3348.8"/>
        <n v="2996.25"/>
        <n v="6258.72"/>
        <n v="6546.75"/>
        <n v="3995.16"/>
        <n v="2820.8"/>
        <n v="728.97"/>
        <n v="12021.66"/>
        <n v="7082.79"/>
        <n v="13008.6"/>
        <n v="1996.8"/>
        <n v="17932.55"/>
        <n v="8388.1200000000008"/>
        <n v="8599.5"/>
        <n v="3580.64"/>
        <n v="5848.34"/>
        <n v="4525.62"/>
        <n v="486.72"/>
        <n v="10213.83"/>
        <n v="12664.32"/>
        <n v="4105.71"/>
        <n v="5080.01"/>
        <n v="3445.52"/>
        <n v="1749.6"/>
        <n v="3731.91"/>
        <n v="1871.43"/>
        <n v="12737.04"/>
        <n v="6021.12"/>
        <n v="4921.8"/>
        <n v="10712.52"/>
        <n v="5775.03"/>
        <n v="2929.68"/>
        <n v="11768.08"/>
        <n v="13937.75"/>
        <n v="858.55"/>
        <n v="14795.7"/>
        <n v="526.67999999999995"/>
        <n v="3437.58"/>
        <n v="3550.4"/>
        <n v="12365.66"/>
        <n v="11959.89"/>
        <n v="1925.84"/>
        <n v="467.5"/>
        <n v="3734.72"/>
        <n v="3261.29"/>
        <n v="3332.64"/>
        <n v="4314.24"/>
        <n v="5628.15"/>
        <n v="2541.7800000000002"/>
        <n v="5513.76"/>
        <n v="14795.1"/>
        <n v="9338.43"/>
        <n v="5299.58"/>
        <n v="1784.7"/>
        <n v="9764.7199999999993"/>
        <n v="3656.38"/>
        <n v="3528.2"/>
        <n v="1433.9"/>
        <n v="2936.61"/>
        <n v="1696.86"/>
        <n v="10660.2"/>
        <n v="7721.01"/>
        <n v="4892.9399999999996"/>
        <n v="14543.9"/>
        <n v="3922.38"/>
        <n v="1561.38"/>
        <n v="2177.4"/>
        <n v="5301.51"/>
        <n v="13900.15"/>
        <n v="6760.48"/>
        <n v="4700.24"/>
        <n v="4600.1400000000003"/>
        <n v="5433.48"/>
        <n v="13281.84"/>
        <n v="8429.19"/>
        <n v="3120.04"/>
        <n v="16385.490000000002"/>
        <n v="13121.82"/>
        <n v="1639.64"/>
        <n v="6501.21"/>
        <n v="9098.7199999999993"/>
        <n v="3332.7"/>
        <n v="5490.45"/>
        <n v="2736"/>
        <n v="20657.36"/>
        <n v="1999.84"/>
        <n v="6344"/>
        <n v="17282.91"/>
        <n v="2286.2800000000002"/>
        <n v="9265.5"/>
        <n v="4536.07"/>
        <n v="17033.3"/>
        <n v="3095.01"/>
        <n v="9342.06"/>
        <n v="5242"/>
        <n v="5827.2"/>
        <n v="5143.04"/>
        <n v="4859.82"/>
        <n v="6862.94"/>
        <n v="7782.4"/>
        <n v="10675.56"/>
        <n v="4595.76"/>
        <n v="18347.86"/>
        <n v="8189.28"/>
        <n v="5485.13"/>
        <n v="4001.86"/>
        <n v="14253.1"/>
        <n v="9271.92"/>
        <n v="1329.36"/>
        <n v="2628"/>
        <n v="908.12"/>
        <n v="14322.84"/>
        <n v="4074.84"/>
        <n v="3227.84"/>
        <n v="2575.3000000000002"/>
        <n v="3745.85"/>
        <n v="12745.39"/>
        <n v="7611.66"/>
        <n v="7431"/>
        <n v="7610.16"/>
        <n v="3219.78"/>
        <n v="19861.84"/>
        <n v="14721.15"/>
        <n v="3551.59"/>
        <n v="5330.92"/>
        <n v="9179.2800000000007"/>
        <n v="5967.5"/>
        <n v="3281.25"/>
        <n v="1362.03"/>
        <n v="3289.92"/>
        <n v="20010.36"/>
        <n v="3354.45"/>
        <n v="3071.48"/>
        <n v="15862.76"/>
        <n v="7709.16"/>
        <n v="3663.27"/>
        <n v="2268.75"/>
        <n v="4158"/>
        <n v="4247.04"/>
        <n v="10160.280000000001"/>
        <n v="1696.8"/>
        <n v="4641"/>
        <n v="12234.86"/>
        <n v="1103.8599999999999"/>
        <n v="5906.4"/>
        <n v="2850.9"/>
        <n v="2760"/>
        <n v="1497.3"/>
        <n v="18780.599999999999"/>
        <n v="3832.84"/>
        <n v="4356.96"/>
        <n v="4968.84"/>
        <n v="5118.1000000000004"/>
        <n v="13942.71"/>
        <n v="6019.58"/>
        <n v="15490.04"/>
        <n v="2090"/>
        <n v="3597.86"/>
        <n v="18291.240000000002"/>
        <n v="14280.97"/>
        <n v="4733.3999999999996"/>
        <n v="1872.72"/>
        <n v="567.17999999999995"/>
        <n v="10796.44"/>
        <n v="1360.38"/>
        <n v="7394.04"/>
        <n v="7298.64"/>
        <n v="6332.76"/>
        <n v="9302.0400000000009"/>
        <n v="6053.41"/>
        <n v="12262.74"/>
        <n v="11470.25"/>
        <n v="7874.22"/>
        <n v="7150.29"/>
        <n v="8894.34"/>
        <n v="11162.16"/>
        <n v="13148.73"/>
        <n v="2322.46"/>
        <n v="9999.5400000000009"/>
        <n v="9501.0300000000007"/>
        <n v="3208.7"/>
        <n v="11352.26"/>
        <n v="9222.5"/>
        <n v="3813.48"/>
        <n v="10400.879999999999"/>
        <n v="6614.8"/>
        <n v="4099.62"/>
        <n v="1755.28"/>
        <n v="2036.08"/>
        <n v="4006.98"/>
        <n v="2482.87"/>
        <n v="11105.5"/>
        <n v="5635.86"/>
        <n v="2128.92"/>
        <n v="6133.2"/>
        <n v="5788.66"/>
        <n v="9668.02"/>
        <n v="1623.82"/>
        <n v="1379.94"/>
        <n v="13462"/>
        <n v="3178.92"/>
        <n v="9076.7000000000007"/>
        <n v="2813.74"/>
        <n v="17777.599999999999"/>
        <n v="1432.2"/>
        <n v="2196.04"/>
        <n v="7929.13"/>
        <n v="10739.25"/>
        <n v="5740"/>
        <n v="3697.75"/>
        <n v="5279.92"/>
        <n v="3232.68"/>
        <n v="5198.13"/>
        <n v="7346.84"/>
        <n v="17061.12"/>
        <n v="5864.97"/>
        <n v="9687.7999999999993"/>
        <n v="5289.41"/>
        <n v="10415.120000000001"/>
        <n v="9324.85"/>
        <n v="10408.1"/>
        <n v="4524"/>
        <n v="5745.6"/>
        <n v="4842.37"/>
        <n v="8256.4500000000007"/>
        <n v="2754"/>
        <n v="4428.6000000000004"/>
        <n v="1001.66"/>
        <n v="3998.63"/>
        <n v="6575.36"/>
        <n v="16535.689999999999"/>
        <n v="2924.25"/>
        <n v="2603.92"/>
        <n v="1928.4"/>
        <n v="18477.61"/>
        <n v="847.6"/>
        <n v="3311.4"/>
        <n v="3807.2"/>
        <n v="12688.64"/>
        <n v="10922"/>
        <n v="2832.1"/>
        <n v="6010.83"/>
        <n v="5119.1899999999996"/>
        <n v="1938.9"/>
        <n v="8619.92"/>
        <n v="8369.2000000000007"/>
        <n v="15695.52"/>
        <n v="11350.24"/>
        <n v="766.4"/>
        <n v="5291.52"/>
        <n v="13175.76"/>
        <n v="683.76"/>
        <n v="8358.2199999999993"/>
        <n v="17403.87"/>
        <n v="1414.4"/>
        <n v="554.44000000000005"/>
        <n v="4922.37"/>
        <n v="6154.2"/>
        <n v="5587.05"/>
        <n v="6340.43"/>
        <n v="3436.04"/>
        <n v="3595.2"/>
        <n v="1106.04"/>
        <n v="2053"/>
        <n v="4437.1899999999996"/>
        <n v="6216.9"/>
        <n v="14835.24"/>
        <n v="7274.18"/>
        <n v="14471.3"/>
        <n v="7179.84"/>
        <n v="5153.9399999999996"/>
        <n v="9848.2800000000007"/>
        <n v="8165.56"/>
        <n v="2927.51"/>
        <n v="2408.6999999999998"/>
        <n v="5415.85"/>
        <n v="11042.2"/>
        <n v="3510.75"/>
        <n v="3829.44"/>
        <n v="10821.07"/>
        <n v="3060.04"/>
        <n v="2825.39"/>
        <n v="761.52"/>
        <n v="836.55"/>
        <n v="480.9"/>
        <n v="2478.6"/>
        <n v="946.71"/>
        <n v="3449.88"/>
        <n v="10545.04"/>
        <n v="8859.9"/>
        <n v="8585.6"/>
        <n v="8977.52"/>
        <n v="5348.6"/>
        <n v="5845.28"/>
        <n v="615.86"/>
        <n v="8607.06"/>
        <n v="17106.080000000002"/>
        <n v="10519.18"/>
        <n v="1895.4"/>
        <n v="16769.41"/>
        <n v="6372.94"/>
        <n v="3276.6"/>
        <n v="4426.8"/>
        <n v="14144"/>
        <n v="1181.31"/>
        <n v="6884.16"/>
        <n v="5689.55"/>
        <n v="5751.68"/>
        <n v="7452.87"/>
        <n v="625.48"/>
        <n v="6816.32"/>
        <n v="4571.3"/>
        <n v="12834.25"/>
        <n v="1237.72"/>
        <n v="4487.38"/>
        <n v="6257.52"/>
        <n v="7074.27"/>
        <n v="8765.2000000000007"/>
        <n v="10380.15"/>
        <n v="3696.19"/>
        <n v="11073.73"/>
        <n v="784.62"/>
        <n v="3352.57"/>
        <n v="2907.52"/>
        <n v="11749.74"/>
        <n v="3870.75"/>
        <n v="1265.42"/>
        <n v="7997.26"/>
        <n v="13685.76"/>
        <n v="10639.2"/>
        <n v="2045.1"/>
        <n v="1614.69"/>
        <n v="11762.24"/>
        <n v="2167.94"/>
        <n v="11328.8"/>
        <n v="1822.72"/>
        <n v="10927.07"/>
        <n v="3988.89"/>
        <n v="3434.91"/>
        <n v="8680.32"/>
        <n v="1934.24"/>
        <n v="5890"/>
        <n v="11942.35"/>
        <n v="1470.15"/>
        <n v="882.3"/>
        <n v="2429.4"/>
        <n v="2665.85"/>
        <n v="9581.8799999999992"/>
        <n v="12112.77"/>
        <n v="3977.61"/>
        <n v="4424"/>
        <n v="13947.78"/>
        <n v="10526.23"/>
        <n v="5781.78"/>
        <n v="9739.2000000000007"/>
        <n v="3704.96"/>
        <n v="8184.06"/>
        <n v="12163.84"/>
        <n v="13944.24"/>
        <n v="4602"/>
        <n v="9401.68"/>
        <n v="2664.48"/>
        <n v="11519.88"/>
        <n v="1015.2"/>
        <n v="13149.78"/>
        <n v="3781.8"/>
        <n v="4070"/>
        <n v="13102.1"/>
        <n v="1267.3599999999999"/>
        <n v="4956.24"/>
        <n v="3675.67"/>
        <n v="5045.25"/>
        <n v="4484.26"/>
        <n v="7193.63"/>
        <n v="7805.7"/>
        <n v="1529.96"/>
        <n v="10092.6"/>
        <n v="9743.7999999999993"/>
        <n v="7295.6"/>
        <n v="8383.32"/>
        <n v="891.52"/>
        <n v="4295.1000000000004"/>
        <n v="875.5"/>
        <n v="1125.9000000000001"/>
        <n v="2166.98"/>
        <n v="2206.1"/>
        <n v="3026.17"/>
        <n v="3966.56"/>
        <n v="3741.3"/>
        <n v="16366.08"/>
        <n v="5465.91"/>
        <n v="1483.52"/>
        <n v="5392.78"/>
        <n v="3797.5"/>
        <n v="2562.8000000000002"/>
        <n v="3486.64"/>
        <n v="12349.92"/>
        <n v="18280.96"/>
        <n v="14328.9"/>
        <n v="11502.4"/>
        <n v="11958.4"/>
        <n v="5751.36"/>
        <n v="5366.08"/>
        <n v="2468.4899999999998"/>
        <n v="8508.0499999999993"/>
        <n v="5532.8"/>
        <n v="7230.76"/>
        <n v="4221.72"/>
        <n v="2914.86"/>
        <n v="19742.400000000001"/>
        <n v="2293.5"/>
        <n v="11388.3"/>
        <n v="8681.82"/>
        <n v="17170.400000000001"/>
        <n v="3615.84"/>
        <n v="6025.11"/>
        <n v="3023.12"/>
        <n v="8445.5"/>
        <n v="12605.74"/>
        <n v="4630.08"/>
        <n v="13208.44"/>
        <n v="5999.25"/>
        <n v="944.88"/>
        <n v="953.44"/>
        <n v="10838.8"/>
        <n v="18706.66"/>
        <n v="9868.32"/>
        <n v="7300.98"/>
        <n v="11193.42"/>
        <n v="1537.5"/>
        <n v="6345.24"/>
        <n v="4848.2"/>
        <n v="2655.36"/>
        <n v="2397.6"/>
        <n v="1334.5"/>
        <n v="9975.68"/>
        <n v="8004.1"/>
        <n v="7338.6"/>
        <n v="14351.16"/>
        <n v="3852.36"/>
        <n v="7069.92"/>
        <n v="14390.04"/>
        <n v="3586.8"/>
        <n v="2118.96"/>
        <n v="2598.06"/>
        <n v="3905.55"/>
        <n v="2225.48"/>
        <n v="4070.43"/>
        <n v="12465.6"/>
        <n v="866.91"/>
        <n v="4114.04"/>
        <n v="7194.74"/>
        <n v="3539.1"/>
        <n v="4748.16"/>
        <n v="15969.82"/>
        <n v="4400.55"/>
        <n v="1431.49"/>
        <n v="2240.37"/>
        <n v="4641.68"/>
        <n v="10684.8"/>
        <n v="10286.08"/>
        <n v="12070.89"/>
        <n v="3263.04"/>
        <n v="5729.76"/>
        <n v="8609.16"/>
        <n v="9250.56"/>
        <n v="12462"/>
        <n v="12032"/>
        <n v="6322.32"/>
        <n v="5700.15"/>
        <n v="13361.34"/>
        <n v="6690.1"/>
        <n v="14644.41"/>
        <n v="2013.08"/>
        <n v="3192.28"/>
        <n v="5523.68"/>
        <n v="10885.4"/>
        <n v="3607.31"/>
        <n v="11232.24"/>
        <n v="2248.08"/>
        <n v="4303.41"/>
        <n v="12198.72"/>
        <n v="4002.46"/>
        <n v="1284.52"/>
        <n v="2524.3200000000002"/>
        <n v="14723.01"/>
        <n v="12320.29"/>
        <n v="2468.6999999999998"/>
        <n v="10416.56"/>
        <n v="7016.24"/>
        <n v="773.36"/>
        <n v="910.56"/>
        <n v="4213.95"/>
        <n v="1480.9"/>
        <n v="4457.2"/>
        <n v="1469.65"/>
        <n v="1479.59"/>
        <n v="2294.1"/>
        <n v="4471.04"/>
        <n v="3847.42"/>
        <n v="1735.68"/>
        <n v="2774"/>
        <n v="4208.82"/>
        <n v="7191.36"/>
        <n v="7050.33"/>
        <n v="2094.96"/>
        <n v="2706.52"/>
        <n v="3051.62"/>
        <n v="7805.38"/>
        <n v="14077.02"/>
        <n v="6044.4"/>
        <n v="15654.87"/>
        <n v="958.62"/>
        <n v="9034.08"/>
        <n v="6767.64"/>
        <n v="4552.2"/>
        <n v="1516.68"/>
        <n v="795.72"/>
        <n v="5806.4"/>
        <n v="1323.54"/>
        <n v="15391.2"/>
        <n v="11776.96"/>
        <n v="6656.65"/>
        <n v="13970.88"/>
        <n v="12920.49"/>
        <n v="10596.88"/>
        <n v="6921.68"/>
        <n v="1718.64"/>
        <n v="1545.7"/>
        <n v="11058.45"/>
        <n v="5480.35"/>
        <n v="12931.71"/>
        <n v="2456.2199999999998"/>
        <n v="11483.04"/>
        <n v="4912.0200000000004"/>
        <n v="4688.76"/>
        <n v="2789.16"/>
        <n v="8427.66"/>
        <n v="6769.62"/>
        <n v="3287.27"/>
        <n v="1599"/>
        <n v="6307.75"/>
        <n v="1324.83"/>
        <n v="19834.560000000001"/>
        <n v="12400.11"/>
        <n v="12592.32"/>
        <n v="1476.57"/>
        <n v="2199"/>
        <n v="5900.6"/>
        <n v="493"/>
        <n v="10355.719999999999"/>
        <n v="13072.8"/>
        <n v="8240.75"/>
        <n v="3883.52"/>
        <n v="13888.55"/>
        <n v="4959.4799999999996"/>
        <n v="6713.08"/>
        <n v="4260.96"/>
        <n v="2144.38"/>
        <n v="2080.7199999999998"/>
        <n v="1062"/>
        <n v="4746.05"/>
        <n v="1340.64"/>
        <n v="3735.2"/>
        <n v="764.52"/>
        <n v="6359.22"/>
        <n v="4961.74"/>
        <n v="6980.96"/>
        <n v="7092.3"/>
        <n v="4195"/>
        <n v="4671"/>
        <n v="9508.4699999999993"/>
        <n v="2327.64"/>
        <n v="9731.0300000000007"/>
        <n v="3328.8"/>
        <n v="8023.6"/>
        <n v="14414.46"/>
        <n v="939.12"/>
        <n v="8532.9"/>
        <n v="6694.38"/>
        <n v="1432.64"/>
        <n v="12038.96"/>
        <n v="12621.95"/>
        <n v="5557.95"/>
        <n v="13030"/>
        <n v="15196.2"/>
        <n v="6633.84"/>
        <n v="17784"/>
        <n v="2929.85"/>
        <n v="5834.14"/>
        <n v="3501"/>
        <n v="14145.36"/>
        <n v="8802.15"/>
        <n v="4205.5200000000004"/>
        <n v="16588.71"/>
        <n v="6716.58"/>
        <n v="3763.77"/>
        <n v="11194.05"/>
        <n v="2029.5"/>
        <n v="8573.8799999999992"/>
        <n v="12661.04"/>
        <n v="16372.38"/>
        <n v="8948.16"/>
        <n v="2331.63"/>
        <n v="2475.1999999999998"/>
        <n v="2390.85"/>
        <n v="12685.4"/>
        <n v="4649.79"/>
        <n v="3489.75"/>
        <n v="8548.7999999999993"/>
        <n v="3739.74"/>
        <n v="2653.44"/>
        <n v="4715.28"/>
        <n v="16159.68"/>
        <n v="3598.99"/>
        <n v="13121.28"/>
        <n v="1732.24"/>
        <n v="6643"/>
        <n v="1838"/>
        <n v="1645.44"/>
        <n v="6398.82"/>
        <n v="8691.7999999999993"/>
        <n v="8299.2000000000007"/>
        <n v="11157.56"/>
        <n v="2039.31"/>
        <n v="8265.14"/>
        <n v="1811.34"/>
        <n v="3618.72"/>
        <n v="6275.1"/>
        <n v="4088.42"/>
        <n v="19394.36"/>
        <n v="2931.25"/>
        <n v="8632.14"/>
        <n v="1711.92"/>
        <n v="5070.24"/>
        <n v="2679.15"/>
        <n v="12645.96"/>
        <n v="18383.82"/>
        <n v="1607.61"/>
        <n v="13396.06"/>
        <n v="587.4"/>
        <n v="4310.0200000000004"/>
        <n v="797.94"/>
        <n v="18973.57"/>
        <n v="1672.56"/>
        <n v="7888"/>
        <n v="2248.9499999999998"/>
        <n v="3060.84"/>
        <n v="5971.65"/>
        <n v="3603.2"/>
        <n v="6429.36"/>
        <n v="4658.3999999999996"/>
        <n v="3398.24"/>
        <n v="3070.65"/>
        <n v="7885.78"/>
        <n v="3741.69"/>
        <n v="2938.2"/>
        <n v="16281.86"/>
        <n v="7246.08"/>
        <n v="6281.44"/>
        <n v="4817.7"/>
        <n v="14576.64"/>
        <n v="8281.98"/>
        <n v="8576.7000000000007"/>
        <n v="2422.1"/>
        <n v="1739.22"/>
        <n v="1613.24"/>
        <n v="10816"/>
        <n v="7348.32"/>
        <n v="2970.18"/>
        <n v="8432.1"/>
        <n v="5365.36"/>
        <n v="4085.76"/>
        <n v="8739.15"/>
        <n v="3022.5"/>
        <n v="1899.52"/>
        <n v="3609.02"/>
        <n v="3672"/>
        <n v="2441.12"/>
        <n v="12444.87"/>
        <n v="653.78"/>
        <n v="892.18"/>
        <n v="14582.95"/>
        <n v="16211.2"/>
        <n v="7349.1"/>
        <n v="5860.18"/>
        <n v="1072.5"/>
        <n v="19514.88"/>
        <n v="2286.65"/>
        <n v="1540.26"/>
        <n v="3623.36"/>
        <n v="13211.01"/>
        <n v="2707.38"/>
        <n v="5375.86"/>
        <n v="9333"/>
        <n v="13547.4"/>
        <n v="7634.65"/>
        <n v="8937.18"/>
        <n v="2811.24"/>
        <n v="3252.3"/>
        <n v="3686.54"/>
        <n v="1473.54"/>
        <n v="10529.38"/>
        <n v="9999.36"/>
        <n v="4300.8"/>
        <n v="3248.7"/>
        <n v="9060.18"/>
        <n v="14747.46"/>
        <n v="8968.74"/>
        <n v="15211"/>
        <n v="3800.3"/>
        <n v="11812.5"/>
        <n v="5257.03"/>
        <n v="3945.48"/>
        <n v="8845.58"/>
        <n v="5810.07"/>
        <n v="2143.5700000000002"/>
        <n v="5183.3599999999997"/>
        <n v="8345.67"/>
        <n v="2774.36"/>
        <n v="3936.6"/>
        <n v="13295.36"/>
        <n v="8235.3700000000008"/>
        <n v="9777.6"/>
        <n v="7775.76"/>
        <n v="9835.77"/>
        <n v="4507.54"/>
        <n v="10479.9"/>
        <n v="6281.59"/>
        <n v="14344.26"/>
        <n v="2179.63"/>
        <n v="5094.3999999999996"/>
        <n v="9678.6299999999992"/>
        <n v="5509.46"/>
        <n v="6013.28"/>
        <n v="2155.23"/>
        <n v="1497.78"/>
        <n v="1994.04"/>
        <n v="1277.3699999999999"/>
        <n v="7969.5"/>
        <n v="5350.6"/>
        <n v="4853.6099999999997"/>
        <n v="15097.5"/>
        <n v="14163.45"/>
        <n v="3005.88"/>
        <n v="17675.34"/>
        <n v="5109.2700000000004"/>
        <n v="8811.4"/>
        <n v="7332.48"/>
        <n v="3423.28"/>
        <n v="9592.02"/>
        <n v="11495.4"/>
        <n v="5226.99"/>
        <n v="17827.2"/>
        <n v="7190.62"/>
        <n v="12432"/>
        <n v="6242.16"/>
        <n v="4221.2"/>
        <n v="2143.12"/>
        <n v="12677.76"/>
        <n v="7090.62"/>
        <n v="2689.92"/>
        <n v="5499.13"/>
        <n v="4087.2"/>
        <n v="10124.64"/>
        <n v="904.8"/>
        <n v="11115.44"/>
        <n v="16380"/>
        <n v="4464.9799999999996"/>
        <n v="1594.68"/>
        <n v="1007.77"/>
        <n v="3552.19"/>
        <n v="11230.2"/>
        <n v="1932.7"/>
        <n v="4021.86"/>
        <n v="1566.76"/>
        <n v="2120.1"/>
        <n v="19823.04"/>
        <n v="992"/>
        <n v="3275.98"/>
        <n v="15617.91"/>
        <n v="7008.12"/>
        <n v="3525.52"/>
        <n v="4770.07"/>
        <n v="3068.34"/>
        <n v="2020.16"/>
        <n v="13587.5"/>
        <n v="696.8"/>
        <n v="4293.5200000000004"/>
        <n v="10577.28"/>
        <n v="13693.32"/>
        <n v="899.14"/>
        <n v="1419.84"/>
        <n v="907.41"/>
        <n v="11453.35"/>
        <n v="3547.12"/>
        <n v="11195.46"/>
        <n v="4310.67"/>
        <n v="6297.48"/>
        <n v="11792.96"/>
        <n v="2283.3000000000002"/>
        <n v="4179.45"/>
        <n v="6108.96"/>
        <n v="1867.29"/>
        <n v="8048.16"/>
        <n v="3023.34"/>
        <n v="16653.599999999999"/>
        <n v="3411.18"/>
        <n v="19676.990000000002"/>
        <n v="2097.77"/>
        <n v="3461.73"/>
        <n v="5211.84"/>
        <n v="10332.9"/>
        <n v="1273.75"/>
        <n v="4042.41"/>
        <n v="15189.44"/>
        <n v="13803.85"/>
        <n v="9030.93"/>
        <n v="1912.3"/>
        <n v="6626.34"/>
        <n v="1049.8"/>
        <n v="3236.64"/>
        <n v="7011.34"/>
        <n v="17277.259999999998"/>
        <n v="2078.9899999999998"/>
        <n v="12159"/>
        <n v="7530.24"/>
        <n v="7687.32"/>
        <n v="11468.26"/>
        <n v="1913.1"/>
        <n v="5579.68"/>
        <n v="3019.52"/>
        <n v="1337.99"/>
        <n v="5542.11"/>
        <n v="5938.65"/>
        <n v="14803.17"/>
        <n v="10179.35"/>
        <n v="526"/>
        <n v="7845.12"/>
        <n v="12128.16"/>
        <n v="3905.88"/>
        <n v="3471.49"/>
        <n v="7493.2"/>
        <n v="1117.08"/>
        <n v="3898.44"/>
        <n v="15884.88"/>
        <n v="2124.85"/>
        <n v="7153.4"/>
        <n v="1749.9"/>
        <n v="2153.46"/>
        <n v="6603.87"/>
        <n v="13927.65"/>
        <n v="17079.37"/>
        <n v="13606.36"/>
        <n v="3209.7"/>
        <n v="3018.72"/>
        <n v="2077"/>
        <n v="6014.47"/>
        <n v="7699.5"/>
        <n v="2684.81"/>
        <n v="15655.64"/>
        <n v="6019.2"/>
        <n v="1510.5"/>
        <n v="3247.65"/>
        <n v="8747.27"/>
        <n v="360.75"/>
        <n v="3062.2"/>
        <n v="5943"/>
        <n v="9195.24"/>
        <n v="14960.85"/>
        <n v="6089.25"/>
        <n v="5665.44"/>
        <n v="4185.3999999999996"/>
        <n v="3573.76"/>
        <n v="889.02"/>
        <n v="4467.83"/>
        <n v="9518.08"/>
        <n v="6051.39"/>
        <n v="1064.2"/>
        <n v="4216.5200000000004"/>
        <n v="8838.65"/>
        <n v="11316.55"/>
        <n v="3922.14"/>
        <n v="1865.38"/>
        <n v="7680.18"/>
        <n v="1675.8"/>
        <n v="11939.07"/>
        <n v="7249.47"/>
        <n v="1999.62"/>
        <n v="5810.81"/>
        <n v="13039.45"/>
        <n v="4084.08"/>
        <n v="6522.45"/>
        <n v="1878.75"/>
        <n v="495.3"/>
        <n v="11765.46"/>
        <n v="5872.16"/>
        <n v="8966.83"/>
        <n v="5926.14"/>
        <n v="10460.799999999999"/>
        <n v="15408.05"/>
        <n v="5622.68"/>
        <n v="15046.36"/>
        <n v="7019.94"/>
        <n v="5107.2"/>
        <n v="5852.76"/>
        <n v="1196.82"/>
        <n v="3154.39"/>
        <n v="8751.6"/>
        <n v="4577.32"/>
        <n v="18176.400000000001"/>
        <n v="3436.83"/>
        <n v="11741.73"/>
        <n v="8001.99"/>
        <n v="14235"/>
        <n v="2189.94"/>
        <n v="4956.5200000000004"/>
        <n v="6549"/>
        <n v="9534.42"/>
        <n v="11200.2"/>
        <n v="9254.35"/>
        <n v="12249.6"/>
        <n v="7026.6"/>
        <n v="1159.1500000000001"/>
        <n v="12071.08"/>
        <n v="13587.08"/>
        <n v="4597.17"/>
        <n v="5765.26"/>
        <n v="5895.75"/>
        <n v="1336.65"/>
        <n v="11553.08"/>
        <n v="12030.48"/>
        <n v="1855.66"/>
        <n v="938.08"/>
        <n v="6772.23"/>
        <n v="5483.4"/>
        <n v="4824.4799999999996"/>
        <n v="8028.3"/>
        <n v="8044.4"/>
        <n v="8314.2999999999993"/>
        <n v="466.48"/>
        <n v="3735.73"/>
        <n v="6345.57"/>
        <n v="16924.2"/>
        <n v="3043.08"/>
        <n v="3797.28"/>
        <n v="6722.1"/>
        <n v="15319.2"/>
        <n v="2339.1"/>
        <n v="3833.26"/>
        <n v="13562.64"/>
        <n v="12933.2"/>
        <n v="2721.72"/>
        <n v="11603"/>
        <n v="3532.02"/>
        <n v="2157.54"/>
        <n v="2582.25"/>
        <n v="2025.75"/>
        <n v="6328.3"/>
        <n v="1967.68"/>
        <n v="3623.72"/>
        <n v="521.16"/>
        <n v="4780.0200000000004"/>
        <n v="1430.4"/>
        <n v="3096"/>
        <n v="3953.43"/>
        <n v="1120.95"/>
        <n v="1612.9"/>
        <n v="14296.8"/>
        <n v="6933.09"/>
        <n v="8847.9"/>
        <n v="4431.78"/>
        <n v="13228.9"/>
        <n v="2087.67"/>
        <n v="17067.7"/>
        <n v="595.67999999999995"/>
        <n v="12866.68"/>
        <n v="3186.7"/>
        <n v="12738.44"/>
        <n v="10907.92"/>
        <n v="1540.14"/>
        <n v="3612.98"/>
        <n v="2927.4"/>
        <n v="14272.14"/>
        <n v="1419.4"/>
        <n v="13872.96"/>
        <n v="7279.36"/>
        <n v="1545.13"/>
        <n v="3942"/>
        <n v="4683.29"/>
        <n v="6560.64"/>
        <n v="10972.5"/>
        <n v="16994.41"/>
        <n v="19464.900000000001"/>
        <n v="5466.85"/>
        <n v="2411.1999999999998"/>
        <n v="3806.96"/>
        <n v="8474.16"/>
        <n v="3175.02"/>
        <n v="1888.95"/>
        <n v="4194.18"/>
        <n v="14871.5"/>
        <n v="4637.07"/>
        <n v="789.48"/>
        <n v="7722"/>
        <n v="5900.4"/>
        <n v="7648"/>
        <n v="2498.7600000000002"/>
        <n v="10143.9"/>
        <n v="12765.34"/>
        <n v="6579.67"/>
        <n v="9854.26"/>
        <n v="3143.4"/>
        <n v="12004.18"/>
        <n v="16178.33"/>
        <n v="4509.04"/>
        <n v="6951.96"/>
        <n v="3480.37"/>
        <n v="5830.16"/>
        <n v="9115.6200000000008"/>
        <n v="1021.69"/>
        <n v="7655.7"/>
        <n v="2771.9"/>
        <n v="4132.7"/>
        <n v="13372.15"/>
        <n v="2722.3"/>
        <n v="1859.22"/>
        <n v="14430.4"/>
        <n v="12283.6"/>
        <n v="3930.3"/>
        <n v="2948.99"/>
        <n v="3082.2"/>
        <n v="2770.35"/>
        <n v="3071.54"/>
        <n v="16709.8"/>
        <n v="3732.66"/>
        <n v="8237.44"/>
        <n v="6577.32"/>
        <n v="2941.4"/>
        <n v="7966.71"/>
        <n v="4209.7"/>
        <n v="3383.55"/>
        <n v="6951.44"/>
        <n v="4354.38"/>
        <n v="4817.3500000000004"/>
        <n v="5681"/>
        <n v="4832.72"/>
        <n v="2400.64"/>
        <n v="2317.9499999999998"/>
        <n v="8217.52"/>
        <n v="6758.85"/>
        <n v="9725.58"/>
        <n v="9215.75"/>
        <n v="6963.76"/>
        <n v="6141.48"/>
        <n v="6905.2"/>
        <n v="2726.85"/>
        <n v="12533.4"/>
        <n v="11328.76"/>
        <n v="7605.48"/>
        <n v="12655.89"/>
        <n v="5652.78"/>
        <n v="9759.42"/>
        <n v="1974.94"/>
        <n v="17340.509999999998"/>
        <n v="2468.56"/>
        <n v="9307.2999999999993"/>
        <n v="2476.65"/>
        <n v="10903.8"/>
        <n v="1398.07"/>
        <n v="2300.9499999999998"/>
        <n v="1632"/>
        <n v="12666.38"/>
        <n v="4076.16"/>
        <n v="8080.5"/>
        <n v="4541.76"/>
        <n v="2160.3200000000002"/>
        <n v="5430.18"/>
        <n v="4629.46"/>
        <n v="14464.64"/>
        <n v="5267.1"/>
        <n v="12644.1"/>
        <n v="11605.05"/>
        <n v="3339.6"/>
        <n v="3691.71"/>
        <n v="1600.46"/>
        <n v="1532.72"/>
        <n v="17817.419999999998"/>
        <n v="1446.72"/>
        <n v="4677.72"/>
        <n v="5500.5"/>
        <n v="7630.75"/>
        <n v="6458.88"/>
        <n v="8590.56"/>
        <n v="12109.76"/>
        <n v="2155.14"/>
        <n v="9047.0400000000009"/>
        <n v="6536.16"/>
        <n v="3176.8"/>
        <n v="18017.099999999999"/>
        <n v="4820.2"/>
        <n v="6970.68"/>
        <n v="7337.17"/>
        <n v="8130.06"/>
        <n v="13843.76"/>
        <n v="8722.98"/>
        <n v="452.01"/>
        <n v="19997.88"/>
        <n v="6570"/>
        <n v="495.95"/>
        <n v="8017.55"/>
        <n v="8159.2"/>
        <n v="6983.6"/>
        <n v="2299.7600000000002"/>
        <n v="8162.28"/>
        <n v="4424.62"/>
        <n v="2865.95"/>
        <n v="7510.71"/>
        <n v="16935.919999999998"/>
        <n v="986.5"/>
        <n v="2435.4"/>
        <n v="6445.75"/>
        <n v="16841.52"/>
        <n v="5884.48"/>
        <n v="14818.05"/>
        <n v="9392.32"/>
        <n v="3861.66"/>
        <n v="1440.6"/>
        <n v="4906.46"/>
        <n v="3771.94"/>
        <n v="6690.6"/>
        <n v="7589.7"/>
        <n v="1591.04"/>
        <n v="5229.2700000000004"/>
        <n v="11633.4"/>
        <n v="5619.9"/>
        <n v="4790.7299999999996"/>
        <n v="6134.52"/>
        <n v="5885.22"/>
        <n v="4350.74"/>
        <n v="12178.08"/>
        <n v="9638.33"/>
        <n v="16188"/>
        <n v="9358.6"/>
        <n v="4217.3"/>
        <n v="1576.38"/>
        <n v="1980.9"/>
        <n v="8547.56"/>
        <n v="4759.6499999999996"/>
        <n v="12654.18"/>
        <n v="3045.32"/>
        <n v="16085.74"/>
        <n v="2735.28"/>
        <n v="13010.25"/>
        <n v="8852.0400000000009"/>
        <n v="5276.46"/>
        <n v="7034.25"/>
        <n v="1968.8"/>
        <n v="12193"/>
        <n v="1159.68"/>
        <n v="4546.3599999999997"/>
        <n v="701.1"/>
        <n v="12510.68"/>
        <n v="3263.31"/>
        <n v="1284.92"/>
        <n v="12927.1"/>
        <n v="3780.14"/>
        <n v="4653.92"/>
        <n v="12194.25"/>
        <n v="2083.23"/>
        <n v="6150.72"/>
        <n v="6802.38"/>
        <n v="8083.2"/>
        <n v="2278.33"/>
        <n v="4818"/>
        <n v="3353.56"/>
        <n v="15455.55"/>
        <n v="5427.17"/>
        <n v="10068.450000000001"/>
        <n v="2272.71"/>
        <n v="5298.59"/>
        <n v="6547.97"/>
        <n v="11300.29"/>
        <n v="4466"/>
        <n v="3382.95"/>
        <n v="7817.81"/>
        <n v="6687.32"/>
        <n v="5803.98"/>
        <n v="3651.68"/>
        <n v="18130"/>
        <n v="5486.8"/>
        <n v="2659.3"/>
        <n v="8935.9599999999991"/>
        <n v="3151.72"/>
        <n v="9871.2000000000007"/>
        <n v="553"/>
        <n v="1820.91"/>
        <n v="3192"/>
        <n v="3660.88"/>
        <n v="3096.69"/>
        <n v="2941.74"/>
        <n v="2321.7600000000002"/>
        <n v="1151"/>
        <n v="7564.8"/>
        <n v="15624.75"/>
        <n v="4303.5"/>
        <n v="5169.24"/>
        <n v="749.84"/>
        <n v="10662.3"/>
        <n v="6524.71"/>
        <n v="3085.6"/>
        <n v="3363.59"/>
        <n v="12642"/>
        <n v="8852.2000000000007"/>
        <n v="3064.32"/>
        <n v="4996.08"/>
        <n v="2885.91"/>
        <n v="2296.87"/>
        <n v="2156.48"/>
        <n v="1031.1600000000001"/>
        <n v="17437.45"/>
        <n v="4619.92"/>
        <n v="12474"/>
        <n v="6347.46"/>
        <n v="8777.51"/>
        <n v="7020.47"/>
        <n v="3877.68"/>
        <n v="6701.32"/>
        <n v="2006.48"/>
        <n v="2278.1"/>
        <n v="2322"/>
        <n v="2677.78"/>
        <n v="2080.6"/>
        <n v="5855.09"/>
        <n v="9374.19"/>
        <n v="6779.51"/>
        <n v="4803.5"/>
        <n v="10002.469999999999"/>
        <n v="8157.65"/>
        <n v="3780.56"/>
        <n v="12484.9"/>
        <n v="1531.71"/>
        <n v="5407.35"/>
        <n v="5198.76"/>
        <n v="7243.06"/>
        <n v="1179.0899999999999"/>
        <n v="603.25"/>
        <n v="8964.27"/>
        <n v="6366.6"/>
        <n v="1778.4"/>
        <n v="418.6"/>
        <n v="1431.04"/>
        <n v="5978.39"/>
        <n v="8889.6"/>
        <n v="4023"/>
        <n v="5559.82"/>
        <n v="18253.95"/>
        <n v="1894.28"/>
        <n v="13416.2"/>
        <n v="4875.09"/>
        <n v="2505.09"/>
        <n v="15793.56"/>
        <n v="6600.54"/>
        <n v="9035.52"/>
        <n v="18687.240000000002"/>
        <n v="2697.5"/>
        <n v="1209.93"/>
        <n v="8932.99"/>
        <n v="7183.54"/>
        <n v="6880.65"/>
        <n v="2580.96"/>
        <n v="9307.5"/>
        <n v="9212.19"/>
        <n v="4610.7"/>
        <n v="3048.3"/>
        <n v="12132.47"/>
        <n v="4095.36"/>
        <n v="15825"/>
        <n v="6053.86"/>
        <n v="4002.48"/>
        <n v="9794.4"/>
        <n v="2969"/>
        <n v="3176.88"/>
        <n v="3500.8"/>
        <n v="1740.5"/>
        <n v="7219.68"/>
        <n v="9625.98"/>
        <n v="15609.78"/>
        <n v="11410.12"/>
        <n v="13127.2"/>
        <n v="5720.58"/>
        <n v="8596.7999999999993"/>
        <n v="569.79999999999995"/>
        <n v="9518.24"/>
        <n v="1569.12"/>
        <n v="1256.4000000000001"/>
        <n v="5942.36"/>
        <n v="5533.33"/>
        <n v="2302.56"/>
        <n v="7889"/>
        <n v="1311.99"/>
        <n v="7942.97"/>
        <n v="9588.7999999999993"/>
        <n v="17790.71"/>
        <n v="2070.09"/>
        <n v="6418.45"/>
        <n v="2494.98"/>
        <n v="10514.32"/>
        <n v="2602.17"/>
        <n v="3123.9"/>
        <n v="4153.6000000000004"/>
        <n v="6438.96"/>
        <n v="9874.3799999999992"/>
        <n v="5943.84"/>
        <n v="4716.79"/>
        <n v="1865.04"/>
        <n v="1950.16"/>
        <n v="4614.8"/>
        <n v="8613.44"/>
        <n v="1507.5"/>
        <n v="2350.5"/>
        <n v="12800.25"/>
        <n v="14105.73"/>
        <n v="17395.560000000001"/>
        <n v="877.04"/>
        <n v="2717.55"/>
        <n v="750.4"/>
        <n v="3954.72"/>
        <n v="11523.92"/>
        <n v="10753.96"/>
        <n v="6755.37"/>
        <n v="18695.5"/>
        <n v="601.16999999999996"/>
        <n v="1965.81"/>
        <n v="12745.41"/>
        <n v="9405"/>
        <n v="1391.6"/>
        <n v="7860"/>
        <n v="5403.8"/>
        <n v="6535.29"/>
        <n v="6311.82"/>
        <n v="17404.66"/>
        <n v="5007.8599999999997"/>
        <n v="9146.2199999999993"/>
        <n v="1993.98"/>
        <n v="13597.56"/>
        <n v="13067.6"/>
        <n v="17719.439999999999"/>
        <n v="3427.36"/>
        <n v="3403.44"/>
        <n v="4897.75"/>
        <n v="13786.44"/>
        <n v="2148.9299999999998"/>
        <n v="3449.07"/>
        <n v="6289.18"/>
        <n v="7382.67"/>
        <n v="2491.58"/>
        <n v="3012.57"/>
        <n v="3988.48"/>
        <n v="12348.18"/>
        <n v="12242.4"/>
        <n v="3227.15"/>
        <n v="670.5"/>
        <n v="3926.59"/>
        <n v="9782.57"/>
        <n v="9125.76"/>
        <n v="8998.2900000000009"/>
        <n v="3108.41"/>
        <n v="11567.58"/>
        <n v="8428"/>
        <n v="6258.6"/>
        <n v="1698.55"/>
        <n v="11336.7"/>
        <n v="6829.92"/>
        <n v="9577.9599999999991"/>
        <n v="1676.4"/>
        <n v="3052.44"/>
        <n v="10764.9"/>
        <n v="19206.04"/>
        <n v="2609.08"/>
        <n v="6958.56"/>
        <n v="5391.68"/>
        <n v="1994.44"/>
        <n v="5537.28"/>
        <n v="10843"/>
        <n v="726.25"/>
        <n v="10235.65"/>
        <n v="4699.01"/>
        <n v="7638.18"/>
        <n v="19345.86"/>
        <n v="4633.6899999999996"/>
        <n v="1073.1600000000001"/>
        <n v="4522.1400000000003"/>
        <n v="5128.28"/>
        <n v="14918.76"/>
        <n v="4512.3"/>
        <n v="4581.5"/>
        <n v="463.71"/>
        <n v="1150.45"/>
        <n v="1067.04"/>
        <n v="3554.1"/>
        <n v="10322.549999999999"/>
        <n v="1610.7"/>
        <n v="8384.64"/>
        <n v="1054.3900000000001"/>
        <n v="3856.03"/>
        <n v="7487.76"/>
        <n v="9024.4"/>
        <n v="9569.1"/>
        <n v="1433.76"/>
        <n v="11924.22"/>
        <n v="10997.25"/>
        <n v="1138.8699999999999"/>
        <n v="3958.5"/>
        <n v="8836.56"/>
        <n v="11673.76"/>
        <n v="4601.25"/>
        <n v="1550.77"/>
        <n v="10983.92"/>
        <n v="11480.1"/>
        <n v="3156.39"/>
        <n v="12063.36"/>
        <n v="9628.44"/>
        <n v="7660.8"/>
        <n v="6872.4"/>
        <n v="10793"/>
        <n v="6800.4"/>
        <n v="7494.35"/>
        <n v="7384.89"/>
        <n v="1948.62"/>
        <n v="1779.21"/>
        <n v="4083.75"/>
        <n v="970.9"/>
        <n v="3935.84"/>
        <n v="4863.3599999999997"/>
        <n v="19795.080000000002"/>
        <n v="922.76"/>
        <n v="8053.89"/>
        <n v="3792.25"/>
        <n v="6972.37"/>
        <n v="12174.88"/>
        <n v="10400.719999999999"/>
        <n v="2074.8000000000002"/>
        <n v="16889.16"/>
        <n v="1235.78"/>
        <n v="5492.52"/>
        <n v="1257.8800000000001"/>
        <n v="13117.86"/>
        <n v="3209.97"/>
        <n v="9138.25"/>
        <n v="806.4"/>
        <n v="1913.37"/>
        <n v="7253.9"/>
        <n v="11549.58"/>
        <n v="6864.3"/>
        <n v="439.45"/>
        <n v="1892.56"/>
        <n v="2291.4"/>
        <n v="4648.8"/>
        <n v="10126.219999999999"/>
        <n v="11489.16"/>
        <n v="12971.64"/>
        <n v="8828.14"/>
        <n v="6403.95"/>
        <n v="6266.25"/>
        <n v="3517.8"/>
        <n v="9196"/>
        <n v="2900.31"/>
        <n v="10776"/>
        <n v="2302.75"/>
        <n v="7467.46"/>
        <n v="8522.4"/>
        <n v="12974.08"/>
        <n v="5322.36"/>
        <n v="2776.41"/>
        <n v="12560.44"/>
        <n v="3961.95"/>
        <n v="10823.8"/>
        <n v="3316.56"/>
        <n v="9227.4"/>
        <n v="1306.96"/>
        <n v="2584.27"/>
        <n v="7723.28"/>
        <n v="13111.46"/>
        <n v="650.84"/>
        <n v="3368.89"/>
        <n v="2957.67"/>
        <n v="6841.44"/>
        <n v="1965.39"/>
        <n v="7021.9"/>
        <n v="1380.5"/>
        <n v="1764"/>
        <n v="5206.82"/>
        <n v="7203.78"/>
        <n v="2095.6799999999998"/>
        <n v="1831.88"/>
        <n v="2943.45"/>
        <n v="4162.62"/>
        <n v="3224.67"/>
        <n v="9088.9500000000007"/>
        <n v="4437.29"/>
        <n v="6319.56"/>
        <n v="7443.69"/>
        <n v="5501.98"/>
        <n v="11274.09"/>
        <n v="6019.1"/>
        <n v="3486.8"/>
        <n v="17298.650000000001"/>
        <n v="2365.1999999999998"/>
        <n v="9005.76"/>
        <n v="1486.8"/>
        <n v="1581.67"/>
        <n v="7501.2"/>
        <n v="7650.72"/>
        <n v="4826.01"/>
        <n v="2969.49"/>
        <n v="5152.8"/>
        <n v="4020.5"/>
        <n v="9818.5499999999993"/>
        <n v="2898.72"/>
        <n v="6817.65"/>
        <n v="4814.62"/>
        <n v="5411.68"/>
        <n v="6969.6"/>
        <n v="3238.04"/>
        <n v="14277.86"/>
        <n v="11510.46"/>
        <n v="3327"/>
        <n v="5562.48"/>
        <n v="7680.42"/>
        <n v="16874.080000000002"/>
        <n v="10972.8"/>
        <n v="13100.17"/>
        <n v="15175.12"/>
        <n v="12351.92"/>
        <n v="1132.32"/>
        <n v="1809.5"/>
        <n v="1545.84"/>
        <n v="6153.24"/>
        <n v="6306.3"/>
        <n v="5274.72"/>
        <n v="9016.56"/>
        <n v="8602.1"/>
        <n v="11447.2"/>
        <n v="4322.3599999999997"/>
        <n v="1348.2"/>
        <n v="5314.8"/>
        <n v="13546.19"/>
        <n v="6443.8"/>
        <n v="3290.52"/>
        <n v="4350.71"/>
        <n v="7659.14"/>
        <n v="1507.47"/>
        <n v="5183.82"/>
        <n v="3302.2"/>
        <n v="3235.68"/>
        <n v="7595.42"/>
        <n v="2889.11"/>
        <n v="5781.25"/>
        <n v="6804.85"/>
        <n v="2820"/>
        <n v="8442.08"/>
        <n v="9471.6299999999992"/>
        <n v="9910"/>
        <n v="8966.5"/>
        <n v="12155.04"/>
        <n v="10958.58"/>
        <n v="7549.5"/>
        <n v="2639.91"/>
        <n v="10779.76"/>
        <n v="3553.48"/>
        <n v="19033.54"/>
        <n v="1507.84"/>
        <n v="12421.5"/>
        <n v="10032"/>
        <n v="7668.54"/>
        <n v="2699.61"/>
        <n v="6417.45"/>
        <n v="2857.36"/>
        <n v="3222.69"/>
        <n v="15669.26"/>
        <n v="1965.2"/>
        <n v="2412.3000000000002"/>
        <n v="17920.21"/>
        <n v="5230.0200000000004"/>
        <n v="5697.96"/>
        <n v="5459.88"/>
        <n v="2906.4"/>
        <n v="3843.47"/>
        <n v="5115.6000000000004"/>
        <n v="4963.1400000000003"/>
        <n v="1659.86"/>
        <n v="12125.75"/>
        <n v="6205.68"/>
        <n v="3448.5"/>
        <n v="6298.2"/>
        <n v="1030.29"/>
        <n v="12563.21"/>
        <n v="3044.19"/>
        <n v="6009.6"/>
        <n v="16531.599999999999"/>
        <n v="6766.5"/>
        <n v="6621.83"/>
        <n v="15132.5"/>
        <n v="5362.1"/>
        <n v="17684.22"/>
        <n v="12567.7"/>
        <n v="2511.42"/>
        <n v="12774.48"/>
        <n v="6560.34"/>
        <n v="833.28"/>
        <n v="11129.56"/>
        <n v="4054.67"/>
        <n v="2500.4699999999998"/>
        <n v="14704.9"/>
        <n v="2769.21"/>
        <n v="10857.5"/>
        <n v="3388.88"/>
        <n v="7329.9"/>
        <n v="3993.83"/>
        <n v="10105.26"/>
        <n v="8654.8799999999992"/>
        <n v="15058.89"/>
        <n v="5492.36"/>
        <n v="5488.95"/>
        <n v="3710.91"/>
        <n v="3352.17"/>
        <n v="8776.06"/>
        <n v="5850.72"/>
        <n v="3358.2"/>
        <n v="4025.28"/>
        <n v="1198.92"/>
        <n v="10023.39"/>
        <n v="1814.75"/>
        <n v="2925.56"/>
        <n v="1698.5"/>
        <n v="8051.82"/>
        <n v="2850.7"/>
        <n v="1712.68"/>
        <n v="10963.11"/>
        <n v="18046.53"/>
        <n v="3432.6"/>
        <n v="860.1"/>
        <n v="13675.2"/>
        <n v="4506.84"/>
        <n v="1271.5999999999999"/>
        <n v="496.86"/>
        <n v="994.14"/>
        <n v="3215.97"/>
        <n v="13295.34"/>
        <n v="17868.41"/>
        <n v="3747.18"/>
        <n v="15887.3"/>
        <n v="11151"/>
        <n v="13364.48"/>
        <n v="9598.24"/>
        <n v="5394.18"/>
        <n v="3196.96"/>
        <n v="9497.3799999999992"/>
        <n v="3224.2"/>
        <n v="4140.3599999999997"/>
        <n v="5107.34"/>
        <n v="2876.28"/>
        <n v="11077.12"/>
        <n v="16240.76"/>
        <n v="4007.52"/>
        <n v="7092.75"/>
        <n v="623.07000000000005"/>
        <n v="3151.14"/>
        <n v="8915.2000000000007"/>
        <n v="934.25"/>
        <n v="10227.84"/>
        <n v="3163.86"/>
        <n v="2007.67"/>
        <n v="2178.7199999999998"/>
        <n v="8229.0400000000009"/>
        <n v="3601.92"/>
        <n v="7646.05"/>
        <n v="6448.4"/>
        <n v="11152.35"/>
        <n v="12590.46"/>
        <n v="12407.25"/>
        <n v="6681.99"/>
        <n v="6200.92"/>
        <n v="15984.15"/>
        <n v="9594.94"/>
        <n v="7927.44"/>
        <n v="16308.63"/>
        <n v="8566.9500000000007"/>
        <n v="3188.95"/>
        <n v="5566.08"/>
        <n v="1292.68"/>
        <n v="7336.76"/>
        <n v="19049.52"/>
        <n v="9714.7099999999991"/>
        <n v="2012.14"/>
        <n v="9300.9"/>
        <n v="1675.86"/>
        <n v="6633.74"/>
        <n v="2365.7399999999998"/>
        <n v="10296"/>
        <n v="495.9"/>
        <n v="4032.36"/>
        <n v="1986.45"/>
        <n v="10710.84"/>
        <n v="4595.59"/>
        <n v="10357.66"/>
        <n v="5399.08"/>
        <n v="10435.11"/>
        <n v="2123.88"/>
        <n v="5938.44"/>
        <n v="2181.12"/>
        <n v="3598.32"/>
        <n v="16463.419999999998"/>
        <n v="10775.8"/>
        <n v="5251.4"/>
        <n v="3768.56"/>
        <n v="6221.55"/>
        <n v="8963.25"/>
        <n v="668.4"/>
        <n v="14908.35"/>
        <n v="1262.78"/>
        <n v="1586.64"/>
        <n v="4495.59"/>
        <n v="5225.76"/>
        <n v="4788.8999999999996"/>
        <n v="3831.6"/>
        <n v="15061.35"/>
        <n v="16360.7"/>
        <n v="1722.7"/>
        <n v="12279.24"/>
        <n v="638.4"/>
        <n v="6384.27"/>
        <n v="7022.08"/>
        <n v="13918.92"/>
        <n v="4423.68"/>
        <n v="14331.24"/>
        <n v="4738.51"/>
        <n v="3680.82"/>
        <n v="3447.54"/>
        <n v="3742.69"/>
        <n v="4814.3999999999996"/>
        <n v="6772.05"/>
        <n v="5023.26"/>
        <n v="4904.2"/>
        <n v="16416"/>
        <n v="8997.75"/>
        <n v="11812.68"/>
        <n v="1300.1300000000001"/>
        <n v="4629.49"/>
        <n v="4033.74"/>
        <n v="5123"/>
        <n v="2230.4"/>
        <n v="1066.24"/>
        <n v="5913.9"/>
        <n v="8990.24"/>
        <n v="18882.95"/>
        <n v="2617.2399999999998"/>
        <n v="13892.76"/>
        <n v="6347.52"/>
        <n v="6293.4"/>
        <n v="1645.7"/>
        <n v="12521.25"/>
        <n v="2237.8200000000002"/>
        <n v="10437.44"/>
        <n v="6662.04"/>
        <n v="11264.76"/>
        <n v="5907.33"/>
        <n v="8908.82"/>
        <n v="9416.8799999999992"/>
        <n v="3069.76"/>
        <n v="13152.75"/>
        <n v="3784.17"/>
        <n v="18213.28"/>
        <n v="4295.28"/>
        <n v="4399.07"/>
        <n v="2285.4"/>
        <n v="3207.96"/>
        <n v="10014.9"/>
        <n v="2859"/>
        <n v="4206.6000000000004"/>
        <n v="2690.4"/>
        <n v="4957.29"/>
        <n v="2696.32"/>
        <n v="8631.7000000000007"/>
        <n v="2849.91"/>
        <n v="5801.36"/>
        <n v="1401.6"/>
        <n v="3498.9"/>
        <n v="1261.68"/>
        <n v="2620.1"/>
        <n v="7691.27"/>
        <n v="9370.06"/>
        <n v="1808.81"/>
        <n v="9160.58"/>
        <n v="11508.22"/>
        <n v="2800.75"/>
        <n v="12172.6"/>
        <n v="20338.5"/>
        <n v="1180.48"/>
        <n v="2541.75"/>
        <n v="14317.06"/>
        <n v="2945.25"/>
        <n v="12236.26"/>
        <n v="12800.88"/>
        <n v="9535.1"/>
        <n v="7531.25"/>
        <n v="19214.73"/>
        <n v="13261.36"/>
        <n v="3471.7"/>
        <n v="15256.23"/>
        <n v="4954.7700000000004"/>
        <n v="4117.2299999999996"/>
        <n v="4514"/>
        <n v="14583.54"/>
        <n v="12831.5"/>
        <n v="7406.75"/>
        <n v="2755.02"/>
        <n v="4416.3599999999997"/>
        <n v="7303.2"/>
        <n v="2282.4"/>
        <n v="6783.57"/>
        <n v="1736.64"/>
        <n v="6425.07"/>
        <n v="4496.16"/>
        <n v="11826.24"/>
        <n v="6822.9"/>
        <n v="3871.63"/>
        <n v="3141.88"/>
        <n v="2359.0300000000002"/>
        <n v="6354.4"/>
        <n v="13609.22"/>
        <n v="6274.94"/>
        <n v="605.91999999999996"/>
        <n v="1485.55"/>
        <n v="1403.92"/>
        <n v="2758.23"/>
        <n v="10588.32"/>
        <n v="13773.2"/>
        <n v="8321.07"/>
        <n v="11403.04"/>
        <n v="6203.52"/>
        <n v="14235.72"/>
        <n v="7543.08"/>
        <n v="2918.4"/>
        <n v="10326.11"/>
        <n v="6882.12"/>
        <n v="2939.13"/>
        <n v="5242.05"/>
        <n v="5987.4"/>
        <n v="5046.45"/>
        <n v="2077.11"/>
        <n v="14866.67"/>
        <n v="8576.0499999999993"/>
        <n v="11405.66"/>
        <n v="674.4"/>
        <n v="7527.52"/>
        <n v="5358.85"/>
        <n v="10622.72"/>
        <n v="5033.7"/>
        <n v="15198.17"/>
        <n v="2390.58"/>
        <n v="7188.26"/>
        <n v="2010.12"/>
        <n v="2238.5100000000002"/>
        <n v="12558"/>
        <n v="1713.8"/>
        <n v="8323.7800000000007"/>
        <n v="4995.2"/>
        <n v="2206.2800000000002"/>
        <n v="7471.41"/>
        <n v="4809"/>
        <n v="4862.22"/>
        <n v="4797.62"/>
        <n v="5076.3599999999997"/>
        <n v="13059.2"/>
        <n v="18907.14"/>
        <n v="14362.92"/>
        <n v="3118.92"/>
        <n v="7786"/>
        <n v="2669.7"/>
        <n v="1836.07"/>
        <n v="3268.8"/>
        <n v="18426.240000000002"/>
        <n v="5667.84"/>
        <n v="2052.34"/>
        <n v="12265.84"/>
        <n v="6746.9"/>
        <n v="14537.55"/>
        <n v="1809.36"/>
        <n v="5567.64"/>
        <n v="11875.06"/>
        <n v="2210.1"/>
        <n v="4002.98"/>
        <n v="5005.3999999999996"/>
        <n v="2353"/>
        <n v="6116.6"/>
        <n v="7173.36"/>
        <n v="4750.92"/>
        <n v="17742.900000000001"/>
        <n v="10425.48"/>
        <n v="8728.32"/>
        <n v="9645.16"/>
        <n v="9091.68"/>
        <n v="7699.02"/>
        <n v="9835.2800000000007"/>
        <n v="5307"/>
        <n v="8530.41"/>
        <n v="11798.82"/>
        <n v="12120.48"/>
        <n v="1019.52"/>
        <n v="10895.46"/>
        <n v="10877.52"/>
        <n v="12362.7"/>
        <n v="6196.3"/>
        <n v="1395.76"/>
        <n v="9083.52"/>
        <n v="3983.1"/>
        <n v="4438.6499999999996"/>
        <n v="1719.57"/>
        <n v="3664.15"/>
        <n v="3201.87"/>
        <n v="12851.2"/>
        <n v="1689.88"/>
        <n v="3252"/>
        <n v="6370.78"/>
        <n v="2487.54"/>
        <n v="3993.42"/>
        <n v="2519.04"/>
        <n v="8777.3700000000008"/>
        <n v="13531.8"/>
        <n v="1922.62"/>
        <n v="4640.46"/>
        <n v="6700"/>
        <n v="8295.4"/>
        <n v="2268.5"/>
        <n v="2100.4499999999998"/>
        <n v="9424.7999999999993"/>
        <n v="4863.04"/>
        <n v="8066.16"/>
        <n v="18830.62"/>
        <n v="5797.26"/>
        <n v="8182.6"/>
        <n v="5711"/>
        <n v="2730"/>
        <n v="17263.32"/>
        <n v="440.5"/>
        <n v="3267.55"/>
        <n v="860.51"/>
        <n v="3500.56"/>
        <n v="6843.52"/>
        <n v="5087.55"/>
        <n v="16334.76"/>
        <n v="19488.82"/>
        <n v="790.54"/>
        <n v="1004.5"/>
        <n v="3851.49"/>
        <n v="2775.12"/>
        <n v="4790.8"/>
        <n v="4523.2"/>
        <n v="2998.8"/>
        <n v="4816.6400000000003"/>
        <n v="3420.66"/>
        <n v="8976.9500000000007"/>
        <n v="4919.46"/>
        <n v="937.02"/>
        <n v="13911.75"/>
        <n v="2227.1999999999998"/>
        <n v="6841.11"/>
        <n v="1539.9"/>
        <n v="17692.28"/>
        <n v="1345.4"/>
        <n v="5093.2"/>
        <n v="16640.259999999998"/>
        <n v="4478.1000000000004"/>
        <n v="13469.95"/>
        <n v="2311.54"/>
        <n v="16443"/>
        <n v="7761.6"/>
        <n v="864.57"/>
        <n v="891.75"/>
        <n v="9844.25"/>
        <n v="6241.88"/>
        <n v="6614.16"/>
        <n v="6517.8"/>
        <n v="903.72"/>
        <n v="5074.72"/>
        <n v="7456.24"/>
        <n v="8210.76"/>
        <n v="1849.92"/>
        <n v="5262.88"/>
        <n v="11284"/>
        <n v="16399.62"/>
        <n v="10642.37"/>
        <n v="1637.28"/>
        <n v="1728.43"/>
        <n v="799.92"/>
        <n v="2311.02"/>
        <n v="1644"/>
        <n v="4291.95"/>
        <n v="3965.39"/>
        <n v="2901.6"/>
        <n v="16196.09"/>
        <n v="9540.7199999999993"/>
        <n v="8215.2000000000007"/>
        <n v="5886.9"/>
        <n v="6403.05"/>
        <n v="9096.4500000000007"/>
        <n v="6515.23"/>
        <n v="4017.95"/>
        <n v="8220.7999999999993"/>
        <n v="3134.7"/>
        <n v="4764.7"/>
        <n v="8116.8"/>
        <n v="4462.46"/>
        <n v="4509.9399999999996"/>
        <n v="2555.84"/>
        <n v="3776.22"/>
        <n v="3157.92"/>
        <n v="2853.48"/>
        <n v="15526.35"/>
        <n v="12880"/>
        <n v="2605.5"/>
        <n v="2849.28"/>
        <n v="7132.52"/>
        <n v="1187.68"/>
        <n v="13248"/>
        <n v="799.2"/>
        <n v="5357.32"/>
        <n v="3677.1"/>
        <n v="9002.48"/>
        <n v="4899"/>
        <n v="2175.36"/>
        <n v="846.4"/>
        <n v="1034.28"/>
        <n v="4326.3"/>
        <n v="2866.88"/>
        <n v="8238.85"/>
        <n v="9137.2000000000007"/>
        <n v="3081.25"/>
        <n v="2839.68"/>
        <n v="410.7"/>
        <n v="9243.91"/>
        <n v="4095.91"/>
        <n v="9217.86"/>
        <n v="2260.08"/>
        <n v="2246.7199999999998"/>
        <n v="10158.799999999999"/>
        <n v="9166.08"/>
        <n v="1423.47"/>
        <n v="3511.35"/>
        <n v="3344.41"/>
        <n v="5127.1499999999996"/>
        <n v="3203.55"/>
        <n v="11448.36"/>
        <n v="14801.4"/>
        <n v="4648.32"/>
        <n v="6569.03"/>
        <n v="7685.44"/>
        <n v="2718.87"/>
        <n v="5857.36"/>
        <n v="10013.76"/>
        <n v="9595.48"/>
        <n v="6378.57"/>
        <n v="1803.75"/>
        <n v="3057.28"/>
        <n v="3542.35"/>
        <n v="10389.6"/>
        <n v="17565.310000000001"/>
        <n v="3514.8"/>
        <n v="675.6"/>
        <n v="12103.85"/>
        <n v="11209.05"/>
        <n v="1912.96"/>
        <n v="5485.35"/>
        <n v="7268.16"/>
        <n v="1541"/>
        <n v="15840"/>
        <n v="3883.1"/>
        <n v="11515.14"/>
        <n v="7007.4"/>
        <n v="9232.2999999999993"/>
        <n v="8852.2800000000007"/>
        <n v="2986.56"/>
        <n v="16687.919999999998"/>
        <n v="6500.9"/>
        <n v="2698.56"/>
        <n v="2330"/>
        <n v="5447.09"/>
        <n v="3372.12"/>
        <n v="18028.36"/>
        <n v="5067.59"/>
        <n v="10850.08"/>
        <n v="1313.5"/>
        <n v="9999.24"/>
        <n v="1390.62"/>
        <n v="11211.78"/>
        <n v="5004.3"/>
        <n v="3645.97"/>
        <n v="4388.2"/>
        <n v="1915.42"/>
        <n v="4521.6000000000004"/>
        <n v="7469.82"/>
        <n v="1854.4"/>
        <n v="1347.5"/>
        <n v="12446"/>
        <n v="2171.52"/>
        <n v="1378.25"/>
        <n v="9276.33"/>
        <n v="3528.82"/>
        <n v="2680.74"/>
        <n v="1802.4"/>
        <n v="4010.8"/>
        <n v="4850.92"/>
        <n v="16230.5"/>
        <n v="8229"/>
        <n v="2104.96"/>
        <n v="4514.26"/>
        <n v="7580.56"/>
        <n v="12743.68"/>
        <n v="8135.64"/>
        <n v="3834.41"/>
        <n v="12850.74"/>
        <n v="1239"/>
        <n v="861.36"/>
        <n v="3403.02"/>
        <n v="1528.2"/>
        <n v="4572.3999999999996"/>
        <n v="1531.62"/>
        <n v="10711.96"/>
        <n v="2356.6799999999998"/>
        <n v="9073.65"/>
        <n v="8831.25"/>
        <n v="3979.92"/>
        <n v="2446.08"/>
        <n v="1901.06"/>
        <n v="1293.9000000000001"/>
        <n v="2116.8000000000002"/>
        <n v="2476.3200000000002"/>
        <n v="4036.35"/>
        <n v="11925"/>
        <n v="2901.8"/>
        <n v="672.6"/>
        <n v="10812"/>
        <n v="17748"/>
        <n v="2948.55"/>
        <n v="4188.46"/>
        <n v="2575.2600000000002"/>
        <n v="6491.29"/>
        <n v="4678.2"/>
        <n v="4691.33"/>
        <n v="1352.52"/>
        <n v="5710.54"/>
        <n v="12060.06"/>
        <n v="8044.6"/>
        <n v="7231.38"/>
        <n v="7600.22"/>
        <n v="3052.35"/>
        <n v="1669.5"/>
        <n v="5206.93"/>
        <n v="11756.52"/>
        <n v="1049.04"/>
        <n v="13636.93"/>
        <n v="14775.2"/>
        <n v="3676.68"/>
        <n v="17682.38"/>
        <n v="1673.3"/>
        <n v="6336.15"/>
        <n v="7338.91"/>
        <n v="9374.4"/>
        <n v="3292.45"/>
        <n v="7714.86"/>
        <n v="1640.82"/>
        <n v="3663.24"/>
        <n v="5732.1"/>
        <n v="3490.76"/>
        <n v="961.45"/>
        <n v="10854"/>
        <n v="10326.75"/>
        <n v="3362.4"/>
        <n v="3211.3"/>
        <n v="16080.22"/>
        <n v="20047.86"/>
        <n v="5197.46"/>
        <n v="4446.7"/>
        <n v="348.21"/>
        <n v="2821.88"/>
        <n v="3324.5"/>
        <n v="2540.5700000000002"/>
        <n v="5253.6"/>
        <n v="5985.58"/>
        <n v="3560.65"/>
        <n v="5848.68"/>
        <n v="8397"/>
        <n v="2610.9"/>
        <n v="8110.22"/>
        <n v="15103.89"/>
        <n v="3727.5"/>
        <n v="4409.3"/>
        <n v="3265.92"/>
        <n v="9641.25"/>
        <n v="7110.78"/>
        <n v="9949.8799999999992"/>
        <n v="6526.8"/>
        <n v="10614.15"/>
        <n v="1688.05"/>
        <n v="19496.52"/>
        <n v="3161.36"/>
        <n v="1285.76"/>
        <n v="5586.75"/>
        <n v="16193.52"/>
        <n v="13826.9"/>
        <n v="9624.32"/>
        <n v="6704.62"/>
        <n v="19432.599999999999"/>
        <n v="5154.84"/>
        <n v="14843.36"/>
        <n v="5008.16"/>
        <n v="3958.7"/>
        <n v="1010.08"/>
        <n v="5556.8"/>
        <n v="2831.62"/>
        <n v="4207.9799999999996"/>
        <n v="3761.25"/>
        <n v="1538.88"/>
        <n v="13080.4"/>
        <n v="2645.2"/>
        <n v="17385.2"/>
        <n v="19268.849999999999"/>
        <n v="6454.98"/>
        <n v="796.4"/>
        <n v="13259.01"/>
        <n v="5840.64"/>
        <n v="1726.98"/>
        <n v="12622.2"/>
        <n v="7205.55"/>
        <n v="14049.2"/>
        <n v="11532.4"/>
        <n v="8435.57"/>
        <n v="7918"/>
        <n v="7619.94"/>
        <n v="4952.51"/>
        <n v="12179.88"/>
        <n v="4828.04"/>
        <n v="12377.12"/>
        <n v="12259.95"/>
        <n v="7412.75"/>
        <n v="8544"/>
        <n v="5412"/>
        <n v="5446.08"/>
        <n v="3098.58"/>
        <n v="3515.56"/>
        <n v="1468.8"/>
        <n v="6229.3"/>
        <n v="9744.15"/>
        <n v="1874.6"/>
        <n v="7395.65"/>
        <n v="6570.18"/>
        <n v="9410.34"/>
        <n v="4953.18"/>
        <n v="15129.98"/>
        <n v="8377.6"/>
        <n v="5052.96"/>
        <n v="3301.54"/>
        <n v="6137.16"/>
        <n v="1409.04"/>
        <n v="3239.01"/>
        <n v="14789.8"/>
        <n v="9097.32"/>
        <n v="15881.76"/>
        <n v="11479.56"/>
        <n v="4225.1000000000004"/>
        <n v="1645.6"/>
        <n v="13552.64"/>
        <n v="1936.35"/>
        <n v="7559.33"/>
        <n v="4159.09"/>
        <n v="13391.96"/>
        <n v="3430.26"/>
        <n v="7714.85"/>
        <n v="8820.9599999999991"/>
        <n v="1336.4"/>
        <n v="1634.4"/>
        <n v="13418.76"/>
        <n v="9899.3799999999992"/>
        <n v="1927.78"/>
        <n v="1868.18"/>
        <n v="5697.68"/>
        <n v="5967.52"/>
        <n v="8998.5"/>
        <n v="14091.9"/>
        <n v="11013.6"/>
        <n v="7662.87"/>
        <n v="16552.900000000001"/>
        <n v="1358.5"/>
        <n v="16028.07"/>
        <n v="3238.3"/>
        <n v="979.05"/>
        <n v="16691.45"/>
        <n v="1682.64"/>
        <n v="13594.81"/>
        <n v="2651.4"/>
        <n v="6229.8"/>
        <n v="7257.54"/>
        <n v="5335.2"/>
        <n v="9537"/>
        <n v="1920.61"/>
        <n v="884.12"/>
        <n v="13469.7"/>
        <n v="2897.88"/>
        <n v="2686.56"/>
        <n v="5752.44"/>
        <n v="1909.95"/>
        <n v="14861.04"/>
        <n v="4383.72"/>
        <n v="2843.75"/>
        <n v="2002.88"/>
        <n v="6548.55"/>
        <n v="6376.96"/>
        <n v="9348.5499999999993"/>
        <n v="7840.8"/>
        <n v="3670.48"/>
        <n v="18686.849999999999"/>
        <n v="13151.63"/>
        <n v="1864.85"/>
        <n v="2501.0700000000002"/>
        <n v="4466.82"/>
        <n v="11016.81"/>
        <n v="3913.47"/>
        <n v="2105.2800000000002"/>
        <n v="9388.7099999999991"/>
        <n v="2054.4"/>
        <n v="4802.76"/>
        <n v="6153.29"/>
        <n v="4620.5600000000004"/>
        <n v="12000.1"/>
        <n v="15201.84"/>
        <n v="5176.5"/>
        <n v="1520.25"/>
        <n v="1777.86"/>
        <n v="7489.44"/>
        <n v="4471.46"/>
        <n v="12648.93"/>
        <n v="6534.64"/>
        <n v="17283.32"/>
        <n v="5346.83"/>
        <n v="2591.89"/>
        <n v="2361.1799999999998"/>
        <n v="2360.8000000000002"/>
        <n v="7938.09"/>
        <n v="3632.22"/>
        <n v="4829.7"/>
        <n v="9285.73"/>
        <n v="10953.01"/>
        <n v="5954.79"/>
        <n v="12058.2"/>
        <n v="8297.6"/>
        <n v="16531.2"/>
        <n v="6256.56"/>
        <n v="6813.12"/>
        <n v="5058.59"/>
        <n v="4802.13"/>
        <n v="6236.26"/>
        <n v="3205.12"/>
        <n v="6220.5"/>
        <n v="3261.72"/>
        <n v="1264.9000000000001"/>
        <n v="1609.99"/>
        <n v="4967.43"/>
        <n v="2722.55"/>
        <n v="4075.41"/>
        <n v="4950.76"/>
        <n v="5607.32"/>
        <n v="12291.06"/>
        <n v="13879.58"/>
        <n v="16237.62"/>
        <n v="3816.72"/>
        <n v="9161.0400000000009"/>
        <n v="8280.7199999999993"/>
        <n v="1718.75"/>
        <n v="6128.46"/>
        <n v="2624.34"/>
        <n v="4779.5200000000004"/>
        <n v="10036.85"/>
        <n v="9586.59"/>
        <n v="6084.3"/>
        <n v="6553.44"/>
        <n v="525.35"/>
        <n v="3254.64"/>
        <n v="6135.71"/>
        <n v="7460.2"/>
        <n v="18270.419999999998"/>
        <n v="13835.5"/>
        <n v="5251.79"/>
        <n v="9068.43"/>
        <n v="7272.6"/>
        <n v="7299.46"/>
        <n v="1073.04"/>
        <n v="4417.67"/>
        <n v="7755"/>
        <n v="2414.7199999999998"/>
        <n v="1230.46"/>
        <n v="2468.48"/>
        <n v="5883.57"/>
        <n v="1593.78"/>
        <n v="4541.08"/>
        <n v="6774.55"/>
        <n v="16526.7"/>
        <n v="6829.62"/>
        <n v="7651.94"/>
        <n v="10534.2"/>
        <n v="5580.23"/>
        <n v="9054.99"/>
        <n v="7802.82"/>
        <n v="9719.19"/>
        <n v="5591.52"/>
        <n v="654.87"/>
        <n v="13957.27"/>
        <n v="6724.96"/>
        <n v="2965.6"/>
        <n v="4695.28"/>
        <n v="6272.44"/>
        <n v="16774.14"/>
        <n v="8128.76"/>
        <n v="3284.4"/>
        <n v="9022.75"/>
        <n v="5275.53"/>
        <n v="11416.27"/>
        <n v="9110.5"/>
        <n v="14375.36"/>
        <n v="4821.47"/>
        <n v="9749.4599999999991"/>
        <n v="4737.4799999999996"/>
        <n v="4324.8"/>
        <n v="4618.95"/>
        <n v="786.05"/>
        <n v="12177.48"/>
        <n v="3325.2"/>
        <n v="1184.4000000000001"/>
        <n v="4791.3599999999997"/>
        <n v="11452"/>
        <n v="3437.41"/>
        <n v="17642.439999999999"/>
        <n v="6029.1"/>
        <n v="4325.12"/>
        <n v="7191.75"/>
        <n v="1190.7"/>
        <n v="7444.4"/>
        <n v="3498.04"/>
        <n v="2889.95"/>
        <n v="11875.5"/>
        <n v="12013"/>
        <n v="5635.84"/>
        <n v="17841.599999999999"/>
        <n v="8575.2900000000009"/>
        <n v="17232.14"/>
        <n v="3787.08"/>
        <n v="5652.74"/>
        <n v="19068.54"/>
        <n v="11538.14"/>
        <n v="4173.12"/>
        <n v="2041.2"/>
        <n v="10312.74"/>
        <n v="2376.36"/>
        <n v="4585.28"/>
        <n v="2756.44"/>
        <n v="3710.85"/>
        <n v="8597.92"/>
        <n v="6975.54"/>
        <n v="6682"/>
      </sharedItems>
    </cacheField>
  </cacheFields>
  <extLst>
    <ext xmlns:x14="http://schemas.microsoft.com/office/spreadsheetml/2009/9/main" uri="{725AE2AE-9491-48be-B2B4-4EB974FC3084}">
      <x14:pivotCacheDefinition pivotCacheId="6062615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P" refreshedDate="46247.958195370367" createdVersion="8" refreshedVersion="8" minRefreshableVersion="3" recordCount="6001" xr:uid="{4846C7D9-5BB6-4A2A-A0A2-BE875941235B}">
  <cacheSource type="worksheet">
    <worksheetSource ref="A1:H1048576" sheet="cleaned data"/>
  </cacheSource>
  <cacheFields count="8">
    <cacheField name="Campaign" numFmtId="0">
      <sharedItems containsBlank="1" count="5">
        <s v="PY "/>
        <s v="DA "/>
        <s v="BA "/>
        <s v="BA"/>
        <m/>
      </sharedItems>
    </cacheField>
    <cacheField name="Location" numFmtId="0">
      <sharedItems containsBlank="1" count="2">
        <s v="KL"/>
        <m/>
      </sharedItems>
    </cacheField>
    <cacheField name="Campaign type" numFmtId="0">
      <sharedItems containsBlank="1" count="4">
        <s v="Fee included"/>
        <s v="No monitory benefit"/>
        <s v="Hiring"/>
        <m/>
      </sharedItems>
    </cacheField>
    <cacheField name="Total Leads" numFmtId="0">
      <sharedItems containsString="0" containsBlank="1" containsNumber="1" containsInteger="1" minValue="50" maxValue="300"/>
    </cacheField>
    <cacheField name="Sales" numFmtId="0">
      <sharedItems containsString="0" containsBlank="1" containsNumber="1" containsInteger="1" minValue="0" maxValue="30"/>
    </cacheField>
    <cacheField name="Conversion Rate" numFmtId="0">
      <sharedItems containsString="0" containsBlank="1" containsNumber="1" minValue="0" maxValue="10"/>
    </cacheField>
    <cacheField name="Cost per Lead" numFmtId="0">
      <sharedItems containsString="0" containsBlank="1" containsNumber="1" minValue="5.01" maxValue="70"/>
    </cacheField>
    <cacheField name="Total Cost" numFmtId="0">
      <sharedItems containsString="0" containsBlank="1" containsNumber="1" minValue="348.21" maxValue="20861.23"/>
    </cacheField>
  </cacheFields>
  <extLst>
    <ext xmlns:x14="http://schemas.microsoft.com/office/spreadsheetml/2009/9/main" uri="{725AE2AE-9491-48be-B2B4-4EB974FC3084}">
      <x14:pivotCacheDefinition pivotCacheId="1064032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x v="0"/>
    <x v="0"/>
    <x v="0"/>
  </r>
  <r>
    <x v="1"/>
    <x v="0"/>
    <x v="1"/>
    <x v="1"/>
    <x v="1"/>
    <x v="1"/>
    <x v="1"/>
    <x v="1"/>
  </r>
  <r>
    <x v="0"/>
    <x v="0"/>
    <x v="2"/>
    <x v="2"/>
    <x v="2"/>
    <x v="2"/>
    <x v="2"/>
    <x v="2"/>
  </r>
  <r>
    <x v="0"/>
    <x v="0"/>
    <x v="0"/>
    <x v="3"/>
    <x v="3"/>
    <x v="3"/>
    <x v="3"/>
    <x v="3"/>
  </r>
  <r>
    <x v="1"/>
    <x v="0"/>
    <x v="2"/>
    <x v="4"/>
    <x v="3"/>
    <x v="4"/>
    <x v="4"/>
    <x v="4"/>
  </r>
  <r>
    <x v="2"/>
    <x v="0"/>
    <x v="2"/>
    <x v="5"/>
    <x v="4"/>
    <x v="5"/>
    <x v="5"/>
    <x v="5"/>
  </r>
  <r>
    <x v="0"/>
    <x v="0"/>
    <x v="2"/>
    <x v="6"/>
    <x v="3"/>
    <x v="6"/>
    <x v="6"/>
    <x v="6"/>
  </r>
  <r>
    <x v="1"/>
    <x v="0"/>
    <x v="1"/>
    <x v="7"/>
    <x v="5"/>
    <x v="7"/>
    <x v="7"/>
    <x v="7"/>
  </r>
  <r>
    <x v="0"/>
    <x v="0"/>
    <x v="0"/>
    <x v="8"/>
    <x v="0"/>
    <x v="8"/>
    <x v="8"/>
    <x v="8"/>
  </r>
  <r>
    <x v="0"/>
    <x v="0"/>
    <x v="0"/>
    <x v="9"/>
    <x v="6"/>
    <x v="9"/>
    <x v="9"/>
    <x v="9"/>
  </r>
  <r>
    <x v="1"/>
    <x v="0"/>
    <x v="1"/>
    <x v="10"/>
    <x v="2"/>
    <x v="2"/>
    <x v="10"/>
    <x v="10"/>
  </r>
  <r>
    <x v="0"/>
    <x v="0"/>
    <x v="2"/>
    <x v="11"/>
    <x v="7"/>
    <x v="10"/>
    <x v="11"/>
    <x v="11"/>
  </r>
  <r>
    <x v="0"/>
    <x v="0"/>
    <x v="2"/>
    <x v="12"/>
    <x v="8"/>
    <x v="11"/>
    <x v="12"/>
    <x v="12"/>
  </r>
  <r>
    <x v="0"/>
    <x v="0"/>
    <x v="2"/>
    <x v="13"/>
    <x v="9"/>
    <x v="12"/>
    <x v="13"/>
    <x v="13"/>
  </r>
  <r>
    <x v="0"/>
    <x v="0"/>
    <x v="0"/>
    <x v="14"/>
    <x v="10"/>
    <x v="13"/>
    <x v="14"/>
    <x v="14"/>
  </r>
  <r>
    <x v="0"/>
    <x v="0"/>
    <x v="2"/>
    <x v="15"/>
    <x v="11"/>
    <x v="14"/>
    <x v="15"/>
    <x v="15"/>
  </r>
  <r>
    <x v="0"/>
    <x v="0"/>
    <x v="2"/>
    <x v="16"/>
    <x v="10"/>
    <x v="15"/>
    <x v="16"/>
    <x v="16"/>
  </r>
  <r>
    <x v="2"/>
    <x v="0"/>
    <x v="2"/>
    <x v="17"/>
    <x v="12"/>
    <x v="16"/>
    <x v="17"/>
    <x v="17"/>
  </r>
  <r>
    <x v="0"/>
    <x v="0"/>
    <x v="2"/>
    <x v="18"/>
    <x v="1"/>
    <x v="17"/>
    <x v="18"/>
    <x v="18"/>
  </r>
  <r>
    <x v="0"/>
    <x v="0"/>
    <x v="0"/>
    <x v="19"/>
    <x v="7"/>
    <x v="18"/>
    <x v="19"/>
    <x v="19"/>
  </r>
  <r>
    <x v="0"/>
    <x v="0"/>
    <x v="0"/>
    <x v="20"/>
    <x v="0"/>
    <x v="19"/>
    <x v="20"/>
    <x v="20"/>
  </r>
  <r>
    <x v="3"/>
    <x v="0"/>
    <x v="2"/>
    <x v="21"/>
    <x v="6"/>
    <x v="20"/>
    <x v="21"/>
    <x v="21"/>
  </r>
  <r>
    <x v="1"/>
    <x v="0"/>
    <x v="1"/>
    <x v="22"/>
    <x v="5"/>
    <x v="21"/>
    <x v="22"/>
    <x v="22"/>
  </r>
  <r>
    <x v="2"/>
    <x v="0"/>
    <x v="2"/>
    <x v="23"/>
    <x v="0"/>
    <x v="22"/>
    <x v="23"/>
    <x v="23"/>
  </r>
  <r>
    <x v="0"/>
    <x v="0"/>
    <x v="0"/>
    <x v="24"/>
    <x v="1"/>
    <x v="23"/>
    <x v="24"/>
    <x v="24"/>
  </r>
  <r>
    <x v="0"/>
    <x v="0"/>
    <x v="2"/>
    <x v="25"/>
    <x v="3"/>
    <x v="24"/>
    <x v="25"/>
    <x v="25"/>
  </r>
  <r>
    <x v="1"/>
    <x v="0"/>
    <x v="1"/>
    <x v="18"/>
    <x v="2"/>
    <x v="2"/>
    <x v="26"/>
    <x v="26"/>
  </r>
  <r>
    <x v="0"/>
    <x v="0"/>
    <x v="0"/>
    <x v="26"/>
    <x v="7"/>
    <x v="25"/>
    <x v="27"/>
    <x v="27"/>
  </r>
  <r>
    <x v="0"/>
    <x v="0"/>
    <x v="2"/>
    <x v="27"/>
    <x v="10"/>
    <x v="26"/>
    <x v="28"/>
    <x v="28"/>
  </r>
  <r>
    <x v="0"/>
    <x v="0"/>
    <x v="0"/>
    <x v="28"/>
    <x v="0"/>
    <x v="27"/>
    <x v="29"/>
    <x v="29"/>
  </r>
  <r>
    <x v="1"/>
    <x v="0"/>
    <x v="1"/>
    <x v="29"/>
    <x v="2"/>
    <x v="2"/>
    <x v="30"/>
    <x v="30"/>
  </r>
  <r>
    <x v="3"/>
    <x v="0"/>
    <x v="2"/>
    <x v="30"/>
    <x v="11"/>
    <x v="28"/>
    <x v="31"/>
    <x v="31"/>
  </r>
  <r>
    <x v="1"/>
    <x v="0"/>
    <x v="2"/>
    <x v="31"/>
    <x v="4"/>
    <x v="29"/>
    <x v="32"/>
    <x v="32"/>
  </r>
  <r>
    <x v="1"/>
    <x v="0"/>
    <x v="1"/>
    <x v="32"/>
    <x v="13"/>
    <x v="30"/>
    <x v="33"/>
    <x v="33"/>
  </r>
  <r>
    <x v="0"/>
    <x v="0"/>
    <x v="0"/>
    <x v="33"/>
    <x v="6"/>
    <x v="31"/>
    <x v="34"/>
    <x v="34"/>
  </r>
  <r>
    <x v="2"/>
    <x v="0"/>
    <x v="2"/>
    <x v="34"/>
    <x v="2"/>
    <x v="2"/>
    <x v="35"/>
    <x v="35"/>
  </r>
  <r>
    <x v="0"/>
    <x v="0"/>
    <x v="0"/>
    <x v="35"/>
    <x v="14"/>
    <x v="32"/>
    <x v="36"/>
    <x v="36"/>
  </r>
  <r>
    <x v="0"/>
    <x v="0"/>
    <x v="2"/>
    <x v="20"/>
    <x v="3"/>
    <x v="33"/>
    <x v="37"/>
    <x v="37"/>
  </r>
  <r>
    <x v="3"/>
    <x v="0"/>
    <x v="2"/>
    <x v="36"/>
    <x v="15"/>
    <x v="34"/>
    <x v="38"/>
    <x v="38"/>
  </r>
  <r>
    <x v="3"/>
    <x v="0"/>
    <x v="2"/>
    <x v="37"/>
    <x v="2"/>
    <x v="2"/>
    <x v="39"/>
    <x v="39"/>
  </r>
  <r>
    <x v="2"/>
    <x v="0"/>
    <x v="2"/>
    <x v="38"/>
    <x v="11"/>
    <x v="35"/>
    <x v="40"/>
    <x v="40"/>
  </r>
  <r>
    <x v="3"/>
    <x v="0"/>
    <x v="2"/>
    <x v="39"/>
    <x v="5"/>
    <x v="36"/>
    <x v="41"/>
    <x v="41"/>
  </r>
  <r>
    <x v="0"/>
    <x v="0"/>
    <x v="2"/>
    <x v="40"/>
    <x v="0"/>
    <x v="37"/>
    <x v="42"/>
    <x v="42"/>
  </r>
  <r>
    <x v="1"/>
    <x v="0"/>
    <x v="2"/>
    <x v="41"/>
    <x v="11"/>
    <x v="38"/>
    <x v="43"/>
    <x v="43"/>
  </r>
  <r>
    <x v="2"/>
    <x v="0"/>
    <x v="2"/>
    <x v="42"/>
    <x v="16"/>
    <x v="39"/>
    <x v="44"/>
    <x v="44"/>
  </r>
  <r>
    <x v="1"/>
    <x v="0"/>
    <x v="1"/>
    <x v="21"/>
    <x v="11"/>
    <x v="40"/>
    <x v="45"/>
    <x v="45"/>
  </r>
  <r>
    <x v="1"/>
    <x v="0"/>
    <x v="2"/>
    <x v="43"/>
    <x v="17"/>
    <x v="41"/>
    <x v="46"/>
    <x v="46"/>
  </r>
  <r>
    <x v="0"/>
    <x v="0"/>
    <x v="0"/>
    <x v="44"/>
    <x v="5"/>
    <x v="42"/>
    <x v="47"/>
    <x v="47"/>
  </r>
  <r>
    <x v="0"/>
    <x v="0"/>
    <x v="2"/>
    <x v="45"/>
    <x v="11"/>
    <x v="43"/>
    <x v="48"/>
    <x v="48"/>
  </r>
  <r>
    <x v="3"/>
    <x v="0"/>
    <x v="2"/>
    <x v="46"/>
    <x v="10"/>
    <x v="44"/>
    <x v="49"/>
    <x v="49"/>
  </r>
  <r>
    <x v="1"/>
    <x v="0"/>
    <x v="2"/>
    <x v="39"/>
    <x v="11"/>
    <x v="45"/>
    <x v="50"/>
    <x v="50"/>
  </r>
  <r>
    <x v="0"/>
    <x v="0"/>
    <x v="0"/>
    <x v="47"/>
    <x v="6"/>
    <x v="46"/>
    <x v="51"/>
    <x v="51"/>
  </r>
  <r>
    <x v="3"/>
    <x v="0"/>
    <x v="2"/>
    <x v="48"/>
    <x v="18"/>
    <x v="47"/>
    <x v="52"/>
    <x v="52"/>
  </r>
  <r>
    <x v="3"/>
    <x v="0"/>
    <x v="2"/>
    <x v="49"/>
    <x v="2"/>
    <x v="2"/>
    <x v="53"/>
    <x v="53"/>
  </r>
  <r>
    <x v="2"/>
    <x v="0"/>
    <x v="2"/>
    <x v="50"/>
    <x v="19"/>
    <x v="48"/>
    <x v="54"/>
    <x v="54"/>
  </r>
  <r>
    <x v="0"/>
    <x v="0"/>
    <x v="0"/>
    <x v="37"/>
    <x v="6"/>
    <x v="49"/>
    <x v="55"/>
    <x v="55"/>
  </r>
  <r>
    <x v="1"/>
    <x v="0"/>
    <x v="1"/>
    <x v="51"/>
    <x v="20"/>
    <x v="50"/>
    <x v="56"/>
    <x v="56"/>
  </r>
  <r>
    <x v="2"/>
    <x v="0"/>
    <x v="2"/>
    <x v="52"/>
    <x v="7"/>
    <x v="51"/>
    <x v="28"/>
    <x v="57"/>
  </r>
  <r>
    <x v="1"/>
    <x v="0"/>
    <x v="2"/>
    <x v="53"/>
    <x v="16"/>
    <x v="52"/>
    <x v="57"/>
    <x v="58"/>
  </r>
  <r>
    <x v="3"/>
    <x v="0"/>
    <x v="2"/>
    <x v="54"/>
    <x v="13"/>
    <x v="53"/>
    <x v="58"/>
    <x v="59"/>
  </r>
  <r>
    <x v="2"/>
    <x v="0"/>
    <x v="2"/>
    <x v="55"/>
    <x v="2"/>
    <x v="2"/>
    <x v="59"/>
    <x v="60"/>
  </r>
  <r>
    <x v="0"/>
    <x v="0"/>
    <x v="0"/>
    <x v="11"/>
    <x v="20"/>
    <x v="54"/>
    <x v="60"/>
    <x v="61"/>
  </r>
  <r>
    <x v="1"/>
    <x v="0"/>
    <x v="2"/>
    <x v="56"/>
    <x v="8"/>
    <x v="55"/>
    <x v="61"/>
    <x v="62"/>
  </r>
  <r>
    <x v="0"/>
    <x v="0"/>
    <x v="2"/>
    <x v="57"/>
    <x v="17"/>
    <x v="56"/>
    <x v="62"/>
    <x v="63"/>
  </r>
  <r>
    <x v="0"/>
    <x v="0"/>
    <x v="2"/>
    <x v="58"/>
    <x v="13"/>
    <x v="57"/>
    <x v="63"/>
    <x v="64"/>
  </r>
  <r>
    <x v="0"/>
    <x v="0"/>
    <x v="2"/>
    <x v="59"/>
    <x v="12"/>
    <x v="33"/>
    <x v="64"/>
    <x v="65"/>
  </r>
  <r>
    <x v="2"/>
    <x v="0"/>
    <x v="2"/>
    <x v="60"/>
    <x v="0"/>
    <x v="58"/>
    <x v="65"/>
    <x v="66"/>
  </r>
  <r>
    <x v="0"/>
    <x v="0"/>
    <x v="0"/>
    <x v="61"/>
    <x v="10"/>
    <x v="59"/>
    <x v="66"/>
    <x v="67"/>
  </r>
  <r>
    <x v="3"/>
    <x v="0"/>
    <x v="2"/>
    <x v="26"/>
    <x v="6"/>
    <x v="60"/>
    <x v="67"/>
    <x v="68"/>
  </r>
  <r>
    <x v="0"/>
    <x v="0"/>
    <x v="0"/>
    <x v="62"/>
    <x v="5"/>
    <x v="61"/>
    <x v="68"/>
    <x v="69"/>
  </r>
  <r>
    <x v="3"/>
    <x v="0"/>
    <x v="2"/>
    <x v="63"/>
    <x v="4"/>
    <x v="62"/>
    <x v="69"/>
    <x v="70"/>
  </r>
  <r>
    <x v="3"/>
    <x v="0"/>
    <x v="2"/>
    <x v="64"/>
    <x v="2"/>
    <x v="2"/>
    <x v="70"/>
    <x v="71"/>
  </r>
  <r>
    <x v="0"/>
    <x v="0"/>
    <x v="2"/>
    <x v="65"/>
    <x v="2"/>
    <x v="2"/>
    <x v="71"/>
    <x v="72"/>
  </r>
  <r>
    <x v="0"/>
    <x v="0"/>
    <x v="2"/>
    <x v="59"/>
    <x v="3"/>
    <x v="63"/>
    <x v="72"/>
    <x v="73"/>
  </r>
  <r>
    <x v="2"/>
    <x v="0"/>
    <x v="2"/>
    <x v="66"/>
    <x v="2"/>
    <x v="2"/>
    <x v="73"/>
    <x v="74"/>
  </r>
  <r>
    <x v="1"/>
    <x v="0"/>
    <x v="1"/>
    <x v="67"/>
    <x v="21"/>
    <x v="64"/>
    <x v="74"/>
    <x v="75"/>
  </r>
  <r>
    <x v="1"/>
    <x v="0"/>
    <x v="1"/>
    <x v="68"/>
    <x v="22"/>
    <x v="65"/>
    <x v="75"/>
    <x v="76"/>
  </r>
  <r>
    <x v="3"/>
    <x v="0"/>
    <x v="2"/>
    <x v="69"/>
    <x v="12"/>
    <x v="66"/>
    <x v="76"/>
    <x v="77"/>
  </r>
  <r>
    <x v="0"/>
    <x v="0"/>
    <x v="0"/>
    <x v="70"/>
    <x v="16"/>
    <x v="67"/>
    <x v="77"/>
    <x v="78"/>
  </r>
  <r>
    <x v="3"/>
    <x v="0"/>
    <x v="2"/>
    <x v="71"/>
    <x v="20"/>
    <x v="68"/>
    <x v="78"/>
    <x v="79"/>
  </r>
  <r>
    <x v="0"/>
    <x v="0"/>
    <x v="2"/>
    <x v="72"/>
    <x v="17"/>
    <x v="69"/>
    <x v="79"/>
    <x v="80"/>
  </r>
  <r>
    <x v="0"/>
    <x v="0"/>
    <x v="2"/>
    <x v="52"/>
    <x v="8"/>
    <x v="70"/>
    <x v="80"/>
    <x v="81"/>
  </r>
  <r>
    <x v="0"/>
    <x v="0"/>
    <x v="0"/>
    <x v="9"/>
    <x v="7"/>
    <x v="71"/>
    <x v="81"/>
    <x v="82"/>
  </r>
  <r>
    <x v="0"/>
    <x v="0"/>
    <x v="2"/>
    <x v="33"/>
    <x v="13"/>
    <x v="72"/>
    <x v="82"/>
    <x v="83"/>
  </r>
  <r>
    <x v="1"/>
    <x v="0"/>
    <x v="2"/>
    <x v="73"/>
    <x v="11"/>
    <x v="73"/>
    <x v="83"/>
    <x v="84"/>
  </r>
  <r>
    <x v="1"/>
    <x v="0"/>
    <x v="1"/>
    <x v="74"/>
    <x v="17"/>
    <x v="74"/>
    <x v="84"/>
    <x v="85"/>
  </r>
  <r>
    <x v="0"/>
    <x v="0"/>
    <x v="2"/>
    <x v="75"/>
    <x v="16"/>
    <x v="75"/>
    <x v="85"/>
    <x v="86"/>
  </r>
  <r>
    <x v="2"/>
    <x v="0"/>
    <x v="2"/>
    <x v="76"/>
    <x v="23"/>
    <x v="76"/>
    <x v="86"/>
    <x v="87"/>
  </r>
  <r>
    <x v="2"/>
    <x v="0"/>
    <x v="2"/>
    <x v="77"/>
    <x v="24"/>
    <x v="77"/>
    <x v="87"/>
    <x v="88"/>
  </r>
  <r>
    <x v="1"/>
    <x v="0"/>
    <x v="1"/>
    <x v="78"/>
    <x v="7"/>
    <x v="78"/>
    <x v="88"/>
    <x v="89"/>
  </r>
  <r>
    <x v="1"/>
    <x v="0"/>
    <x v="1"/>
    <x v="79"/>
    <x v="5"/>
    <x v="66"/>
    <x v="89"/>
    <x v="90"/>
  </r>
  <r>
    <x v="1"/>
    <x v="0"/>
    <x v="2"/>
    <x v="35"/>
    <x v="25"/>
    <x v="79"/>
    <x v="90"/>
    <x v="91"/>
  </r>
  <r>
    <x v="1"/>
    <x v="0"/>
    <x v="2"/>
    <x v="80"/>
    <x v="15"/>
    <x v="80"/>
    <x v="91"/>
    <x v="92"/>
  </r>
  <r>
    <x v="2"/>
    <x v="0"/>
    <x v="2"/>
    <x v="81"/>
    <x v="6"/>
    <x v="3"/>
    <x v="92"/>
    <x v="93"/>
  </r>
  <r>
    <x v="3"/>
    <x v="0"/>
    <x v="2"/>
    <x v="82"/>
    <x v="0"/>
    <x v="81"/>
    <x v="93"/>
    <x v="94"/>
  </r>
  <r>
    <x v="3"/>
    <x v="0"/>
    <x v="2"/>
    <x v="83"/>
    <x v="18"/>
    <x v="82"/>
    <x v="94"/>
    <x v="95"/>
  </r>
  <r>
    <x v="2"/>
    <x v="0"/>
    <x v="2"/>
    <x v="84"/>
    <x v="6"/>
    <x v="83"/>
    <x v="95"/>
    <x v="96"/>
  </r>
  <r>
    <x v="1"/>
    <x v="0"/>
    <x v="1"/>
    <x v="85"/>
    <x v="19"/>
    <x v="84"/>
    <x v="96"/>
    <x v="97"/>
  </r>
  <r>
    <x v="3"/>
    <x v="0"/>
    <x v="2"/>
    <x v="86"/>
    <x v="7"/>
    <x v="85"/>
    <x v="97"/>
    <x v="98"/>
  </r>
  <r>
    <x v="0"/>
    <x v="0"/>
    <x v="2"/>
    <x v="87"/>
    <x v="2"/>
    <x v="2"/>
    <x v="98"/>
    <x v="99"/>
  </r>
  <r>
    <x v="2"/>
    <x v="0"/>
    <x v="2"/>
    <x v="52"/>
    <x v="11"/>
    <x v="86"/>
    <x v="99"/>
    <x v="100"/>
  </r>
  <r>
    <x v="1"/>
    <x v="0"/>
    <x v="2"/>
    <x v="60"/>
    <x v="2"/>
    <x v="2"/>
    <x v="100"/>
    <x v="101"/>
  </r>
  <r>
    <x v="1"/>
    <x v="0"/>
    <x v="2"/>
    <x v="88"/>
    <x v="6"/>
    <x v="87"/>
    <x v="101"/>
    <x v="102"/>
  </r>
  <r>
    <x v="0"/>
    <x v="0"/>
    <x v="0"/>
    <x v="89"/>
    <x v="15"/>
    <x v="88"/>
    <x v="102"/>
    <x v="103"/>
  </r>
  <r>
    <x v="0"/>
    <x v="0"/>
    <x v="2"/>
    <x v="10"/>
    <x v="1"/>
    <x v="15"/>
    <x v="103"/>
    <x v="104"/>
  </r>
  <r>
    <x v="3"/>
    <x v="0"/>
    <x v="2"/>
    <x v="90"/>
    <x v="10"/>
    <x v="89"/>
    <x v="104"/>
    <x v="105"/>
  </r>
  <r>
    <x v="0"/>
    <x v="0"/>
    <x v="0"/>
    <x v="91"/>
    <x v="7"/>
    <x v="90"/>
    <x v="105"/>
    <x v="106"/>
  </r>
  <r>
    <x v="0"/>
    <x v="0"/>
    <x v="0"/>
    <x v="68"/>
    <x v="24"/>
    <x v="61"/>
    <x v="106"/>
    <x v="107"/>
  </r>
  <r>
    <x v="1"/>
    <x v="0"/>
    <x v="1"/>
    <x v="36"/>
    <x v="26"/>
    <x v="91"/>
    <x v="107"/>
    <x v="108"/>
  </r>
  <r>
    <x v="0"/>
    <x v="0"/>
    <x v="0"/>
    <x v="92"/>
    <x v="22"/>
    <x v="91"/>
    <x v="108"/>
    <x v="109"/>
  </r>
  <r>
    <x v="2"/>
    <x v="0"/>
    <x v="2"/>
    <x v="93"/>
    <x v="22"/>
    <x v="92"/>
    <x v="109"/>
    <x v="110"/>
  </r>
  <r>
    <x v="1"/>
    <x v="0"/>
    <x v="2"/>
    <x v="6"/>
    <x v="11"/>
    <x v="93"/>
    <x v="110"/>
    <x v="111"/>
  </r>
  <r>
    <x v="1"/>
    <x v="0"/>
    <x v="1"/>
    <x v="25"/>
    <x v="2"/>
    <x v="2"/>
    <x v="111"/>
    <x v="112"/>
  </r>
  <r>
    <x v="2"/>
    <x v="0"/>
    <x v="2"/>
    <x v="94"/>
    <x v="2"/>
    <x v="2"/>
    <x v="112"/>
    <x v="113"/>
  </r>
  <r>
    <x v="0"/>
    <x v="0"/>
    <x v="2"/>
    <x v="95"/>
    <x v="6"/>
    <x v="94"/>
    <x v="113"/>
    <x v="114"/>
  </r>
  <r>
    <x v="1"/>
    <x v="0"/>
    <x v="1"/>
    <x v="48"/>
    <x v="12"/>
    <x v="95"/>
    <x v="114"/>
    <x v="115"/>
  </r>
  <r>
    <x v="1"/>
    <x v="0"/>
    <x v="2"/>
    <x v="96"/>
    <x v="3"/>
    <x v="96"/>
    <x v="115"/>
    <x v="116"/>
  </r>
  <r>
    <x v="1"/>
    <x v="0"/>
    <x v="2"/>
    <x v="60"/>
    <x v="6"/>
    <x v="97"/>
    <x v="116"/>
    <x v="117"/>
  </r>
  <r>
    <x v="2"/>
    <x v="0"/>
    <x v="2"/>
    <x v="24"/>
    <x v="9"/>
    <x v="98"/>
    <x v="117"/>
    <x v="118"/>
  </r>
  <r>
    <x v="1"/>
    <x v="0"/>
    <x v="2"/>
    <x v="25"/>
    <x v="13"/>
    <x v="99"/>
    <x v="7"/>
    <x v="119"/>
  </r>
  <r>
    <x v="0"/>
    <x v="0"/>
    <x v="0"/>
    <x v="97"/>
    <x v="10"/>
    <x v="100"/>
    <x v="118"/>
    <x v="120"/>
  </r>
  <r>
    <x v="2"/>
    <x v="0"/>
    <x v="2"/>
    <x v="20"/>
    <x v="15"/>
    <x v="101"/>
    <x v="119"/>
    <x v="121"/>
  </r>
  <r>
    <x v="1"/>
    <x v="0"/>
    <x v="2"/>
    <x v="48"/>
    <x v="1"/>
    <x v="102"/>
    <x v="120"/>
    <x v="122"/>
  </r>
  <r>
    <x v="0"/>
    <x v="0"/>
    <x v="2"/>
    <x v="73"/>
    <x v="7"/>
    <x v="77"/>
    <x v="121"/>
    <x v="123"/>
  </r>
  <r>
    <x v="1"/>
    <x v="0"/>
    <x v="2"/>
    <x v="98"/>
    <x v="14"/>
    <x v="103"/>
    <x v="122"/>
    <x v="124"/>
  </r>
  <r>
    <x v="1"/>
    <x v="0"/>
    <x v="2"/>
    <x v="69"/>
    <x v="10"/>
    <x v="104"/>
    <x v="123"/>
    <x v="125"/>
  </r>
  <r>
    <x v="0"/>
    <x v="0"/>
    <x v="2"/>
    <x v="99"/>
    <x v="27"/>
    <x v="105"/>
    <x v="124"/>
    <x v="126"/>
  </r>
  <r>
    <x v="0"/>
    <x v="0"/>
    <x v="0"/>
    <x v="100"/>
    <x v="11"/>
    <x v="106"/>
    <x v="125"/>
    <x v="127"/>
  </r>
  <r>
    <x v="0"/>
    <x v="0"/>
    <x v="0"/>
    <x v="101"/>
    <x v="10"/>
    <x v="52"/>
    <x v="126"/>
    <x v="128"/>
  </r>
  <r>
    <x v="0"/>
    <x v="0"/>
    <x v="2"/>
    <x v="33"/>
    <x v="0"/>
    <x v="107"/>
    <x v="127"/>
    <x v="129"/>
  </r>
  <r>
    <x v="3"/>
    <x v="0"/>
    <x v="2"/>
    <x v="23"/>
    <x v="8"/>
    <x v="108"/>
    <x v="128"/>
    <x v="130"/>
  </r>
  <r>
    <x v="1"/>
    <x v="0"/>
    <x v="1"/>
    <x v="102"/>
    <x v="25"/>
    <x v="109"/>
    <x v="129"/>
    <x v="131"/>
  </r>
  <r>
    <x v="1"/>
    <x v="0"/>
    <x v="2"/>
    <x v="103"/>
    <x v="3"/>
    <x v="101"/>
    <x v="130"/>
    <x v="132"/>
  </r>
  <r>
    <x v="0"/>
    <x v="0"/>
    <x v="2"/>
    <x v="42"/>
    <x v="16"/>
    <x v="39"/>
    <x v="131"/>
    <x v="133"/>
  </r>
  <r>
    <x v="0"/>
    <x v="0"/>
    <x v="2"/>
    <x v="0"/>
    <x v="6"/>
    <x v="101"/>
    <x v="132"/>
    <x v="134"/>
  </r>
  <r>
    <x v="0"/>
    <x v="0"/>
    <x v="2"/>
    <x v="14"/>
    <x v="10"/>
    <x v="13"/>
    <x v="133"/>
    <x v="135"/>
  </r>
  <r>
    <x v="2"/>
    <x v="0"/>
    <x v="2"/>
    <x v="55"/>
    <x v="10"/>
    <x v="110"/>
    <x v="134"/>
    <x v="136"/>
  </r>
  <r>
    <x v="1"/>
    <x v="0"/>
    <x v="2"/>
    <x v="104"/>
    <x v="16"/>
    <x v="111"/>
    <x v="135"/>
    <x v="137"/>
  </r>
  <r>
    <x v="1"/>
    <x v="0"/>
    <x v="1"/>
    <x v="104"/>
    <x v="2"/>
    <x v="2"/>
    <x v="136"/>
    <x v="138"/>
  </r>
  <r>
    <x v="2"/>
    <x v="0"/>
    <x v="2"/>
    <x v="105"/>
    <x v="6"/>
    <x v="18"/>
    <x v="137"/>
    <x v="139"/>
  </r>
  <r>
    <x v="3"/>
    <x v="0"/>
    <x v="2"/>
    <x v="106"/>
    <x v="7"/>
    <x v="112"/>
    <x v="138"/>
    <x v="140"/>
  </r>
  <r>
    <x v="1"/>
    <x v="0"/>
    <x v="2"/>
    <x v="107"/>
    <x v="10"/>
    <x v="113"/>
    <x v="139"/>
    <x v="141"/>
  </r>
  <r>
    <x v="1"/>
    <x v="0"/>
    <x v="2"/>
    <x v="87"/>
    <x v="4"/>
    <x v="114"/>
    <x v="140"/>
    <x v="142"/>
  </r>
  <r>
    <x v="1"/>
    <x v="0"/>
    <x v="1"/>
    <x v="83"/>
    <x v="11"/>
    <x v="115"/>
    <x v="141"/>
    <x v="143"/>
  </r>
  <r>
    <x v="1"/>
    <x v="0"/>
    <x v="2"/>
    <x v="97"/>
    <x v="11"/>
    <x v="93"/>
    <x v="142"/>
    <x v="144"/>
  </r>
  <r>
    <x v="0"/>
    <x v="0"/>
    <x v="2"/>
    <x v="108"/>
    <x v="5"/>
    <x v="116"/>
    <x v="143"/>
    <x v="145"/>
  </r>
  <r>
    <x v="1"/>
    <x v="0"/>
    <x v="2"/>
    <x v="109"/>
    <x v="9"/>
    <x v="117"/>
    <x v="144"/>
    <x v="146"/>
  </r>
  <r>
    <x v="1"/>
    <x v="0"/>
    <x v="1"/>
    <x v="85"/>
    <x v="11"/>
    <x v="118"/>
    <x v="145"/>
    <x v="147"/>
  </r>
  <r>
    <x v="2"/>
    <x v="0"/>
    <x v="2"/>
    <x v="74"/>
    <x v="7"/>
    <x v="119"/>
    <x v="146"/>
    <x v="148"/>
  </r>
  <r>
    <x v="3"/>
    <x v="0"/>
    <x v="2"/>
    <x v="12"/>
    <x v="22"/>
    <x v="120"/>
    <x v="147"/>
    <x v="149"/>
  </r>
  <r>
    <x v="3"/>
    <x v="0"/>
    <x v="2"/>
    <x v="65"/>
    <x v="22"/>
    <x v="89"/>
    <x v="148"/>
    <x v="150"/>
  </r>
  <r>
    <x v="0"/>
    <x v="0"/>
    <x v="0"/>
    <x v="74"/>
    <x v="7"/>
    <x v="119"/>
    <x v="149"/>
    <x v="151"/>
  </r>
  <r>
    <x v="1"/>
    <x v="0"/>
    <x v="1"/>
    <x v="62"/>
    <x v="13"/>
    <x v="121"/>
    <x v="0"/>
    <x v="152"/>
  </r>
  <r>
    <x v="1"/>
    <x v="0"/>
    <x v="1"/>
    <x v="64"/>
    <x v="8"/>
    <x v="122"/>
    <x v="150"/>
    <x v="153"/>
  </r>
  <r>
    <x v="3"/>
    <x v="0"/>
    <x v="2"/>
    <x v="41"/>
    <x v="0"/>
    <x v="123"/>
    <x v="151"/>
    <x v="154"/>
  </r>
  <r>
    <x v="1"/>
    <x v="0"/>
    <x v="1"/>
    <x v="110"/>
    <x v="6"/>
    <x v="124"/>
    <x v="152"/>
    <x v="155"/>
  </r>
  <r>
    <x v="1"/>
    <x v="0"/>
    <x v="2"/>
    <x v="17"/>
    <x v="20"/>
    <x v="125"/>
    <x v="153"/>
    <x v="156"/>
  </r>
  <r>
    <x v="3"/>
    <x v="0"/>
    <x v="2"/>
    <x v="10"/>
    <x v="5"/>
    <x v="126"/>
    <x v="154"/>
    <x v="157"/>
  </r>
  <r>
    <x v="3"/>
    <x v="0"/>
    <x v="2"/>
    <x v="111"/>
    <x v="25"/>
    <x v="127"/>
    <x v="155"/>
    <x v="158"/>
  </r>
  <r>
    <x v="3"/>
    <x v="0"/>
    <x v="2"/>
    <x v="109"/>
    <x v="2"/>
    <x v="2"/>
    <x v="156"/>
    <x v="159"/>
  </r>
  <r>
    <x v="1"/>
    <x v="0"/>
    <x v="2"/>
    <x v="112"/>
    <x v="18"/>
    <x v="128"/>
    <x v="157"/>
    <x v="160"/>
  </r>
  <r>
    <x v="0"/>
    <x v="0"/>
    <x v="0"/>
    <x v="26"/>
    <x v="6"/>
    <x v="60"/>
    <x v="158"/>
    <x v="161"/>
  </r>
  <r>
    <x v="1"/>
    <x v="0"/>
    <x v="2"/>
    <x v="48"/>
    <x v="15"/>
    <x v="129"/>
    <x v="159"/>
    <x v="162"/>
  </r>
  <r>
    <x v="0"/>
    <x v="0"/>
    <x v="0"/>
    <x v="113"/>
    <x v="17"/>
    <x v="130"/>
    <x v="160"/>
    <x v="163"/>
  </r>
  <r>
    <x v="1"/>
    <x v="0"/>
    <x v="1"/>
    <x v="47"/>
    <x v="22"/>
    <x v="131"/>
    <x v="161"/>
    <x v="164"/>
  </r>
  <r>
    <x v="0"/>
    <x v="0"/>
    <x v="2"/>
    <x v="114"/>
    <x v="5"/>
    <x v="132"/>
    <x v="162"/>
    <x v="165"/>
  </r>
  <r>
    <x v="3"/>
    <x v="0"/>
    <x v="2"/>
    <x v="33"/>
    <x v="10"/>
    <x v="133"/>
    <x v="163"/>
    <x v="166"/>
  </r>
  <r>
    <x v="1"/>
    <x v="0"/>
    <x v="1"/>
    <x v="115"/>
    <x v="0"/>
    <x v="134"/>
    <x v="164"/>
    <x v="167"/>
  </r>
  <r>
    <x v="2"/>
    <x v="0"/>
    <x v="2"/>
    <x v="35"/>
    <x v="25"/>
    <x v="79"/>
    <x v="165"/>
    <x v="168"/>
  </r>
  <r>
    <x v="1"/>
    <x v="0"/>
    <x v="1"/>
    <x v="28"/>
    <x v="12"/>
    <x v="135"/>
    <x v="166"/>
    <x v="169"/>
  </r>
  <r>
    <x v="0"/>
    <x v="0"/>
    <x v="0"/>
    <x v="8"/>
    <x v="11"/>
    <x v="136"/>
    <x v="167"/>
    <x v="170"/>
  </r>
  <r>
    <x v="0"/>
    <x v="0"/>
    <x v="2"/>
    <x v="53"/>
    <x v="8"/>
    <x v="137"/>
    <x v="168"/>
    <x v="171"/>
  </r>
  <r>
    <x v="1"/>
    <x v="0"/>
    <x v="2"/>
    <x v="30"/>
    <x v="10"/>
    <x v="138"/>
    <x v="169"/>
    <x v="172"/>
  </r>
  <r>
    <x v="3"/>
    <x v="0"/>
    <x v="2"/>
    <x v="116"/>
    <x v="17"/>
    <x v="139"/>
    <x v="170"/>
    <x v="173"/>
  </r>
  <r>
    <x v="1"/>
    <x v="0"/>
    <x v="1"/>
    <x v="73"/>
    <x v="10"/>
    <x v="140"/>
    <x v="171"/>
    <x v="174"/>
  </r>
  <r>
    <x v="0"/>
    <x v="0"/>
    <x v="2"/>
    <x v="117"/>
    <x v="13"/>
    <x v="141"/>
    <x v="172"/>
    <x v="175"/>
  </r>
  <r>
    <x v="3"/>
    <x v="0"/>
    <x v="2"/>
    <x v="118"/>
    <x v="25"/>
    <x v="142"/>
    <x v="173"/>
    <x v="176"/>
  </r>
  <r>
    <x v="1"/>
    <x v="0"/>
    <x v="2"/>
    <x v="46"/>
    <x v="20"/>
    <x v="143"/>
    <x v="174"/>
    <x v="177"/>
  </r>
  <r>
    <x v="3"/>
    <x v="0"/>
    <x v="2"/>
    <x v="119"/>
    <x v="22"/>
    <x v="144"/>
    <x v="175"/>
    <x v="178"/>
  </r>
  <r>
    <x v="1"/>
    <x v="0"/>
    <x v="2"/>
    <x v="120"/>
    <x v="0"/>
    <x v="111"/>
    <x v="176"/>
    <x v="179"/>
  </r>
  <r>
    <x v="3"/>
    <x v="0"/>
    <x v="2"/>
    <x v="121"/>
    <x v="25"/>
    <x v="145"/>
    <x v="177"/>
    <x v="180"/>
  </r>
  <r>
    <x v="0"/>
    <x v="0"/>
    <x v="0"/>
    <x v="122"/>
    <x v="1"/>
    <x v="146"/>
    <x v="178"/>
    <x v="181"/>
  </r>
  <r>
    <x v="2"/>
    <x v="0"/>
    <x v="2"/>
    <x v="35"/>
    <x v="5"/>
    <x v="147"/>
    <x v="179"/>
    <x v="182"/>
  </r>
  <r>
    <x v="0"/>
    <x v="0"/>
    <x v="0"/>
    <x v="123"/>
    <x v="11"/>
    <x v="148"/>
    <x v="180"/>
    <x v="183"/>
  </r>
  <r>
    <x v="0"/>
    <x v="0"/>
    <x v="2"/>
    <x v="77"/>
    <x v="6"/>
    <x v="73"/>
    <x v="181"/>
    <x v="184"/>
  </r>
  <r>
    <x v="1"/>
    <x v="0"/>
    <x v="1"/>
    <x v="124"/>
    <x v="11"/>
    <x v="149"/>
    <x v="182"/>
    <x v="185"/>
  </r>
  <r>
    <x v="0"/>
    <x v="0"/>
    <x v="2"/>
    <x v="115"/>
    <x v="22"/>
    <x v="150"/>
    <x v="183"/>
    <x v="186"/>
  </r>
  <r>
    <x v="3"/>
    <x v="0"/>
    <x v="2"/>
    <x v="125"/>
    <x v="16"/>
    <x v="151"/>
    <x v="184"/>
    <x v="187"/>
  </r>
  <r>
    <x v="1"/>
    <x v="0"/>
    <x v="2"/>
    <x v="123"/>
    <x v="11"/>
    <x v="148"/>
    <x v="185"/>
    <x v="188"/>
  </r>
  <r>
    <x v="3"/>
    <x v="0"/>
    <x v="2"/>
    <x v="60"/>
    <x v="13"/>
    <x v="152"/>
    <x v="186"/>
    <x v="189"/>
  </r>
  <r>
    <x v="1"/>
    <x v="0"/>
    <x v="1"/>
    <x v="126"/>
    <x v="14"/>
    <x v="153"/>
    <x v="187"/>
    <x v="190"/>
  </r>
  <r>
    <x v="2"/>
    <x v="0"/>
    <x v="2"/>
    <x v="76"/>
    <x v="23"/>
    <x v="76"/>
    <x v="188"/>
    <x v="191"/>
  </r>
  <r>
    <x v="0"/>
    <x v="0"/>
    <x v="2"/>
    <x v="67"/>
    <x v="9"/>
    <x v="154"/>
    <x v="189"/>
    <x v="192"/>
  </r>
  <r>
    <x v="2"/>
    <x v="0"/>
    <x v="2"/>
    <x v="0"/>
    <x v="2"/>
    <x v="2"/>
    <x v="190"/>
    <x v="193"/>
  </r>
  <r>
    <x v="2"/>
    <x v="0"/>
    <x v="2"/>
    <x v="127"/>
    <x v="17"/>
    <x v="155"/>
    <x v="191"/>
    <x v="194"/>
  </r>
  <r>
    <x v="2"/>
    <x v="0"/>
    <x v="2"/>
    <x v="128"/>
    <x v="1"/>
    <x v="61"/>
    <x v="192"/>
    <x v="195"/>
  </r>
  <r>
    <x v="3"/>
    <x v="0"/>
    <x v="2"/>
    <x v="129"/>
    <x v="18"/>
    <x v="156"/>
    <x v="193"/>
    <x v="196"/>
  </r>
  <r>
    <x v="2"/>
    <x v="0"/>
    <x v="2"/>
    <x v="91"/>
    <x v="15"/>
    <x v="157"/>
    <x v="194"/>
    <x v="197"/>
  </r>
  <r>
    <x v="1"/>
    <x v="0"/>
    <x v="1"/>
    <x v="130"/>
    <x v="7"/>
    <x v="158"/>
    <x v="82"/>
    <x v="198"/>
  </r>
  <r>
    <x v="3"/>
    <x v="0"/>
    <x v="2"/>
    <x v="78"/>
    <x v="5"/>
    <x v="159"/>
    <x v="195"/>
    <x v="199"/>
  </r>
  <r>
    <x v="3"/>
    <x v="0"/>
    <x v="2"/>
    <x v="120"/>
    <x v="5"/>
    <x v="160"/>
    <x v="196"/>
    <x v="200"/>
  </r>
  <r>
    <x v="1"/>
    <x v="0"/>
    <x v="1"/>
    <x v="47"/>
    <x v="24"/>
    <x v="161"/>
    <x v="197"/>
    <x v="201"/>
  </r>
  <r>
    <x v="1"/>
    <x v="0"/>
    <x v="1"/>
    <x v="131"/>
    <x v="16"/>
    <x v="162"/>
    <x v="198"/>
    <x v="202"/>
  </r>
  <r>
    <x v="2"/>
    <x v="0"/>
    <x v="2"/>
    <x v="16"/>
    <x v="17"/>
    <x v="163"/>
    <x v="199"/>
    <x v="203"/>
  </r>
  <r>
    <x v="2"/>
    <x v="0"/>
    <x v="2"/>
    <x v="97"/>
    <x v="0"/>
    <x v="164"/>
    <x v="200"/>
    <x v="204"/>
  </r>
  <r>
    <x v="1"/>
    <x v="0"/>
    <x v="2"/>
    <x v="28"/>
    <x v="2"/>
    <x v="2"/>
    <x v="201"/>
    <x v="205"/>
  </r>
  <r>
    <x v="0"/>
    <x v="0"/>
    <x v="2"/>
    <x v="132"/>
    <x v="4"/>
    <x v="165"/>
    <x v="202"/>
    <x v="206"/>
  </r>
  <r>
    <x v="3"/>
    <x v="0"/>
    <x v="2"/>
    <x v="25"/>
    <x v="11"/>
    <x v="166"/>
    <x v="203"/>
    <x v="207"/>
  </r>
  <r>
    <x v="2"/>
    <x v="0"/>
    <x v="2"/>
    <x v="133"/>
    <x v="2"/>
    <x v="2"/>
    <x v="204"/>
    <x v="208"/>
  </r>
  <r>
    <x v="0"/>
    <x v="0"/>
    <x v="2"/>
    <x v="33"/>
    <x v="13"/>
    <x v="72"/>
    <x v="205"/>
    <x v="209"/>
  </r>
  <r>
    <x v="0"/>
    <x v="0"/>
    <x v="0"/>
    <x v="113"/>
    <x v="0"/>
    <x v="167"/>
    <x v="206"/>
    <x v="210"/>
  </r>
  <r>
    <x v="1"/>
    <x v="0"/>
    <x v="1"/>
    <x v="55"/>
    <x v="2"/>
    <x v="2"/>
    <x v="142"/>
    <x v="211"/>
  </r>
  <r>
    <x v="0"/>
    <x v="0"/>
    <x v="2"/>
    <x v="134"/>
    <x v="5"/>
    <x v="168"/>
    <x v="207"/>
    <x v="212"/>
  </r>
  <r>
    <x v="1"/>
    <x v="0"/>
    <x v="2"/>
    <x v="135"/>
    <x v="15"/>
    <x v="169"/>
    <x v="208"/>
    <x v="213"/>
  </r>
  <r>
    <x v="3"/>
    <x v="0"/>
    <x v="2"/>
    <x v="124"/>
    <x v="11"/>
    <x v="149"/>
    <x v="209"/>
    <x v="214"/>
  </r>
  <r>
    <x v="2"/>
    <x v="0"/>
    <x v="2"/>
    <x v="94"/>
    <x v="0"/>
    <x v="26"/>
    <x v="210"/>
    <x v="215"/>
  </r>
  <r>
    <x v="0"/>
    <x v="0"/>
    <x v="2"/>
    <x v="57"/>
    <x v="7"/>
    <x v="170"/>
    <x v="211"/>
    <x v="216"/>
  </r>
  <r>
    <x v="1"/>
    <x v="0"/>
    <x v="1"/>
    <x v="18"/>
    <x v="11"/>
    <x v="171"/>
    <x v="212"/>
    <x v="217"/>
  </r>
  <r>
    <x v="0"/>
    <x v="0"/>
    <x v="2"/>
    <x v="136"/>
    <x v="0"/>
    <x v="172"/>
    <x v="213"/>
    <x v="218"/>
  </r>
  <r>
    <x v="0"/>
    <x v="0"/>
    <x v="2"/>
    <x v="71"/>
    <x v="8"/>
    <x v="173"/>
    <x v="214"/>
    <x v="219"/>
  </r>
  <r>
    <x v="3"/>
    <x v="0"/>
    <x v="2"/>
    <x v="137"/>
    <x v="1"/>
    <x v="174"/>
    <x v="215"/>
    <x v="220"/>
  </r>
  <r>
    <x v="2"/>
    <x v="0"/>
    <x v="2"/>
    <x v="138"/>
    <x v="24"/>
    <x v="156"/>
    <x v="216"/>
    <x v="221"/>
  </r>
  <r>
    <x v="0"/>
    <x v="0"/>
    <x v="2"/>
    <x v="131"/>
    <x v="22"/>
    <x v="175"/>
    <x v="217"/>
    <x v="222"/>
  </r>
  <r>
    <x v="0"/>
    <x v="0"/>
    <x v="0"/>
    <x v="123"/>
    <x v="7"/>
    <x v="114"/>
    <x v="218"/>
    <x v="223"/>
  </r>
  <r>
    <x v="3"/>
    <x v="0"/>
    <x v="2"/>
    <x v="139"/>
    <x v="23"/>
    <x v="176"/>
    <x v="219"/>
    <x v="224"/>
  </r>
  <r>
    <x v="1"/>
    <x v="0"/>
    <x v="2"/>
    <x v="140"/>
    <x v="1"/>
    <x v="177"/>
    <x v="220"/>
    <x v="225"/>
  </r>
  <r>
    <x v="1"/>
    <x v="0"/>
    <x v="2"/>
    <x v="141"/>
    <x v="13"/>
    <x v="178"/>
    <x v="221"/>
    <x v="226"/>
  </r>
  <r>
    <x v="2"/>
    <x v="0"/>
    <x v="2"/>
    <x v="142"/>
    <x v="7"/>
    <x v="179"/>
    <x v="222"/>
    <x v="227"/>
  </r>
  <r>
    <x v="3"/>
    <x v="0"/>
    <x v="2"/>
    <x v="143"/>
    <x v="14"/>
    <x v="89"/>
    <x v="223"/>
    <x v="228"/>
  </r>
  <r>
    <x v="1"/>
    <x v="0"/>
    <x v="2"/>
    <x v="85"/>
    <x v="7"/>
    <x v="180"/>
    <x v="224"/>
    <x v="229"/>
  </r>
  <r>
    <x v="1"/>
    <x v="0"/>
    <x v="2"/>
    <x v="139"/>
    <x v="3"/>
    <x v="164"/>
    <x v="225"/>
    <x v="230"/>
  </r>
  <r>
    <x v="2"/>
    <x v="0"/>
    <x v="2"/>
    <x v="144"/>
    <x v="6"/>
    <x v="181"/>
    <x v="226"/>
    <x v="231"/>
  </r>
  <r>
    <x v="1"/>
    <x v="0"/>
    <x v="2"/>
    <x v="43"/>
    <x v="11"/>
    <x v="182"/>
    <x v="227"/>
    <x v="232"/>
  </r>
  <r>
    <x v="3"/>
    <x v="0"/>
    <x v="2"/>
    <x v="145"/>
    <x v="12"/>
    <x v="113"/>
    <x v="180"/>
    <x v="233"/>
  </r>
  <r>
    <x v="3"/>
    <x v="0"/>
    <x v="2"/>
    <x v="135"/>
    <x v="24"/>
    <x v="183"/>
    <x v="228"/>
    <x v="234"/>
  </r>
  <r>
    <x v="0"/>
    <x v="0"/>
    <x v="2"/>
    <x v="146"/>
    <x v="8"/>
    <x v="184"/>
    <x v="229"/>
    <x v="235"/>
  </r>
  <r>
    <x v="2"/>
    <x v="0"/>
    <x v="2"/>
    <x v="147"/>
    <x v="2"/>
    <x v="2"/>
    <x v="230"/>
    <x v="236"/>
  </r>
  <r>
    <x v="0"/>
    <x v="0"/>
    <x v="2"/>
    <x v="148"/>
    <x v="2"/>
    <x v="2"/>
    <x v="231"/>
    <x v="237"/>
  </r>
  <r>
    <x v="1"/>
    <x v="0"/>
    <x v="1"/>
    <x v="149"/>
    <x v="15"/>
    <x v="185"/>
    <x v="232"/>
    <x v="238"/>
  </r>
  <r>
    <x v="3"/>
    <x v="0"/>
    <x v="2"/>
    <x v="124"/>
    <x v="15"/>
    <x v="68"/>
    <x v="233"/>
    <x v="239"/>
  </r>
  <r>
    <x v="0"/>
    <x v="0"/>
    <x v="2"/>
    <x v="150"/>
    <x v="16"/>
    <x v="186"/>
    <x v="234"/>
    <x v="240"/>
  </r>
  <r>
    <x v="0"/>
    <x v="0"/>
    <x v="0"/>
    <x v="98"/>
    <x v="5"/>
    <x v="187"/>
    <x v="235"/>
    <x v="241"/>
  </r>
  <r>
    <x v="1"/>
    <x v="0"/>
    <x v="1"/>
    <x v="1"/>
    <x v="3"/>
    <x v="188"/>
    <x v="236"/>
    <x v="242"/>
  </r>
  <r>
    <x v="1"/>
    <x v="0"/>
    <x v="2"/>
    <x v="128"/>
    <x v="11"/>
    <x v="58"/>
    <x v="237"/>
    <x v="243"/>
  </r>
  <r>
    <x v="3"/>
    <x v="0"/>
    <x v="2"/>
    <x v="31"/>
    <x v="19"/>
    <x v="0"/>
    <x v="238"/>
    <x v="244"/>
  </r>
  <r>
    <x v="1"/>
    <x v="0"/>
    <x v="1"/>
    <x v="151"/>
    <x v="24"/>
    <x v="189"/>
    <x v="239"/>
    <x v="245"/>
  </r>
  <r>
    <x v="2"/>
    <x v="0"/>
    <x v="2"/>
    <x v="140"/>
    <x v="0"/>
    <x v="34"/>
    <x v="240"/>
    <x v="246"/>
  </r>
  <r>
    <x v="1"/>
    <x v="0"/>
    <x v="2"/>
    <x v="152"/>
    <x v="10"/>
    <x v="190"/>
    <x v="241"/>
    <x v="247"/>
  </r>
  <r>
    <x v="3"/>
    <x v="0"/>
    <x v="2"/>
    <x v="69"/>
    <x v="13"/>
    <x v="191"/>
    <x v="242"/>
    <x v="248"/>
  </r>
  <r>
    <x v="1"/>
    <x v="0"/>
    <x v="1"/>
    <x v="153"/>
    <x v="16"/>
    <x v="133"/>
    <x v="243"/>
    <x v="249"/>
  </r>
  <r>
    <x v="3"/>
    <x v="0"/>
    <x v="2"/>
    <x v="150"/>
    <x v="7"/>
    <x v="61"/>
    <x v="244"/>
    <x v="250"/>
  </r>
  <r>
    <x v="2"/>
    <x v="0"/>
    <x v="2"/>
    <x v="13"/>
    <x v="22"/>
    <x v="192"/>
    <x v="245"/>
    <x v="251"/>
  </r>
  <r>
    <x v="2"/>
    <x v="0"/>
    <x v="2"/>
    <x v="154"/>
    <x v="14"/>
    <x v="193"/>
    <x v="246"/>
    <x v="252"/>
  </r>
  <r>
    <x v="0"/>
    <x v="0"/>
    <x v="0"/>
    <x v="98"/>
    <x v="9"/>
    <x v="194"/>
    <x v="247"/>
    <x v="253"/>
  </r>
  <r>
    <x v="0"/>
    <x v="0"/>
    <x v="2"/>
    <x v="155"/>
    <x v="14"/>
    <x v="138"/>
    <x v="248"/>
    <x v="254"/>
  </r>
  <r>
    <x v="2"/>
    <x v="0"/>
    <x v="2"/>
    <x v="156"/>
    <x v="15"/>
    <x v="195"/>
    <x v="249"/>
    <x v="255"/>
  </r>
  <r>
    <x v="2"/>
    <x v="0"/>
    <x v="2"/>
    <x v="39"/>
    <x v="6"/>
    <x v="196"/>
    <x v="250"/>
    <x v="256"/>
  </r>
  <r>
    <x v="1"/>
    <x v="0"/>
    <x v="2"/>
    <x v="54"/>
    <x v="17"/>
    <x v="197"/>
    <x v="251"/>
    <x v="257"/>
  </r>
  <r>
    <x v="3"/>
    <x v="0"/>
    <x v="2"/>
    <x v="32"/>
    <x v="11"/>
    <x v="60"/>
    <x v="252"/>
    <x v="258"/>
  </r>
  <r>
    <x v="1"/>
    <x v="0"/>
    <x v="2"/>
    <x v="14"/>
    <x v="10"/>
    <x v="13"/>
    <x v="253"/>
    <x v="259"/>
  </r>
  <r>
    <x v="2"/>
    <x v="0"/>
    <x v="2"/>
    <x v="96"/>
    <x v="18"/>
    <x v="24"/>
    <x v="254"/>
    <x v="260"/>
  </r>
  <r>
    <x v="1"/>
    <x v="0"/>
    <x v="1"/>
    <x v="157"/>
    <x v="28"/>
    <x v="198"/>
    <x v="255"/>
    <x v="261"/>
  </r>
  <r>
    <x v="3"/>
    <x v="0"/>
    <x v="2"/>
    <x v="24"/>
    <x v="5"/>
    <x v="106"/>
    <x v="256"/>
    <x v="262"/>
  </r>
  <r>
    <x v="2"/>
    <x v="0"/>
    <x v="2"/>
    <x v="59"/>
    <x v="9"/>
    <x v="199"/>
    <x v="257"/>
    <x v="263"/>
  </r>
  <r>
    <x v="3"/>
    <x v="0"/>
    <x v="2"/>
    <x v="158"/>
    <x v="11"/>
    <x v="146"/>
    <x v="258"/>
    <x v="264"/>
  </r>
  <r>
    <x v="0"/>
    <x v="0"/>
    <x v="0"/>
    <x v="86"/>
    <x v="10"/>
    <x v="32"/>
    <x v="259"/>
    <x v="265"/>
  </r>
  <r>
    <x v="2"/>
    <x v="0"/>
    <x v="2"/>
    <x v="59"/>
    <x v="3"/>
    <x v="63"/>
    <x v="260"/>
    <x v="266"/>
  </r>
  <r>
    <x v="1"/>
    <x v="0"/>
    <x v="2"/>
    <x v="159"/>
    <x v="15"/>
    <x v="200"/>
    <x v="261"/>
    <x v="267"/>
  </r>
  <r>
    <x v="1"/>
    <x v="0"/>
    <x v="1"/>
    <x v="160"/>
    <x v="7"/>
    <x v="201"/>
    <x v="262"/>
    <x v="268"/>
  </r>
  <r>
    <x v="0"/>
    <x v="0"/>
    <x v="0"/>
    <x v="1"/>
    <x v="15"/>
    <x v="202"/>
    <x v="263"/>
    <x v="269"/>
  </r>
  <r>
    <x v="1"/>
    <x v="0"/>
    <x v="2"/>
    <x v="121"/>
    <x v="16"/>
    <x v="203"/>
    <x v="264"/>
    <x v="270"/>
  </r>
  <r>
    <x v="0"/>
    <x v="0"/>
    <x v="0"/>
    <x v="161"/>
    <x v="2"/>
    <x v="2"/>
    <x v="265"/>
    <x v="271"/>
  </r>
  <r>
    <x v="1"/>
    <x v="0"/>
    <x v="2"/>
    <x v="162"/>
    <x v="3"/>
    <x v="204"/>
    <x v="266"/>
    <x v="272"/>
  </r>
  <r>
    <x v="0"/>
    <x v="0"/>
    <x v="2"/>
    <x v="8"/>
    <x v="10"/>
    <x v="205"/>
    <x v="267"/>
    <x v="273"/>
  </r>
  <r>
    <x v="1"/>
    <x v="0"/>
    <x v="1"/>
    <x v="163"/>
    <x v="11"/>
    <x v="206"/>
    <x v="268"/>
    <x v="274"/>
  </r>
  <r>
    <x v="1"/>
    <x v="0"/>
    <x v="1"/>
    <x v="164"/>
    <x v="13"/>
    <x v="207"/>
    <x v="269"/>
    <x v="275"/>
  </r>
  <r>
    <x v="2"/>
    <x v="0"/>
    <x v="2"/>
    <x v="68"/>
    <x v="19"/>
    <x v="208"/>
    <x v="270"/>
    <x v="276"/>
  </r>
  <r>
    <x v="3"/>
    <x v="0"/>
    <x v="2"/>
    <x v="165"/>
    <x v="5"/>
    <x v="209"/>
    <x v="271"/>
    <x v="277"/>
  </r>
  <r>
    <x v="1"/>
    <x v="0"/>
    <x v="1"/>
    <x v="3"/>
    <x v="13"/>
    <x v="210"/>
    <x v="272"/>
    <x v="278"/>
  </r>
  <r>
    <x v="1"/>
    <x v="0"/>
    <x v="1"/>
    <x v="136"/>
    <x v="17"/>
    <x v="211"/>
    <x v="273"/>
    <x v="279"/>
  </r>
  <r>
    <x v="0"/>
    <x v="0"/>
    <x v="2"/>
    <x v="141"/>
    <x v="24"/>
    <x v="212"/>
    <x v="274"/>
    <x v="280"/>
  </r>
  <r>
    <x v="1"/>
    <x v="0"/>
    <x v="2"/>
    <x v="0"/>
    <x v="11"/>
    <x v="213"/>
    <x v="275"/>
    <x v="281"/>
  </r>
  <r>
    <x v="0"/>
    <x v="0"/>
    <x v="0"/>
    <x v="166"/>
    <x v="2"/>
    <x v="2"/>
    <x v="276"/>
    <x v="282"/>
  </r>
  <r>
    <x v="2"/>
    <x v="0"/>
    <x v="2"/>
    <x v="167"/>
    <x v="2"/>
    <x v="2"/>
    <x v="277"/>
    <x v="283"/>
  </r>
  <r>
    <x v="1"/>
    <x v="0"/>
    <x v="1"/>
    <x v="168"/>
    <x v="20"/>
    <x v="158"/>
    <x v="278"/>
    <x v="284"/>
  </r>
  <r>
    <x v="2"/>
    <x v="0"/>
    <x v="2"/>
    <x v="169"/>
    <x v="1"/>
    <x v="214"/>
    <x v="279"/>
    <x v="285"/>
  </r>
  <r>
    <x v="0"/>
    <x v="0"/>
    <x v="0"/>
    <x v="96"/>
    <x v="4"/>
    <x v="215"/>
    <x v="280"/>
    <x v="286"/>
  </r>
  <r>
    <x v="1"/>
    <x v="0"/>
    <x v="2"/>
    <x v="116"/>
    <x v="4"/>
    <x v="216"/>
    <x v="281"/>
    <x v="287"/>
  </r>
  <r>
    <x v="2"/>
    <x v="0"/>
    <x v="2"/>
    <x v="10"/>
    <x v="1"/>
    <x v="15"/>
    <x v="282"/>
    <x v="288"/>
  </r>
  <r>
    <x v="1"/>
    <x v="0"/>
    <x v="2"/>
    <x v="0"/>
    <x v="5"/>
    <x v="142"/>
    <x v="283"/>
    <x v="289"/>
  </r>
  <r>
    <x v="2"/>
    <x v="0"/>
    <x v="2"/>
    <x v="170"/>
    <x v="6"/>
    <x v="82"/>
    <x v="284"/>
    <x v="53"/>
  </r>
  <r>
    <x v="0"/>
    <x v="0"/>
    <x v="0"/>
    <x v="136"/>
    <x v="10"/>
    <x v="164"/>
    <x v="285"/>
    <x v="290"/>
  </r>
  <r>
    <x v="1"/>
    <x v="0"/>
    <x v="1"/>
    <x v="26"/>
    <x v="16"/>
    <x v="217"/>
    <x v="286"/>
    <x v="291"/>
  </r>
  <r>
    <x v="0"/>
    <x v="0"/>
    <x v="2"/>
    <x v="125"/>
    <x v="22"/>
    <x v="218"/>
    <x v="287"/>
    <x v="292"/>
  </r>
  <r>
    <x v="1"/>
    <x v="0"/>
    <x v="1"/>
    <x v="63"/>
    <x v="20"/>
    <x v="219"/>
    <x v="288"/>
    <x v="293"/>
  </r>
  <r>
    <x v="0"/>
    <x v="0"/>
    <x v="0"/>
    <x v="15"/>
    <x v="6"/>
    <x v="119"/>
    <x v="289"/>
    <x v="294"/>
  </r>
  <r>
    <x v="3"/>
    <x v="0"/>
    <x v="2"/>
    <x v="29"/>
    <x v="2"/>
    <x v="2"/>
    <x v="290"/>
    <x v="295"/>
  </r>
  <r>
    <x v="2"/>
    <x v="0"/>
    <x v="2"/>
    <x v="171"/>
    <x v="20"/>
    <x v="220"/>
    <x v="291"/>
    <x v="296"/>
  </r>
  <r>
    <x v="0"/>
    <x v="0"/>
    <x v="0"/>
    <x v="172"/>
    <x v="10"/>
    <x v="221"/>
    <x v="292"/>
    <x v="297"/>
  </r>
  <r>
    <x v="0"/>
    <x v="0"/>
    <x v="2"/>
    <x v="151"/>
    <x v="10"/>
    <x v="130"/>
    <x v="293"/>
    <x v="298"/>
  </r>
  <r>
    <x v="0"/>
    <x v="0"/>
    <x v="2"/>
    <x v="173"/>
    <x v="13"/>
    <x v="222"/>
    <x v="294"/>
    <x v="299"/>
  </r>
  <r>
    <x v="1"/>
    <x v="0"/>
    <x v="2"/>
    <x v="87"/>
    <x v="15"/>
    <x v="223"/>
    <x v="295"/>
    <x v="300"/>
  </r>
  <r>
    <x v="1"/>
    <x v="0"/>
    <x v="1"/>
    <x v="66"/>
    <x v="6"/>
    <x v="224"/>
    <x v="296"/>
    <x v="301"/>
  </r>
  <r>
    <x v="1"/>
    <x v="0"/>
    <x v="2"/>
    <x v="174"/>
    <x v="0"/>
    <x v="21"/>
    <x v="297"/>
    <x v="302"/>
  </r>
  <r>
    <x v="0"/>
    <x v="0"/>
    <x v="2"/>
    <x v="110"/>
    <x v="5"/>
    <x v="211"/>
    <x v="298"/>
    <x v="303"/>
  </r>
  <r>
    <x v="0"/>
    <x v="0"/>
    <x v="0"/>
    <x v="175"/>
    <x v="22"/>
    <x v="107"/>
    <x v="299"/>
    <x v="304"/>
  </r>
  <r>
    <x v="1"/>
    <x v="0"/>
    <x v="1"/>
    <x v="79"/>
    <x v="2"/>
    <x v="2"/>
    <x v="300"/>
    <x v="305"/>
  </r>
  <r>
    <x v="3"/>
    <x v="0"/>
    <x v="2"/>
    <x v="41"/>
    <x v="4"/>
    <x v="225"/>
    <x v="301"/>
    <x v="306"/>
  </r>
  <r>
    <x v="1"/>
    <x v="0"/>
    <x v="1"/>
    <x v="109"/>
    <x v="6"/>
    <x v="226"/>
    <x v="302"/>
    <x v="307"/>
  </r>
  <r>
    <x v="1"/>
    <x v="0"/>
    <x v="1"/>
    <x v="110"/>
    <x v="0"/>
    <x v="227"/>
    <x v="303"/>
    <x v="308"/>
  </r>
  <r>
    <x v="2"/>
    <x v="0"/>
    <x v="2"/>
    <x v="19"/>
    <x v="10"/>
    <x v="228"/>
    <x v="304"/>
    <x v="309"/>
  </r>
  <r>
    <x v="1"/>
    <x v="0"/>
    <x v="2"/>
    <x v="176"/>
    <x v="22"/>
    <x v="229"/>
    <x v="305"/>
    <x v="310"/>
  </r>
  <r>
    <x v="2"/>
    <x v="0"/>
    <x v="2"/>
    <x v="80"/>
    <x v="5"/>
    <x v="230"/>
    <x v="306"/>
    <x v="311"/>
  </r>
  <r>
    <x v="1"/>
    <x v="0"/>
    <x v="1"/>
    <x v="0"/>
    <x v="6"/>
    <x v="101"/>
    <x v="307"/>
    <x v="312"/>
  </r>
  <r>
    <x v="2"/>
    <x v="0"/>
    <x v="2"/>
    <x v="177"/>
    <x v="28"/>
    <x v="231"/>
    <x v="308"/>
    <x v="313"/>
  </r>
  <r>
    <x v="0"/>
    <x v="0"/>
    <x v="0"/>
    <x v="148"/>
    <x v="10"/>
    <x v="216"/>
    <x v="309"/>
    <x v="314"/>
  </r>
  <r>
    <x v="2"/>
    <x v="0"/>
    <x v="2"/>
    <x v="60"/>
    <x v="2"/>
    <x v="2"/>
    <x v="310"/>
    <x v="315"/>
  </r>
  <r>
    <x v="2"/>
    <x v="0"/>
    <x v="2"/>
    <x v="142"/>
    <x v="3"/>
    <x v="232"/>
    <x v="311"/>
    <x v="316"/>
  </r>
  <r>
    <x v="1"/>
    <x v="0"/>
    <x v="2"/>
    <x v="178"/>
    <x v="7"/>
    <x v="233"/>
    <x v="312"/>
    <x v="317"/>
  </r>
  <r>
    <x v="3"/>
    <x v="0"/>
    <x v="2"/>
    <x v="133"/>
    <x v="13"/>
    <x v="234"/>
    <x v="313"/>
    <x v="318"/>
  </r>
  <r>
    <x v="1"/>
    <x v="0"/>
    <x v="1"/>
    <x v="166"/>
    <x v="22"/>
    <x v="235"/>
    <x v="314"/>
    <x v="319"/>
  </r>
  <r>
    <x v="0"/>
    <x v="0"/>
    <x v="2"/>
    <x v="72"/>
    <x v="4"/>
    <x v="236"/>
    <x v="315"/>
    <x v="320"/>
  </r>
  <r>
    <x v="1"/>
    <x v="0"/>
    <x v="2"/>
    <x v="30"/>
    <x v="6"/>
    <x v="237"/>
    <x v="316"/>
    <x v="321"/>
  </r>
  <r>
    <x v="3"/>
    <x v="0"/>
    <x v="2"/>
    <x v="93"/>
    <x v="12"/>
    <x v="238"/>
    <x v="317"/>
    <x v="322"/>
  </r>
  <r>
    <x v="0"/>
    <x v="0"/>
    <x v="0"/>
    <x v="179"/>
    <x v="13"/>
    <x v="239"/>
    <x v="318"/>
    <x v="323"/>
  </r>
  <r>
    <x v="1"/>
    <x v="0"/>
    <x v="2"/>
    <x v="134"/>
    <x v="12"/>
    <x v="240"/>
    <x v="319"/>
    <x v="324"/>
  </r>
  <r>
    <x v="2"/>
    <x v="0"/>
    <x v="2"/>
    <x v="180"/>
    <x v="11"/>
    <x v="119"/>
    <x v="320"/>
    <x v="325"/>
  </r>
  <r>
    <x v="3"/>
    <x v="0"/>
    <x v="2"/>
    <x v="147"/>
    <x v="1"/>
    <x v="241"/>
    <x v="321"/>
    <x v="326"/>
  </r>
  <r>
    <x v="2"/>
    <x v="0"/>
    <x v="2"/>
    <x v="70"/>
    <x v="6"/>
    <x v="17"/>
    <x v="322"/>
    <x v="327"/>
  </r>
  <r>
    <x v="3"/>
    <x v="0"/>
    <x v="2"/>
    <x v="44"/>
    <x v="0"/>
    <x v="242"/>
    <x v="323"/>
    <x v="328"/>
  </r>
  <r>
    <x v="2"/>
    <x v="0"/>
    <x v="2"/>
    <x v="134"/>
    <x v="22"/>
    <x v="243"/>
    <x v="173"/>
    <x v="329"/>
  </r>
  <r>
    <x v="0"/>
    <x v="0"/>
    <x v="0"/>
    <x v="140"/>
    <x v="6"/>
    <x v="244"/>
    <x v="324"/>
    <x v="330"/>
  </r>
  <r>
    <x v="0"/>
    <x v="0"/>
    <x v="0"/>
    <x v="173"/>
    <x v="22"/>
    <x v="245"/>
    <x v="325"/>
    <x v="331"/>
  </r>
  <r>
    <x v="0"/>
    <x v="0"/>
    <x v="2"/>
    <x v="43"/>
    <x v="14"/>
    <x v="217"/>
    <x v="326"/>
    <x v="332"/>
  </r>
  <r>
    <x v="1"/>
    <x v="0"/>
    <x v="1"/>
    <x v="142"/>
    <x v="1"/>
    <x v="23"/>
    <x v="327"/>
    <x v="333"/>
  </r>
  <r>
    <x v="3"/>
    <x v="0"/>
    <x v="2"/>
    <x v="120"/>
    <x v="5"/>
    <x v="160"/>
    <x v="328"/>
    <x v="334"/>
  </r>
  <r>
    <x v="3"/>
    <x v="0"/>
    <x v="2"/>
    <x v="181"/>
    <x v="25"/>
    <x v="243"/>
    <x v="329"/>
    <x v="335"/>
  </r>
  <r>
    <x v="1"/>
    <x v="0"/>
    <x v="2"/>
    <x v="181"/>
    <x v="16"/>
    <x v="71"/>
    <x v="330"/>
    <x v="336"/>
  </r>
  <r>
    <x v="0"/>
    <x v="0"/>
    <x v="0"/>
    <x v="169"/>
    <x v="0"/>
    <x v="246"/>
    <x v="331"/>
    <x v="337"/>
  </r>
  <r>
    <x v="0"/>
    <x v="0"/>
    <x v="0"/>
    <x v="182"/>
    <x v="18"/>
    <x v="247"/>
    <x v="332"/>
    <x v="338"/>
  </r>
  <r>
    <x v="1"/>
    <x v="0"/>
    <x v="2"/>
    <x v="164"/>
    <x v="13"/>
    <x v="207"/>
    <x v="333"/>
    <x v="339"/>
  </r>
  <r>
    <x v="2"/>
    <x v="0"/>
    <x v="2"/>
    <x v="80"/>
    <x v="0"/>
    <x v="248"/>
    <x v="334"/>
    <x v="340"/>
  </r>
  <r>
    <x v="1"/>
    <x v="0"/>
    <x v="1"/>
    <x v="126"/>
    <x v="13"/>
    <x v="249"/>
    <x v="335"/>
    <x v="341"/>
  </r>
  <r>
    <x v="2"/>
    <x v="0"/>
    <x v="2"/>
    <x v="26"/>
    <x v="15"/>
    <x v="131"/>
    <x v="336"/>
    <x v="342"/>
  </r>
  <r>
    <x v="0"/>
    <x v="0"/>
    <x v="2"/>
    <x v="160"/>
    <x v="17"/>
    <x v="3"/>
    <x v="337"/>
    <x v="343"/>
  </r>
  <r>
    <x v="0"/>
    <x v="0"/>
    <x v="0"/>
    <x v="74"/>
    <x v="13"/>
    <x v="250"/>
    <x v="338"/>
    <x v="344"/>
  </r>
  <r>
    <x v="1"/>
    <x v="0"/>
    <x v="2"/>
    <x v="39"/>
    <x v="11"/>
    <x v="45"/>
    <x v="339"/>
    <x v="345"/>
  </r>
  <r>
    <x v="1"/>
    <x v="0"/>
    <x v="2"/>
    <x v="183"/>
    <x v="5"/>
    <x v="251"/>
    <x v="340"/>
    <x v="346"/>
  </r>
  <r>
    <x v="2"/>
    <x v="0"/>
    <x v="2"/>
    <x v="160"/>
    <x v="10"/>
    <x v="213"/>
    <x v="341"/>
    <x v="347"/>
  </r>
  <r>
    <x v="2"/>
    <x v="0"/>
    <x v="2"/>
    <x v="184"/>
    <x v="2"/>
    <x v="2"/>
    <x v="342"/>
    <x v="348"/>
  </r>
  <r>
    <x v="0"/>
    <x v="0"/>
    <x v="2"/>
    <x v="91"/>
    <x v="2"/>
    <x v="2"/>
    <x v="343"/>
    <x v="349"/>
  </r>
  <r>
    <x v="0"/>
    <x v="0"/>
    <x v="0"/>
    <x v="185"/>
    <x v="5"/>
    <x v="252"/>
    <x v="344"/>
    <x v="350"/>
  </r>
  <r>
    <x v="0"/>
    <x v="0"/>
    <x v="0"/>
    <x v="25"/>
    <x v="10"/>
    <x v="232"/>
    <x v="345"/>
    <x v="351"/>
  </r>
  <r>
    <x v="1"/>
    <x v="0"/>
    <x v="1"/>
    <x v="185"/>
    <x v="13"/>
    <x v="253"/>
    <x v="346"/>
    <x v="352"/>
  </r>
  <r>
    <x v="1"/>
    <x v="0"/>
    <x v="1"/>
    <x v="143"/>
    <x v="16"/>
    <x v="68"/>
    <x v="347"/>
    <x v="353"/>
  </r>
  <r>
    <x v="0"/>
    <x v="0"/>
    <x v="2"/>
    <x v="132"/>
    <x v="1"/>
    <x v="254"/>
    <x v="348"/>
    <x v="354"/>
  </r>
  <r>
    <x v="2"/>
    <x v="0"/>
    <x v="2"/>
    <x v="23"/>
    <x v="1"/>
    <x v="255"/>
    <x v="349"/>
    <x v="355"/>
  </r>
  <r>
    <x v="0"/>
    <x v="0"/>
    <x v="2"/>
    <x v="148"/>
    <x v="2"/>
    <x v="2"/>
    <x v="350"/>
    <x v="356"/>
  </r>
  <r>
    <x v="0"/>
    <x v="0"/>
    <x v="2"/>
    <x v="138"/>
    <x v="9"/>
    <x v="256"/>
    <x v="351"/>
    <x v="357"/>
  </r>
  <r>
    <x v="0"/>
    <x v="0"/>
    <x v="0"/>
    <x v="1"/>
    <x v="13"/>
    <x v="141"/>
    <x v="352"/>
    <x v="358"/>
  </r>
  <r>
    <x v="1"/>
    <x v="0"/>
    <x v="1"/>
    <x v="32"/>
    <x v="13"/>
    <x v="30"/>
    <x v="353"/>
    <x v="359"/>
  </r>
  <r>
    <x v="1"/>
    <x v="0"/>
    <x v="2"/>
    <x v="91"/>
    <x v="6"/>
    <x v="4"/>
    <x v="354"/>
    <x v="360"/>
  </r>
  <r>
    <x v="0"/>
    <x v="0"/>
    <x v="2"/>
    <x v="186"/>
    <x v="10"/>
    <x v="257"/>
    <x v="355"/>
    <x v="361"/>
  </r>
  <r>
    <x v="1"/>
    <x v="0"/>
    <x v="1"/>
    <x v="10"/>
    <x v="0"/>
    <x v="258"/>
    <x v="356"/>
    <x v="362"/>
  </r>
  <r>
    <x v="3"/>
    <x v="0"/>
    <x v="2"/>
    <x v="74"/>
    <x v="13"/>
    <x v="250"/>
    <x v="357"/>
    <x v="363"/>
  </r>
  <r>
    <x v="1"/>
    <x v="0"/>
    <x v="2"/>
    <x v="81"/>
    <x v="11"/>
    <x v="259"/>
    <x v="358"/>
    <x v="364"/>
  </r>
  <r>
    <x v="0"/>
    <x v="0"/>
    <x v="0"/>
    <x v="37"/>
    <x v="5"/>
    <x v="260"/>
    <x v="359"/>
    <x v="365"/>
  </r>
  <r>
    <x v="1"/>
    <x v="0"/>
    <x v="1"/>
    <x v="13"/>
    <x v="11"/>
    <x v="234"/>
    <x v="360"/>
    <x v="366"/>
  </r>
  <r>
    <x v="1"/>
    <x v="0"/>
    <x v="1"/>
    <x v="108"/>
    <x v="9"/>
    <x v="261"/>
    <x v="361"/>
    <x v="367"/>
  </r>
  <r>
    <x v="0"/>
    <x v="0"/>
    <x v="0"/>
    <x v="24"/>
    <x v="8"/>
    <x v="262"/>
    <x v="362"/>
    <x v="368"/>
  </r>
  <r>
    <x v="0"/>
    <x v="0"/>
    <x v="2"/>
    <x v="187"/>
    <x v="14"/>
    <x v="263"/>
    <x v="363"/>
    <x v="369"/>
  </r>
  <r>
    <x v="0"/>
    <x v="0"/>
    <x v="0"/>
    <x v="29"/>
    <x v="3"/>
    <x v="264"/>
    <x v="364"/>
    <x v="370"/>
  </r>
  <r>
    <x v="0"/>
    <x v="0"/>
    <x v="2"/>
    <x v="170"/>
    <x v="5"/>
    <x v="114"/>
    <x v="365"/>
    <x v="371"/>
  </r>
  <r>
    <x v="3"/>
    <x v="0"/>
    <x v="2"/>
    <x v="59"/>
    <x v="1"/>
    <x v="265"/>
    <x v="366"/>
    <x v="372"/>
  </r>
  <r>
    <x v="0"/>
    <x v="0"/>
    <x v="0"/>
    <x v="108"/>
    <x v="13"/>
    <x v="266"/>
    <x v="367"/>
    <x v="373"/>
  </r>
  <r>
    <x v="3"/>
    <x v="0"/>
    <x v="2"/>
    <x v="188"/>
    <x v="16"/>
    <x v="85"/>
    <x v="368"/>
    <x v="374"/>
  </r>
  <r>
    <x v="0"/>
    <x v="0"/>
    <x v="2"/>
    <x v="128"/>
    <x v="2"/>
    <x v="2"/>
    <x v="369"/>
    <x v="375"/>
  </r>
  <r>
    <x v="1"/>
    <x v="0"/>
    <x v="2"/>
    <x v="189"/>
    <x v="5"/>
    <x v="267"/>
    <x v="370"/>
    <x v="376"/>
  </r>
  <r>
    <x v="0"/>
    <x v="0"/>
    <x v="2"/>
    <x v="56"/>
    <x v="11"/>
    <x v="268"/>
    <x v="346"/>
    <x v="377"/>
  </r>
  <r>
    <x v="3"/>
    <x v="0"/>
    <x v="2"/>
    <x v="59"/>
    <x v="10"/>
    <x v="139"/>
    <x v="371"/>
    <x v="378"/>
  </r>
  <r>
    <x v="3"/>
    <x v="0"/>
    <x v="2"/>
    <x v="35"/>
    <x v="10"/>
    <x v="269"/>
    <x v="372"/>
    <x v="379"/>
  </r>
  <r>
    <x v="3"/>
    <x v="0"/>
    <x v="2"/>
    <x v="42"/>
    <x v="7"/>
    <x v="270"/>
    <x v="373"/>
    <x v="380"/>
  </r>
  <r>
    <x v="1"/>
    <x v="0"/>
    <x v="1"/>
    <x v="51"/>
    <x v="2"/>
    <x v="2"/>
    <x v="374"/>
    <x v="381"/>
  </r>
  <r>
    <x v="0"/>
    <x v="0"/>
    <x v="0"/>
    <x v="190"/>
    <x v="13"/>
    <x v="57"/>
    <x v="375"/>
    <x v="382"/>
  </r>
  <r>
    <x v="3"/>
    <x v="0"/>
    <x v="2"/>
    <x v="191"/>
    <x v="5"/>
    <x v="271"/>
    <x v="376"/>
    <x v="383"/>
  </r>
  <r>
    <x v="0"/>
    <x v="0"/>
    <x v="0"/>
    <x v="192"/>
    <x v="13"/>
    <x v="272"/>
    <x v="377"/>
    <x v="384"/>
  </r>
  <r>
    <x v="3"/>
    <x v="0"/>
    <x v="2"/>
    <x v="126"/>
    <x v="13"/>
    <x v="249"/>
    <x v="378"/>
    <x v="385"/>
  </r>
  <r>
    <x v="0"/>
    <x v="0"/>
    <x v="2"/>
    <x v="178"/>
    <x v="15"/>
    <x v="273"/>
    <x v="323"/>
    <x v="386"/>
  </r>
  <r>
    <x v="3"/>
    <x v="0"/>
    <x v="2"/>
    <x v="32"/>
    <x v="0"/>
    <x v="217"/>
    <x v="379"/>
    <x v="387"/>
  </r>
  <r>
    <x v="0"/>
    <x v="0"/>
    <x v="2"/>
    <x v="146"/>
    <x v="2"/>
    <x v="2"/>
    <x v="380"/>
    <x v="388"/>
  </r>
  <r>
    <x v="0"/>
    <x v="0"/>
    <x v="2"/>
    <x v="24"/>
    <x v="18"/>
    <x v="189"/>
    <x v="381"/>
    <x v="389"/>
  </r>
  <r>
    <x v="1"/>
    <x v="0"/>
    <x v="2"/>
    <x v="141"/>
    <x v="17"/>
    <x v="274"/>
    <x v="382"/>
    <x v="390"/>
  </r>
  <r>
    <x v="1"/>
    <x v="0"/>
    <x v="2"/>
    <x v="193"/>
    <x v="20"/>
    <x v="275"/>
    <x v="383"/>
    <x v="391"/>
  </r>
  <r>
    <x v="1"/>
    <x v="0"/>
    <x v="2"/>
    <x v="194"/>
    <x v="13"/>
    <x v="276"/>
    <x v="384"/>
    <x v="392"/>
  </r>
  <r>
    <x v="0"/>
    <x v="0"/>
    <x v="0"/>
    <x v="133"/>
    <x v="3"/>
    <x v="277"/>
    <x v="385"/>
    <x v="393"/>
  </r>
  <r>
    <x v="0"/>
    <x v="0"/>
    <x v="0"/>
    <x v="195"/>
    <x v="11"/>
    <x v="115"/>
    <x v="386"/>
    <x v="394"/>
  </r>
  <r>
    <x v="0"/>
    <x v="0"/>
    <x v="0"/>
    <x v="196"/>
    <x v="17"/>
    <x v="217"/>
    <x v="387"/>
    <x v="395"/>
  </r>
  <r>
    <x v="3"/>
    <x v="0"/>
    <x v="2"/>
    <x v="175"/>
    <x v="6"/>
    <x v="272"/>
    <x v="388"/>
    <x v="396"/>
  </r>
  <r>
    <x v="0"/>
    <x v="0"/>
    <x v="0"/>
    <x v="131"/>
    <x v="6"/>
    <x v="278"/>
    <x v="389"/>
    <x v="397"/>
  </r>
  <r>
    <x v="1"/>
    <x v="0"/>
    <x v="2"/>
    <x v="134"/>
    <x v="6"/>
    <x v="279"/>
    <x v="390"/>
    <x v="398"/>
  </r>
  <r>
    <x v="0"/>
    <x v="0"/>
    <x v="0"/>
    <x v="140"/>
    <x v="22"/>
    <x v="280"/>
    <x v="391"/>
    <x v="399"/>
  </r>
  <r>
    <x v="2"/>
    <x v="0"/>
    <x v="2"/>
    <x v="187"/>
    <x v="25"/>
    <x v="281"/>
    <x v="172"/>
    <x v="400"/>
  </r>
  <r>
    <x v="1"/>
    <x v="0"/>
    <x v="2"/>
    <x v="197"/>
    <x v="7"/>
    <x v="282"/>
    <x v="392"/>
    <x v="401"/>
  </r>
  <r>
    <x v="0"/>
    <x v="0"/>
    <x v="0"/>
    <x v="79"/>
    <x v="5"/>
    <x v="66"/>
    <x v="393"/>
    <x v="402"/>
  </r>
  <r>
    <x v="1"/>
    <x v="0"/>
    <x v="2"/>
    <x v="58"/>
    <x v="14"/>
    <x v="283"/>
    <x v="394"/>
    <x v="403"/>
  </r>
  <r>
    <x v="1"/>
    <x v="0"/>
    <x v="2"/>
    <x v="198"/>
    <x v="13"/>
    <x v="284"/>
    <x v="395"/>
    <x v="404"/>
  </r>
  <r>
    <x v="1"/>
    <x v="0"/>
    <x v="1"/>
    <x v="50"/>
    <x v="15"/>
    <x v="285"/>
    <x v="396"/>
    <x v="405"/>
  </r>
  <r>
    <x v="1"/>
    <x v="0"/>
    <x v="1"/>
    <x v="74"/>
    <x v="2"/>
    <x v="2"/>
    <x v="397"/>
    <x v="406"/>
  </r>
  <r>
    <x v="0"/>
    <x v="0"/>
    <x v="2"/>
    <x v="166"/>
    <x v="8"/>
    <x v="143"/>
    <x v="398"/>
    <x v="407"/>
  </r>
  <r>
    <x v="1"/>
    <x v="0"/>
    <x v="1"/>
    <x v="42"/>
    <x v="0"/>
    <x v="286"/>
    <x v="399"/>
    <x v="408"/>
  </r>
  <r>
    <x v="1"/>
    <x v="0"/>
    <x v="1"/>
    <x v="3"/>
    <x v="14"/>
    <x v="287"/>
    <x v="400"/>
    <x v="409"/>
  </r>
  <r>
    <x v="2"/>
    <x v="0"/>
    <x v="2"/>
    <x v="17"/>
    <x v="11"/>
    <x v="234"/>
    <x v="401"/>
    <x v="410"/>
  </r>
  <r>
    <x v="1"/>
    <x v="0"/>
    <x v="1"/>
    <x v="130"/>
    <x v="6"/>
    <x v="288"/>
    <x v="402"/>
    <x v="411"/>
  </r>
  <r>
    <x v="1"/>
    <x v="0"/>
    <x v="2"/>
    <x v="137"/>
    <x v="5"/>
    <x v="135"/>
    <x v="403"/>
    <x v="412"/>
  </r>
  <r>
    <x v="2"/>
    <x v="0"/>
    <x v="2"/>
    <x v="85"/>
    <x v="15"/>
    <x v="172"/>
    <x v="404"/>
    <x v="413"/>
  </r>
  <r>
    <x v="0"/>
    <x v="0"/>
    <x v="2"/>
    <x v="199"/>
    <x v="2"/>
    <x v="2"/>
    <x v="405"/>
    <x v="414"/>
  </r>
  <r>
    <x v="0"/>
    <x v="0"/>
    <x v="0"/>
    <x v="67"/>
    <x v="0"/>
    <x v="73"/>
    <x v="406"/>
    <x v="415"/>
  </r>
  <r>
    <x v="2"/>
    <x v="0"/>
    <x v="2"/>
    <x v="200"/>
    <x v="2"/>
    <x v="2"/>
    <x v="407"/>
    <x v="416"/>
  </r>
  <r>
    <x v="1"/>
    <x v="0"/>
    <x v="1"/>
    <x v="12"/>
    <x v="17"/>
    <x v="103"/>
    <x v="408"/>
    <x v="417"/>
  </r>
  <r>
    <x v="1"/>
    <x v="0"/>
    <x v="2"/>
    <x v="48"/>
    <x v="0"/>
    <x v="289"/>
    <x v="409"/>
    <x v="418"/>
  </r>
  <r>
    <x v="1"/>
    <x v="0"/>
    <x v="2"/>
    <x v="195"/>
    <x v="17"/>
    <x v="290"/>
    <x v="410"/>
    <x v="419"/>
  </r>
  <r>
    <x v="3"/>
    <x v="0"/>
    <x v="2"/>
    <x v="150"/>
    <x v="11"/>
    <x v="291"/>
    <x v="411"/>
    <x v="420"/>
  </r>
  <r>
    <x v="3"/>
    <x v="0"/>
    <x v="2"/>
    <x v="56"/>
    <x v="12"/>
    <x v="292"/>
    <x v="412"/>
    <x v="421"/>
  </r>
  <r>
    <x v="1"/>
    <x v="0"/>
    <x v="2"/>
    <x v="45"/>
    <x v="11"/>
    <x v="43"/>
    <x v="413"/>
    <x v="422"/>
  </r>
  <r>
    <x v="3"/>
    <x v="0"/>
    <x v="2"/>
    <x v="24"/>
    <x v="2"/>
    <x v="2"/>
    <x v="414"/>
    <x v="423"/>
  </r>
  <r>
    <x v="3"/>
    <x v="0"/>
    <x v="2"/>
    <x v="117"/>
    <x v="11"/>
    <x v="293"/>
    <x v="415"/>
    <x v="424"/>
  </r>
  <r>
    <x v="1"/>
    <x v="0"/>
    <x v="2"/>
    <x v="155"/>
    <x v="21"/>
    <x v="294"/>
    <x v="416"/>
    <x v="425"/>
  </r>
  <r>
    <x v="0"/>
    <x v="0"/>
    <x v="2"/>
    <x v="107"/>
    <x v="10"/>
    <x v="113"/>
    <x v="417"/>
    <x v="426"/>
  </r>
  <r>
    <x v="1"/>
    <x v="0"/>
    <x v="2"/>
    <x v="190"/>
    <x v="23"/>
    <x v="295"/>
    <x v="418"/>
    <x v="427"/>
  </r>
  <r>
    <x v="1"/>
    <x v="0"/>
    <x v="2"/>
    <x v="62"/>
    <x v="1"/>
    <x v="200"/>
    <x v="419"/>
    <x v="428"/>
  </r>
  <r>
    <x v="1"/>
    <x v="0"/>
    <x v="2"/>
    <x v="201"/>
    <x v="11"/>
    <x v="118"/>
    <x v="420"/>
    <x v="429"/>
  </r>
  <r>
    <x v="3"/>
    <x v="0"/>
    <x v="2"/>
    <x v="120"/>
    <x v="13"/>
    <x v="296"/>
    <x v="421"/>
    <x v="430"/>
  </r>
  <r>
    <x v="0"/>
    <x v="0"/>
    <x v="2"/>
    <x v="148"/>
    <x v="13"/>
    <x v="297"/>
    <x v="353"/>
    <x v="431"/>
  </r>
  <r>
    <x v="3"/>
    <x v="0"/>
    <x v="2"/>
    <x v="20"/>
    <x v="10"/>
    <x v="224"/>
    <x v="422"/>
    <x v="432"/>
  </r>
  <r>
    <x v="1"/>
    <x v="0"/>
    <x v="1"/>
    <x v="134"/>
    <x v="11"/>
    <x v="298"/>
    <x v="423"/>
    <x v="433"/>
  </r>
  <r>
    <x v="0"/>
    <x v="0"/>
    <x v="0"/>
    <x v="9"/>
    <x v="16"/>
    <x v="299"/>
    <x v="424"/>
    <x v="434"/>
  </r>
  <r>
    <x v="0"/>
    <x v="0"/>
    <x v="2"/>
    <x v="202"/>
    <x v="7"/>
    <x v="83"/>
    <x v="425"/>
    <x v="435"/>
  </r>
  <r>
    <x v="1"/>
    <x v="0"/>
    <x v="2"/>
    <x v="187"/>
    <x v="17"/>
    <x v="300"/>
    <x v="48"/>
    <x v="436"/>
  </r>
  <r>
    <x v="1"/>
    <x v="0"/>
    <x v="2"/>
    <x v="182"/>
    <x v="15"/>
    <x v="301"/>
    <x v="426"/>
    <x v="437"/>
  </r>
  <r>
    <x v="3"/>
    <x v="0"/>
    <x v="2"/>
    <x v="85"/>
    <x v="19"/>
    <x v="84"/>
    <x v="420"/>
    <x v="438"/>
  </r>
  <r>
    <x v="2"/>
    <x v="0"/>
    <x v="2"/>
    <x v="88"/>
    <x v="24"/>
    <x v="302"/>
    <x v="427"/>
    <x v="439"/>
  </r>
  <r>
    <x v="1"/>
    <x v="0"/>
    <x v="2"/>
    <x v="119"/>
    <x v="0"/>
    <x v="17"/>
    <x v="428"/>
    <x v="440"/>
  </r>
  <r>
    <x v="3"/>
    <x v="0"/>
    <x v="2"/>
    <x v="110"/>
    <x v="11"/>
    <x v="303"/>
    <x v="429"/>
    <x v="441"/>
  </r>
  <r>
    <x v="2"/>
    <x v="0"/>
    <x v="2"/>
    <x v="37"/>
    <x v="15"/>
    <x v="304"/>
    <x v="430"/>
    <x v="442"/>
  </r>
  <r>
    <x v="0"/>
    <x v="0"/>
    <x v="0"/>
    <x v="151"/>
    <x v="17"/>
    <x v="305"/>
    <x v="431"/>
    <x v="443"/>
  </r>
  <r>
    <x v="0"/>
    <x v="0"/>
    <x v="0"/>
    <x v="203"/>
    <x v="15"/>
    <x v="306"/>
    <x v="432"/>
    <x v="444"/>
  </r>
  <r>
    <x v="3"/>
    <x v="0"/>
    <x v="2"/>
    <x v="66"/>
    <x v="10"/>
    <x v="114"/>
    <x v="433"/>
    <x v="445"/>
  </r>
  <r>
    <x v="3"/>
    <x v="0"/>
    <x v="2"/>
    <x v="170"/>
    <x v="6"/>
    <x v="82"/>
    <x v="434"/>
    <x v="446"/>
  </r>
  <r>
    <x v="3"/>
    <x v="0"/>
    <x v="2"/>
    <x v="90"/>
    <x v="11"/>
    <x v="167"/>
    <x v="435"/>
    <x v="447"/>
  </r>
  <r>
    <x v="0"/>
    <x v="0"/>
    <x v="2"/>
    <x v="200"/>
    <x v="17"/>
    <x v="105"/>
    <x v="436"/>
    <x v="448"/>
  </r>
  <r>
    <x v="1"/>
    <x v="0"/>
    <x v="2"/>
    <x v="5"/>
    <x v="11"/>
    <x v="307"/>
    <x v="437"/>
    <x v="449"/>
  </r>
  <r>
    <x v="0"/>
    <x v="0"/>
    <x v="0"/>
    <x v="104"/>
    <x v="17"/>
    <x v="160"/>
    <x v="438"/>
    <x v="450"/>
  </r>
  <r>
    <x v="2"/>
    <x v="0"/>
    <x v="2"/>
    <x v="204"/>
    <x v="7"/>
    <x v="308"/>
    <x v="439"/>
    <x v="451"/>
  </r>
  <r>
    <x v="0"/>
    <x v="0"/>
    <x v="2"/>
    <x v="199"/>
    <x v="7"/>
    <x v="288"/>
    <x v="440"/>
    <x v="452"/>
  </r>
  <r>
    <x v="0"/>
    <x v="0"/>
    <x v="0"/>
    <x v="158"/>
    <x v="11"/>
    <x v="146"/>
    <x v="9"/>
    <x v="453"/>
  </r>
  <r>
    <x v="0"/>
    <x v="0"/>
    <x v="0"/>
    <x v="135"/>
    <x v="2"/>
    <x v="2"/>
    <x v="441"/>
    <x v="454"/>
  </r>
  <r>
    <x v="0"/>
    <x v="0"/>
    <x v="0"/>
    <x v="102"/>
    <x v="13"/>
    <x v="266"/>
    <x v="442"/>
    <x v="455"/>
  </r>
  <r>
    <x v="1"/>
    <x v="0"/>
    <x v="1"/>
    <x v="205"/>
    <x v="28"/>
    <x v="309"/>
    <x v="443"/>
    <x v="456"/>
  </r>
  <r>
    <x v="1"/>
    <x v="0"/>
    <x v="2"/>
    <x v="206"/>
    <x v="13"/>
    <x v="310"/>
    <x v="444"/>
    <x v="457"/>
  </r>
  <r>
    <x v="0"/>
    <x v="0"/>
    <x v="0"/>
    <x v="207"/>
    <x v="2"/>
    <x v="2"/>
    <x v="445"/>
    <x v="458"/>
  </r>
  <r>
    <x v="2"/>
    <x v="0"/>
    <x v="2"/>
    <x v="97"/>
    <x v="24"/>
    <x v="311"/>
    <x v="446"/>
    <x v="459"/>
  </r>
  <r>
    <x v="0"/>
    <x v="0"/>
    <x v="0"/>
    <x v="60"/>
    <x v="17"/>
    <x v="312"/>
    <x v="447"/>
    <x v="460"/>
  </r>
  <r>
    <x v="0"/>
    <x v="0"/>
    <x v="2"/>
    <x v="121"/>
    <x v="12"/>
    <x v="313"/>
    <x v="448"/>
    <x v="461"/>
  </r>
  <r>
    <x v="3"/>
    <x v="0"/>
    <x v="2"/>
    <x v="105"/>
    <x v="2"/>
    <x v="2"/>
    <x v="449"/>
    <x v="462"/>
  </r>
  <r>
    <x v="0"/>
    <x v="0"/>
    <x v="0"/>
    <x v="109"/>
    <x v="17"/>
    <x v="235"/>
    <x v="450"/>
    <x v="463"/>
  </r>
  <r>
    <x v="1"/>
    <x v="0"/>
    <x v="2"/>
    <x v="208"/>
    <x v="14"/>
    <x v="314"/>
    <x v="451"/>
    <x v="464"/>
  </r>
  <r>
    <x v="1"/>
    <x v="0"/>
    <x v="2"/>
    <x v="16"/>
    <x v="1"/>
    <x v="315"/>
    <x v="452"/>
    <x v="465"/>
  </r>
  <r>
    <x v="0"/>
    <x v="0"/>
    <x v="2"/>
    <x v="209"/>
    <x v="3"/>
    <x v="316"/>
    <x v="453"/>
    <x v="466"/>
  </r>
  <r>
    <x v="3"/>
    <x v="0"/>
    <x v="2"/>
    <x v="24"/>
    <x v="9"/>
    <x v="98"/>
    <x v="454"/>
    <x v="467"/>
  </r>
  <r>
    <x v="1"/>
    <x v="0"/>
    <x v="1"/>
    <x v="202"/>
    <x v="6"/>
    <x v="317"/>
    <x v="455"/>
    <x v="468"/>
  </r>
  <r>
    <x v="3"/>
    <x v="0"/>
    <x v="2"/>
    <x v="11"/>
    <x v="9"/>
    <x v="318"/>
    <x v="456"/>
    <x v="469"/>
  </r>
  <r>
    <x v="0"/>
    <x v="0"/>
    <x v="2"/>
    <x v="59"/>
    <x v="2"/>
    <x v="2"/>
    <x v="457"/>
    <x v="470"/>
  </r>
  <r>
    <x v="0"/>
    <x v="0"/>
    <x v="0"/>
    <x v="83"/>
    <x v="13"/>
    <x v="319"/>
    <x v="458"/>
    <x v="471"/>
  </r>
  <r>
    <x v="0"/>
    <x v="0"/>
    <x v="2"/>
    <x v="165"/>
    <x v="2"/>
    <x v="2"/>
    <x v="459"/>
    <x v="472"/>
  </r>
  <r>
    <x v="1"/>
    <x v="0"/>
    <x v="1"/>
    <x v="150"/>
    <x v="13"/>
    <x v="320"/>
    <x v="460"/>
    <x v="473"/>
  </r>
  <r>
    <x v="0"/>
    <x v="0"/>
    <x v="0"/>
    <x v="167"/>
    <x v="7"/>
    <x v="287"/>
    <x v="461"/>
    <x v="474"/>
  </r>
  <r>
    <x v="2"/>
    <x v="0"/>
    <x v="2"/>
    <x v="54"/>
    <x v="14"/>
    <x v="321"/>
    <x v="462"/>
    <x v="475"/>
  </r>
  <r>
    <x v="2"/>
    <x v="0"/>
    <x v="2"/>
    <x v="55"/>
    <x v="11"/>
    <x v="322"/>
    <x v="463"/>
    <x v="476"/>
  </r>
  <r>
    <x v="0"/>
    <x v="0"/>
    <x v="0"/>
    <x v="61"/>
    <x v="13"/>
    <x v="323"/>
    <x v="464"/>
    <x v="477"/>
  </r>
  <r>
    <x v="0"/>
    <x v="0"/>
    <x v="0"/>
    <x v="34"/>
    <x v="10"/>
    <x v="324"/>
    <x v="465"/>
    <x v="478"/>
  </r>
  <r>
    <x v="0"/>
    <x v="0"/>
    <x v="0"/>
    <x v="210"/>
    <x v="6"/>
    <x v="287"/>
    <x v="466"/>
    <x v="479"/>
  </r>
  <r>
    <x v="2"/>
    <x v="0"/>
    <x v="2"/>
    <x v="190"/>
    <x v="6"/>
    <x v="325"/>
    <x v="467"/>
    <x v="480"/>
  </r>
  <r>
    <x v="2"/>
    <x v="0"/>
    <x v="2"/>
    <x v="49"/>
    <x v="7"/>
    <x v="137"/>
    <x v="468"/>
    <x v="481"/>
  </r>
  <r>
    <x v="0"/>
    <x v="0"/>
    <x v="2"/>
    <x v="97"/>
    <x v="14"/>
    <x v="122"/>
    <x v="469"/>
    <x v="482"/>
  </r>
  <r>
    <x v="0"/>
    <x v="0"/>
    <x v="2"/>
    <x v="84"/>
    <x v="7"/>
    <x v="326"/>
    <x v="470"/>
    <x v="483"/>
  </r>
  <r>
    <x v="1"/>
    <x v="0"/>
    <x v="2"/>
    <x v="199"/>
    <x v="17"/>
    <x v="327"/>
    <x v="471"/>
    <x v="484"/>
  </r>
  <r>
    <x v="0"/>
    <x v="0"/>
    <x v="2"/>
    <x v="68"/>
    <x v="21"/>
    <x v="328"/>
    <x v="472"/>
    <x v="485"/>
  </r>
  <r>
    <x v="0"/>
    <x v="0"/>
    <x v="0"/>
    <x v="161"/>
    <x v="25"/>
    <x v="329"/>
    <x v="473"/>
    <x v="486"/>
  </r>
  <r>
    <x v="0"/>
    <x v="0"/>
    <x v="0"/>
    <x v="211"/>
    <x v="1"/>
    <x v="330"/>
    <x v="474"/>
    <x v="487"/>
  </r>
  <r>
    <x v="2"/>
    <x v="0"/>
    <x v="2"/>
    <x v="6"/>
    <x v="24"/>
    <x v="331"/>
    <x v="475"/>
    <x v="488"/>
  </r>
  <r>
    <x v="3"/>
    <x v="0"/>
    <x v="2"/>
    <x v="212"/>
    <x v="2"/>
    <x v="2"/>
    <x v="476"/>
    <x v="489"/>
  </r>
  <r>
    <x v="1"/>
    <x v="0"/>
    <x v="1"/>
    <x v="199"/>
    <x v="6"/>
    <x v="332"/>
    <x v="477"/>
    <x v="490"/>
  </r>
  <r>
    <x v="1"/>
    <x v="0"/>
    <x v="1"/>
    <x v="19"/>
    <x v="6"/>
    <x v="333"/>
    <x v="478"/>
    <x v="491"/>
  </r>
  <r>
    <x v="0"/>
    <x v="0"/>
    <x v="0"/>
    <x v="196"/>
    <x v="2"/>
    <x v="2"/>
    <x v="479"/>
    <x v="492"/>
  </r>
  <r>
    <x v="0"/>
    <x v="0"/>
    <x v="0"/>
    <x v="103"/>
    <x v="0"/>
    <x v="169"/>
    <x v="480"/>
    <x v="493"/>
  </r>
  <r>
    <x v="1"/>
    <x v="0"/>
    <x v="1"/>
    <x v="84"/>
    <x v="7"/>
    <x v="326"/>
    <x v="481"/>
    <x v="494"/>
  </r>
  <r>
    <x v="1"/>
    <x v="0"/>
    <x v="1"/>
    <x v="179"/>
    <x v="6"/>
    <x v="334"/>
    <x v="482"/>
    <x v="495"/>
  </r>
  <r>
    <x v="2"/>
    <x v="0"/>
    <x v="2"/>
    <x v="20"/>
    <x v="0"/>
    <x v="19"/>
    <x v="483"/>
    <x v="496"/>
  </r>
  <r>
    <x v="1"/>
    <x v="0"/>
    <x v="2"/>
    <x v="213"/>
    <x v="13"/>
    <x v="335"/>
    <x v="484"/>
    <x v="497"/>
  </r>
  <r>
    <x v="3"/>
    <x v="0"/>
    <x v="2"/>
    <x v="106"/>
    <x v="17"/>
    <x v="336"/>
    <x v="485"/>
    <x v="498"/>
  </r>
  <r>
    <x v="2"/>
    <x v="0"/>
    <x v="2"/>
    <x v="214"/>
    <x v="6"/>
    <x v="337"/>
    <x v="486"/>
    <x v="499"/>
  </r>
  <r>
    <x v="1"/>
    <x v="0"/>
    <x v="1"/>
    <x v="175"/>
    <x v="15"/>
    <x v="13"/>
    <x v="487"/>
    <x v="500"/>
  </r>
  <r>
    <x v="0"/>
    <x v="0"/>
    <x v="0"/>
    <x v="215"/>
    <x v="25"/>
    <x v="338"/>
    <x v="488"/>
    <x v="501"/>
  </r>
  <r>
    <x v="3"/>
    <x v="0"/>
    <x v="2"/>
    <x v="134"/>
    <x v="2"/>
    <x v="2"/>
    <x v="489"/>
    <x v="502"/>
  </r>
  <r>
    <x v="0"/>
    <x v="0"/>
    <x v="0"/>
    <x v="90"/>
    <x v="0"/>
    <x v="68"/>
    <x v="490"/>
    <x v="503"/>
  </r>
  <r>
    <x v="2"/>
    <x v="0"/>
    <x v="2"/>
    <x v="216"/>
    <x v="0"/>
    <x v="339"/>
    <x v="44"/>
    <x v="504"/>
  </r>
  <r>
    <x v="2"/>
    <x v="0"/>
    <x v="2"/>
    <x v="6"/>
    <x v="14"/>
    <x v="190"/>
    <x v="491"/>
    <x v="505"/>
  </r>
  <r>
    <x v="0"/>
    <x v="0"/>
    <x v="2"/>
    <x v="110"/>
    <x v="7"/>
    <x v="340"/>
    <x v="492"/>
    <x v="506"/>
  </r>
  <r>
    <x v="0"/>
    <x v="0"/>
    <x v="2"/>
    <x v="217"/>
    <x v="10"/>
    <x v="341"/>
    <x v="493"/>
    <x v="507"/>
  </r>
  <r>
    <x v="0"/>
    <x v="0"/>
    <x v="0"/>
    <x v="71"/>
    <x v="6"/>
    <x v="291"/>
    <x v="494"/>
    <x v="508"/>
  </r>
  <r>
    <x v="2"/>
    <x v="0"/>
    <x v="2"/>
    <x v="21"/>
    <x v="1"/>
    <x v="342"/>
    <x v="495"/>
    <x v="509"/>
  </r>
  <r>
    <x v="1"/>
    <x v="0"/>
    <x v="1"/>
    <x v="169"/>
    <x v="10"/>
    <x v="343"/>
    <x v="496"/>
    <x v="510"/>
  </r>
  <r>
    <x v="1"/>
    <x v="0"/>
    <x v="1"/>
    <x v="3"/>
    <x v="22"/>
    <x v="181"/>
    <x v="497"/>
    <x v="511"/>
  </r>
  <r>
    <x v="1"/>
    <x v="0"/>
    <x v="1"/>
    <x v="74"/>
    <x v="14"/>
    <x v="183"/>
    <x v="498"/>
    <x v="512"/>
  </r>
  <r>
    <x v="3"/>
    <x v="0"/>
    <x v="2"/>
    <x v="105"/>
    <x v="1"/>
    <x v="211"/>
    <x v="499"/>
    <x v="121"/>
  </r>
  <r>
    <x v="1"/>
    <x v="0"/>
    <x v="2"/>
    <x v="140"/>
    <x v="11"/>
    <x v="344"/>
    <x v="500"/>
    <x v="513"/>
  </r>
  <r>
    <x v="1"/>
    <x v="0"/>
    <x v="2"/>
    <x v="202"/>
    <x v="17"/>
    <x v="345"/>
    <x v="501"/>
    <x v="514"/>
  </r>
  <r>
    <x v="3"/>
    <x v="0"/>
    <x v="2"/>
    <x v="144"/>
    <x v="6"/>
    <x v="181"/>
    <x v="502"/>
    <x v="515"/>
  </r>
  <r>
    <x v="0"/>
    <x v="0"/>
    <x v="2"/>
    <x v="193"/>
    <x v="10"/>
    <x v="346"/>
    <x v="503"/>
    <x v="516"/>
  </r>
  <r>
    <x v="0"/>
    <x v="0"/>
    <x v="0"/>
    <x v="218"/>
    <x v="7"/>
    <x v="82"/>
    <x v="504"/>
    <x v="517"/>
  </r>
  <r>
    <x v="0"/>
    <x v="0"/>
    <x v="0"/>
    <x v="196"/>
    <x v="11"/>
    <x v="347"/>
    <x v="505"/>
    <x v="518"/>
  </r>
  <r>
    <x v="3"/>
    <x v="0"/>
    <x v="2"/>
    <x v="219"/>
    <x v="3"/>
    <x v="348"/>
    <x v="506"/>
    <x v="519"/>
  </r>
  <r>
    <x v="1"/>
    <x v="0"/>
    <x v="2"/>
    <x v="135"/>
    <x v="4"/>
    <x v="349"/>
    <x v="507"/>
    <x v="520"/>
  </r>
  <r>
    <x v="1"/>
    <x v="0"/>
    <x v="1"/>
    <x v="87"/>
    <x v="14"/>
    <x v="350"/>
    <x v="0"/>
    <x v="521"/>
  </r>
  <r>
    <x v="1"/>
    <x v="0"/>
    <x v="2"/>
    <x v="198"/>
    <x v="17"/>
    <x v="351"/>
    <x v="508"/>
    <x v="522"/>
  </r>
  <r>
    <x v="3"/>
    <x v="0"/>
    <x v="2"/>
    <x v="102"/>
    <x v="0"/>
    <x v="352"/>
    <x v="509"/>
    <x v="523"/>
  </r>
  <r>
    <x v="2"/>
    <x v="0"/>
    <x v="2"/>
    <x v="51"/>
    <x v="20"/>
    <x v="50"/>
    <x v="510"/>
    <x v="524"/>
  </r>
  <r>
    <x v="0"/>
    <x v="0"/>
    <x v="0"/>
    <x v="197"/>
    <x v="19"/>
    <x v="225"/>
    <x v="511"/>
    <x v="525"/>
  </r>
  <r>
    <x v="0"/>
    <x v="0"/>
    <x v="2"/>
    <x v="78"/>
    <x v="2"/>
    <x v="2"/>
    <x v="512"/>
    <x v="526"/>
  </r>
  <r>
    <x v="1"/>
    <x v="0"/>
    <x v="1"/>
    <x v="169"/>
    <x v="6"/>
    <x v="353"/>
    <x v="513"/>
    <x v="527"/>
  </r>
  <r>
    <x v="1"/>
    <x v="0"/>
    <x v="2"/>
    <x v="92"/>
    <x v="0"/>
    <x v="354"/>
    <x v="514"/>
    <x v="528"/>
  </r>
  <r>
    <x v="0"/>
    <x v="0"/>
    <x v="0"/>
    <x v="11"/>
    <x v="23"/>
    <x v="355"/>
    <x v="515"/>
    <x v="529"/>
  </r>
  <r>
    <x v="0"/>
    <x v="0"/>
    <x v="2"/>
    <x v="39"/>
    <x v="13"/>
    <x v="356"/>
    <x v="516"/>
    <x v="530"/>
  </r>
  <r>
    <x v="0"/>
    <x v="0"/>
    <x v="2"/>
    <x v="104"/>
    <x v="16"/>
    <x v="111"/>
    <x v="517"/>
    <x v="531"/>
  </r>
  <r>
    <x v="0"/>
    <x v="0"/>
    <x v="2"/>
    <x v="207"/>
    <x v="10"/>
    <x v="357"/>
    <x v="518"/>
    <x v="532"/>
  </r>
  <r>
    <x v="0"/>
    <x v="0"/>
    <x v="0"/>
    <x v="177"/>
    <x v="8"/>
    <x v="358"/>
    <x v="519"/>
    <x v="533"/>
  </r>
  <r>
    <x v="3"/>
    <x v="0"/>
    <x v="2"/>
    <x v="220"/>
    <x v="11"/>
    <x v="359"/>
    <x v="520"/>
    <x v="534"/>
  </r>
  <r>
    <x v="0"/>
    <x v="0"/>
    <x v="2"/>
    <x v="5"/>
    <x v="25"/>
    <x v="33"/>
    <x v="521"/>
    <x v="535"/>
  </r>
  <r>
    <x v="3"/>
    <x v="0"/>
    <x v="2"/>
    <x v="175"/>
    <x v="10"/>
    <x v="180"/>
    <x v="522"/>
    <x v="536"/>
  </r>
  <r>
    <x v="1"/>
    <x v="0"/>
    <x v="1"/>
    <x v="51"/>
    <x v="20"/>
    <x v="50"/>
    <x v="523"/>
    <x v="537"/>
  </r>
  <r>
    <x v="1"/>
    <x v="0"/>
    <x v="1"/>
    <x v="207"/>
    <x v="13"/>
    <x v="360"/>
    <x v="524"/>
    <x v="538"/>
  </r>
  <r>
    <x v="1"/>
    <x v="0"/>
    <x v="2"/>
    <x v="37"/>
    <x v="7"/>
    <x v="161"/>
    <x v="525"/>
    <x v="539"/>
  </r>
  <r>
    <x v="1"/>
    <x v="0"/>
    <x v="1"/>
    <x v="205"/>
    <x v="18"/>
    <x v="361"/>
    <x v="526"/>
    <x v="540"/>
  </r>
  <r>
    <x v="0"/>
    <x v="0"/>
    <x v="2"/>
    <x v="132"/>
    <x v="28"/>
    <x v="362"/>
    <x v="527"/>
    <x v="541"/>
  </r>
  <r>
    <x v="1"/>
    <x v="0"/>
    <x v="1"/>
    <x v="200"/>
    <x v="11"/>
    <x v="363"/>
    <x v="349"/>
    <x v="542"/>
  </r>
  <r>
    <x v="3"/>
    <x v="0"/>
    <x v="2"/>
    <x v="11"/>
    <x v="22"/>
    <x v="138"/>
    <x v="528"/>
    <x v="543"/>
  </r>
  <r>
    <x v="1"/>
    <x v="0"/>
    <x v="1"/>
    <x v="190"/>
    <x v="17"/>
    <x v="35"/>
    <x v="529"/>
    <x v="544"/>
  </r>
  <r>
    <x v="1"/>
    <x v="0"/>
    <x v="1"/>
    <x v="202"/>
    <x v="6"/>
    <x v="317"/>
    <x v="530"/>
    <x v="545"/>
  </r>
  <r>
    <x v="0"/>
    <x v="0"/>
    <x v="0"/>
    <x v="193"/>
    <x v="12"/>
    <x v="8"/>
    <x v="531"/>
    <x v="546"/>
  </r>
  <r>
    <x v="3"/>
    <x v="0"/>
    <x v="2"/>
    <x v="106"/>
    <x v="23"/>
    <x v="111"/>
    <x v="532"/>
    <x v="547"/>
  </r>
  <r>
    <x v="0"/>
    <x v="0"/>
    <x v="0"/>
    <x v="221"/>
    <x v="13"/>
    <x v="276"/>
    <x v="533"/>
    <x v="548"/>
  </r>
  <r>
    <x v="3"/>
    <x v="0"/>
    <x v="2"/>
    <x v="56"/>
    <x v="15"/>
    <x v="3"/>
    <x v="534"/>
    <x v="549"/>
  </r>
  <r>
    <x v="3"/>
    <x v="0"/>
    <x v="2"/>
    <x v="11"/>
    <x v="6"/>
    <x v="166"/>
    <x v="535"/>
    <x v="550"/>
  </r>
  <r>
    <x v="1"/>
    <x v="0"/>
    <x v="2"/>
    <x v="190"/>
    <x v="20"/>
    <x v="24"/>
    <x v="536"/>
    <x v="551"/>
  </r>
  <r>
    <x v="1"/>
    <x v="0"/>
    <x v="1"/>
    <x v="164"/>
    <x v="6"/>
    <x v="364"/>
    <x v="537"/>
    <x v="552"/>
  </r>
  <r>
    <x v="0"/>
    <x v="0"/>
    <x v="0"/>
    <x v="135"/>
    <x v="8"/>
    <x v="79"/>
    <x v="538"/>
    <x v="553"/>
  </r>
  <r>
    <x v="0"/>
    <x v="0"/>
    <x v="2"/>
    <x v="64"/>
    <x v="22"/>
    <x v="365"/>
    <x v="438"/>
    <x v="554"/>
  </r>
  <r>
    <x v="1"/>
    <x v="0"/>
    <x v="2"/>
    <x v="32"/>
    <x v="2"/>
    <x v="2"/>
    <x v="539"/>
    <x v="555"/>
  </r>
  <r>
    <x v="1"/>
    <x v="0"/>
    <x v="1"/>
    <x v="125"/>
    <x v="0"/>
    <x v="13"/>
    <x v="540"/>
    <x v="556"/>
  </r>
  <r>
    <x v="3"/>
    <x v="0"/>
    <x v="2"/>
    <x v="204"/>
    <x v="3"/>
    <x v="366"/>
    <x v="541"/>
    <x v="557"/>
  </r>
  <r>
    <x v="0"/>
    <x v="0"/>
    <x v="0"/>
    <x v="186"/>
    <x v="16"/>
    <x v="367"/>
    <x v="542"/>
    <x v="558"/>
  </r>
  <r>
    <x v="0"/>
    <x v="0"/>
    <x v="2"/>
    <x v="141"/>
    <x v="14"/>
    <x v="368"/>
    <x v="543"/>
    <x v="559"/>
  </r>
  <r>
    <x v="0"/>
    <x v="0"/>
    <x v="2"/>
    <x v="217"/>
    <x v="14"/>
    <x v="188"/>
    <x v="544"/>
    <x v="560"/>
  </r>
  <r>
    <x v="1"/>
    <x v="0"/>
    <x v="2"/>
    <x v="146"/>
    <x v="10"/>
    <x v="369"/>
    <x v="545"/>
    <x v="561"/>
  </r>
  <r>
    <x v="1"/>
    <x v="0"/>
    <x v="1"/>
    <x v="221"/>
    <x v="6"/>
    <x v="315"/>
    <x v="546"/>
    <x v="562"/>
  </r>
  <r>
    <x v="1"/>
    <x v="0"/>
    <x v="2"/>
    <x v="90"/>
    <x v="10"/>
    <x v="89"/>
    <x v="547"/>
    <x v="563"/>
  </r>
  <r>
    <x v="3"/>
    <x v="0"/>
    <x v="2"/>
    <x v="47"/>
    <x v="3"/>
    <x v="370"/>
    <x v="548"/>
    <x v="564"/>
  </r>
  <r>
    <x v="0"/>
    <x v="0"/>
    <x v="0"/>
    <x v="151"/>
    <x v="3"/>
    <x v="371"/>
    <x v="549"/>
    <x v="565"/>
  </r>
  <r>
    <x v="0"/>
    <x v="0"/>
    <x v="2"/>
    <x v="50"/>
    <x v="4"/>
    <x v="198"/>
    <x v="550"/>
    <x v="566"/>
  </r>
  <r>
    <x v="3"/>
    <x v="0"/>
    <x v="2"/>
    <x v="174"/>
    <x v="10"/>
    <x v="372"/>
    <x v="551"/>
    <x v="567"/>
  </r>
  <r>
    <x v="1"/>
    <x v="0"/>
    <x v="1"/>
    <x v="25"/>
    <x v="1"/>
    <x v="373"/>
    <x v="552"/>
    <x v="568"/>
  </r>
  <r>
    <x v="3"/>
    <x v="0"/>
    <x v="2"/>
    <x v="151"/>
    <x v="3"/>
    <x v="371"/>
    <x v="553"/>
    <x v="569"/>
  </r>
  <r>
    <x v="0"/>
    <x v="0"/>
    <x v="2"/>
    <x v="25"/>
    <x v="22"/>
    <x v="374"/>
    <x v="554"/>
    <x v="570"/>
  </r>
  <r>
    <x v="0"/>
    <x v="0"/>
    <x v="0"/>
    <x v="184"/>
    <x v="11"/>
    <x v="375"/>
    <x v="555"/>
    <x v="571"/>
  </r>
  <r>
    <x v="1"/>
    <x v="0"/>
    <x v="1"/>
    <x v="144"/>
    <x v="0"/>
    <x v="376"/>
    <x v="556"/>
    <x v="572"/>
  </r>
  <r>
    <x v="3"/>
    <x v="0"/>
    <x v="2"/>
    <x v="84"/>
    <x v="10"/>
    <x v="377"/>
    <x v="557"/>
    <x v="573"/>
  </r>
  <r>
    <x v="1"/>
    <x v="0"/>
    <x v="2"/>
    <x v="29"/>
    <x v="22"/>
    <x v="378"/>
    <x v="558"/>
    <x v="574"/>
  </r>
  <r>
    <x v="1"/>
    <x v="0"/>
    <x v="2"/>
    <x v="34"/>
    <x v="5"/>
    <x v="379"/>
    <x v="559"/>
    <x v="575"/>
  </r>
  <r>
    <x v="2"/>
    <x v="0"/>
    <x v="2"/>
    <x v="30"/>
    <x v="1"/>
    <x v="317"/>
    <x v="560"/>
    <x v="576"/>
  </r>
  <r>
    <x v="0"/>
    <x v="0"/>
    <x v="0"/>
    <x v="67"/>
    <x v="12"/>
    <x v="380"/>
    <x v="561"/>
    <x v="577"/>
  </r>
  <r>
    <x v="0"/>
    <x v="0"/>
    <x v="0"/>
    <x v="29"/>
    <x v="0"/>
    <x v="381"/>
    <x v="562"/>
    <x v="578"/>
  </r>
  <r>
    <x v="1"/>
    <x v="0"/>
    <x v="1"/>
    <x v="222"/>
    <x v="13"/>
    <x v="382"/>
    <x v="563"/>
    <x v="579"/>
  </r>
  <r>
    <x v="0"/>
    <x v="0"/>
    <x v="2"/>
    <x v="223"/>
    <x v="7"/>
    <x v="27"/>
    <x v="564"/>
    <x v="580"/>
  </r>
  <r>
    <x v="3"/>
    <x v="0"/>
    <x v="2"/>
    <x v="124"/>
    <x v="3"/>
    <x v="383"/>
    <x v="565"/>
    <x v="581"/>
  </r>
  <r>
    <x v="0"/>
    <x v="0"/>
    <x v="0"/>
    <x v="92"/>
    <x v="13"/>
    <x v="384"/>
    <x v="566"/>
    <x v="582"/>
  </r>
  <r>
    <x v="0"/>
    <x v="0"/>
    <x v="0"/>
    <x v="88"/>
    <x v="3"/>
    <x v="257"/>
    <x v="567"/>
    <x v="583"/>
  </r>
  <r>
    <x v="2"/>
    <x v="0"/>
    <x v="2"/>
    <x v="64"/>
    <x v="16"/>
    <x v="287"/>
    <x v="568"/>
    <x v="584"/>
  </r>
  <r>
    <x v="1"/>
    <x v="0"/>
    <x v="2"/>
    <x v="181"/>
    <x v="5"/>
    <x v="375"/>
    <x v="569"/>
    <x v="585"/>
  </r>
  <r>
    <x v="2"/>
    <x v="0"/>
    <x v="2"/>
    <x v="28"/>
    <x v="8"/>
    <x v="385"/>
    <x v="570"/>
    <x v="586"/>
  </r>
  <r>
    <x v="1"/>
    <x v="0"/>
    <x v="2"/>
    <x v="46"/>
    <x v="29"/>
    <x v="0"/>
    <x v="571"/>
    <x v="587"/>
  </r>
  <r>
    <x v="1"/>
    <x v="0"/>
    <x v="2"/>
    <x v="143"/>
    <x v="7"/>
    <x v="386"/>
    <x v="572"/>
    <x v="588"/>
  </r>
  <r>
    <x v="0"/>
    <x v="0"/>
    <x v="0"/>
    <x v="26"/>
    <x v="17"/>
    <x v="292"/>
    <x v="573"/>
    <x v="589"/>
  </r>
  <r>
    <x v="0"/>
    <x v="0"/>
    <x v="0"/>
    <x v="28"/>
    <x v="0"/>
    <x v="27"/>
    <x v="574"/>
    <x v="590"/>
  </r>
  <r>
    <x v="1"/>
    <x v="0"/>
    <x v="1"/>
    <x v="15"/>
    <x v="13"/>
    <x v="387"/>
    <x v="575"/>
    <x v="591"/>
  </r>
  <r>
    <x v="0"/>
    <x v="0"/>
    <x v="2"/>
    <x v="224"/>
    <x v="11"/>
    <x v="388"/>
    <x v="576"/>
    <x v="592"/>
  </r>
  <r>
    <x v="2"/>
    <x v="0"/>
    <x v="2"/>
    <x v="186"/>
    <x v="22"/>
    <x v="389"/>
    <x v="577"/>
    <x v="593"/>
  </r>
  <r>
    <x v="1"/>
    <x v="0"/>
    <x v="2"/>
    <x v="132"/>
    <x v="24"/>
    <x v="364"/>
    <x v="578"/>
    <x v="594"/>
  </r>
  <r>
    <x v="2"/>
    <x v="0"/>
    <x v="2"/>
    <x v="49"/>
    <x v="5"/>
    <x v="390"/>
    <x v="236"/>
    <x v="595"/>
  </r>
  <r>
    <x v="1"/>
    <x v="0"/>
    <x v="2"/>
    <x v="51"/>
    <x v="27"/>
    <x v="391"/>
    <x v="579"/>
    <x v="596"/>
  </r>
  <r>
    <x v="1"/>
    <x v="0"/>
    <x v="2"/>
    <x v="130"/>
    <x v="17"/>
    <x v="277"/>
    <x v="580"/>
    <x v="597"/>
  </r>
  <r>
    <x v="2"/>
    <x v="0"/>
    <x v="2"/>
    <x v="225"/>
    <x v="6"/>
    <x v="85"/>
    <x v="581"/>
    <x v="598"/>
  </r>
  <r>
    <x v="1"/>
    <x v="0"/>
    <x v="2"/>
    <x v="157"/>
    <x v="10"/>
    <x v="214"/>
    <x v="582"/>
    <x v="599"/>
  </r>
  <r>
    <x v="2"/>
    <x v="0"/>
    <x v="2"/>
    <x v="226"/>
    <x v="22"/>
    <x v="392"/>
    <x v="583"/>
    <x v="600"/>
  </r>
  <r>
    <x v="0"/>
    <x v="0"/>
    <x v="2"/>
    <x v="21"/>
    <x v="0"/>
    <x v="393"/>
    <x v="125"/>
    <x v="601"/>
  </r>
  <r>
    <x v="1"/>
    <x v="0"/>
    <x v="2"/>
    <x v="227"/>
    <x v="17"/>
    <x v="394"/>
    <x v="584"/>
    <x v="602"/>
  </r>
  <r>
    <x v="0"/>
    <x v="0"/>
    <x v="2"/>
    <x v="132"/>
    <x v="10"/>
    <x v="395"/>
    <x v="585"/>
    <x v="603"/>
  </r>
  <r>
    <x v="2"/>
    <x v="0"/>
    <x v="2"/>
    <x v="228"/>
    <x v="13"/>
    <x v="396"/>
    <x v="586"/>
    <x v="604"/>
  </r>
  <r>
    <x v="0"/>
    <x v="0"/>
    <x v="0"/>
    <x v="42"/>
    <x v="13"/>
    <x v="397"/>
    <x v="587"/>
    <x v="605"/>
  </r>
  <r>
    <x v="0"/>
    <x v="0"/>
    <x v="0"/>
    <x v="12"/>
    <x v="22"/>
    <x v="120"/>
    <x v="588"/>
    <x v="606"/>
  </r>
  <r>
    <x v="2"/>
    <x v="0"/>
    <x v="2"/>
    <x v="102"/>
    <x v="24"/>
    <x v="299"/>
    <x v="589"/>
    <x v="607"/>
  </r>
  <r>
    <x v="0"/>
    <x v="0"/>
    <x v="2"/>
    <x v="85"/>
    <x v="28"/>
    <x v="398"/>
    <x v="590"/>
    <x v="608"/>
  </r>
  <r>
    <x v="1"/>
    <x v="0"/>
    <x v="2"/>
    <x v="46"/>
    <x v="25"/>
    <x v="379"/>
    <x v="591"/>
    <x v="609"/>
  </r>
  <r>
    <x v="1"/>
    <x v="0"/>
    <x v="2"/>
    <x v="17"/>
    <x v="28"/>
    <x v="275"/>
    <x v="447"/>
    <x v="610"/>
  </r>
  <r>
    <x v="3"/>
    <x v="0"/>
    <x v="2"/>
    <x v="214"/>
    <x v="10"/>
    <x v="380"/>
    <x v="592"/>
    <x v="611"/>
  </r>
  <r>
    <x v="1"/>
    <x v="0"/>
    <x v="2"/>
    <x v="106"/>
    <x v="6"/>
    <x v="296"/>
    <x v="593"/>
    <x v="612"/>
  </r>
  <r>
    <x v="3"/>
    <x v="0"/>
    <x v="2"/>
    <x v="75"/>
    <x v="2"/>
    <x v="2"/>
    <x v="594"/>
    <x v="613"/>
  </r>
  <r>
    <x v="3"/>
    <x v="0"/>
    <x v="2"/>
    <x v="150"/>
    <x v="11"/>
    <x v="291"/>
    <x v="595"/>
    <x v="614"/>
  </r>
  <r>
    <x v="2"/>
    <x v="0"/>
    <x v="2"/>
    <x v="160"/>
    <x v="13"/>
    <x v="53"/>
    <x v="596"/>
    <x v="615"/>
  </r>
  <r>
    <x v="0"/>
    <x v="0"/>
    <x v="0"/>
    <x v="32"/>
    <x v="6"/>
    <x v="25"/>
    <x v="597"/>
    <x v="616"/>
  </r>
  <r>
    <x v="1"/>
    <x v="0"/>
    <x v="1"/>
    <x v="14"/>
    <x v="14"/>
    <x v="245"/>
    <x v="598"/>
    <x v="617"/>
  </r>
  <r>
    <x v="1"/>
    <x v="0"/>
    <x v="2"/>
    <x v="10"/>
    <x v="11"/>
    <x v="399"/>
    <x v="599"/>
    <x v="618"/>
  </r>
  <r>
    <x v="2"/>
    <x v="0"/>
    <x v="2"/>
    <x v="64"/>
    <x v="1"/>
    <x v="400"/>
    <x v="600"/>
    <x v="619"/>
  </r>
  <r>
    <x v="3"/>
    <x v="0"/>
    <x v="2"/>
    <x v="11"/>
    <x v="3"/>
    <x v="393"/>
    <x v="601"/>
    <x v="620"/>
  </r>
  <r>
    <x v="2"/>
    <x v="0"/>
    <x v="2"/>
    <x v="192"/>
    <x v="2"/>
    <x v="2"/>
    <x v="602"/>
    <x v="621"/>
  </r>
  <r>
    <x v="1"/>
    <x v="0"/>
    <x v="2"/>
    <x v="37"/>
    <x v="2"/>
    <x v="2"/>
    <x v="603"/>
    <x v="622"/>
  </r>
  <r>
    <x v="1"/>
    <x v="0"/>
    <x v="1"/>
    <x v="145"/>
    <x v="0"/>
    <x v="241"/>
    <x v="604"/>
    <x v="623"/>
  </r>
  <r>
    <x v="0"/>
    <x v="0"/>
    <x v="2"/>
    <x v="118"/>
    <x v="16"/>
    <x v="211"/>
    <x v="605"/>
    <x v="624"/>
  </r>
  <r>
    <x v="3"/>
    <x v="0"/>
    <x v="2"/>
    <x v="216"/>
    <x v="22"/>
    <x v="162"/>
    <x v="606"/>
    <x v="625"/>
  </r>
  <r>
    <x v="1"/>
    <x v="0"/>
    <x v="1"/>
    <x v="222"/>
    <x v="3"/>
    <x v="401"/>
    <x v="607"/>
    <x v="626"/>
  </r>
  <r>
    <x v="1"/>
    <x v="0"/>
    <x v="1"/>
    <x v="226"/>
    <x v="11"/>
    <x v="402"/>
    <x v="608"/>
    <x v="627"/>
  </r>
  <r>
    <x v="1"/>
    <x v="0"/>
    <x v="2"/>
    <x v="100"/>
    <x v="2"/>
    <x v="2"/>
    <x v="609"/>
    <x v="628"/>
  </r>
  <r>
    <x v="1"/>
    <x v="0"/>
    <x v="2"/>
    <x v="123"/>
    <x v="6"/>
    <x v="403"/>
    <x v="610"/>
    <x v="629"/>
  </r>
  <r>
    <x v="2"/>
    <x v="0"/>
    <x v="2"/>
    <x v="145"/>
    <x v="22"/>
    <x v="404"/>
    <x v="611"/>
    <x v="630"/>
  </r>
  <r>
    <x v="1"/>
    <x v="0"/>
    <x v="1"/>
    <x v="39"/>
    <x v="6"/>
    <x v="196"/>
    <x v="612"/>
    <x v="631"/>
  </r>
  <r>
    <x v="1"/>
    <x v="0"/>
    <x v="2"/>
    <x v="121"/>
    <x v="25"/>
    <x v="145"/>
    <x v="613"/>
    <x v="632"/>
  </r>
  <r>
    <x v="0"/>
    <x v="0"/>
    <x v="2"/>
    <x v="160"/>
    <x v="13"/>
    <x v="53"/>
    <x v="614"/>
    <x v="633"/>
  </r>
  <r>
    <x v="0"/>
    <x v="0"/>
    <x v="2"/>
    <x v="80"/>
    <x v="3"/>
    <x v="405"/>
    <x v="615"/>
    <x v="634"/>
  </r>
  <r>
    <x v="1"/>
    <x v="0"/>
    <x v="1"/>
    <x v="100"/>
    <x v="2"/>
    <x v="2"/>
    <x v="616"/>
    <x v="635"/>
  </r>
  <r>
    <x v="2"/>
    <x v="0"/>
    <x v="2"/>
    <x v="140"/>
    <x v="24"/>
    <x v="406"/>
    <x v="617"/>
    <x v="636"/>
  </r>
  <r>
    <x v="2"/>
    <x v="0"/>
    <x v="2"/>
    <x v="25"/>
    <x v="10"/>
    <x v="232"/>
    <x v="618"/>
    <x v="637"/>
  </r>
  <r>
    <x v="2"/>
    <x v="0"/>
    <x v="2"/>
    <x v="27"/>
    <x v="5"/>
    <x v="407"/>
    <x v="619"/>
    <x v="638"/>
  </r>
  <r>
    <x v="1"/>
    <x v="0"/>
    <x v="2"/>
    <x v="229"/>
    <x v="25"/>
    <x v="408"/>
    <x v="620"/>
    <x v="639"/>
  </r>
  <r>
    <x v="3"/>
    <x v="0"/>
    <x v="2"/>
    <x v="223"/>
    <x v="7"/>
    <x v="27"/>
    <x v="621"/>
    <x v="640"/>
  </r>
  <r>
    <x v="0"/>
    <x v="0"/>
    <x v="0"/>
    <x v="30"/>
    <x v="16"/>
    <x v="326"/>
    <x v="622"/>
    <x v="641"/>
  </r>
  <r>
    <x v="2"/>
    <x v="0"/>
    <x v="2"/>
    <x v="115"/>
    <x v="8"/>
    <x v="409"/>
    <x v="623"/>
    <x v="642"/>
  </r>
  <r>
    <x v="1"/>
    <x v="0"/>
    <x v="2"/>
    <x v="230"/>
    <x v="1"/>
    <x v="106"/>
    <x v="624"/>
    <x v="643"/>
  </r>
  <r>
    <x v="1"/>
    <x v="0"/>
    <x v="2"/>
    <x v="216"/>
    <x v="17"/>
    <x v="410"/>
    <x v="625"/>
    <x v="644"/>
  </r>
  <r>
    <x v="1"/>
    <x v="0"/>
    <x v="2"/>
    <x v="219"/>
    <x v="6"/>
    <x v="253"/>
    <x v="626"/>
    <x v="645"/>
  </r>
  <r>
    <x v="1"/>
    <x v="0"/>
    <x v="2"/>
    <x v="216"/>
    <x v="0"/>
    <x v="339"/>
    <x v="490"/>
    <x v="646"/>
  </r>
  <r>
    <x v="0"/>
    <x v="0"/>
    <x v="2"/>
    <x v="84"/>
    <x v="10"/>
    <x v="377"/>
    <x v="627"/>
    <x v="647"/>
  </r>
  <r>
    <x v="0"/>
    <x v="0"/>
    <x v="0"/>
    <x v="10"/>
    <x v="1"/>
    <x v="15"/>
    <x v="628"/>
    <x v="648"/>
  </r>
  <r>
    <x v="0"/>
    <x v="0"/>
    <x v="0"/>
    <x v="231"/>
    <x v="10"/>
    <x v="411"/>
    <x v="629"/>
    <x v="649"/>
  </r>
  <r>
    <x v="0"/>
    <x v="0"/>
    <x v="0"/>
    <x v="154"/>
    <x v="5"/>
    <x v="123"/>
    <x v="630"/>
    <x v="650"/>
  </r>
  <r>
    <x v="0"/>
    <x v="0"/>
    <x v="0"/>
    <x v="151"/>
    <x v="24"/>
    <x v="189"/>
    <x v="631"/>
    <x v="651"/>
  </r>
  <r>
    <x v="3"/>
    <x v="0"/>
    <x v="2"/>
    <x v="59"/>
    <x v="10"/>
    <x v="139"/>
    <x v="632"/>
    <x v="652"/>
  </r>
  <r>
    <x v="1"/>
    <x v="0"/>
    <x v="1"/>
    <x v="147"/>
    <x v="2"/>
    <x v="2"/>
    <x v="633"/>
    <x v="653"/>
  </r>
  <r>
    <x v="0"/>
    <x v="0"/>
    <x v="2"/>
    <x v="232"/>
    <x v="13"/>
    <x v="323"/>
    <x v="634"/>
    <x v="654"/>
  </r>
  <r>
    <x v="3"/>
    <x v="0"/>
    <x v="2"/>
    <x v="120"/>
    <x v="13"/>
    <x v="296"/>
    <x v="635"/>
    <x v="655"/>
  </r>
  <r>
    <x v="0"/>
    <x v="0"/>
    <x v="0"/>
    <x v="132"/>
    <x v="13"/>
    <x v="319"/>
    <x v="636"/>
    <x v="656"/>
  </r>
  <r>
    <x v="2"/>
    <x v="0"/>
    <x v="2"/>
    <x v="198"/>
    <x v="11"/>
    <x v="412"/>
    <x v="637"/>
    <x v="657"/>
  </r>
  <r>
    <x v="0"/>
    <x v="0"/>
    <x v="2"/>
    <x v="188"/>
    <x v="9"/>
    <x v="413"/>
    <x v="638"/>
    <x v="658"/>
  </r>
  <r>
    <x v="1"/>
    <x v="0"/>
    <x v="1"/>
    <x v="233"/>
    <x v="1"/>
    <x v="414"/>
    <x v="69"/>
    <x v="659"/>
  </r>
  <r>
    <x v="1"/>
    <x v="0"/>
    <x v="1"/>
    <x v="2"/>
    <x v="6"/>
    <x v="67"/>
    <x v="639"/>
    <x v="660"/>
  </r>
  <r>
    <x v="0"/>
    <x v="0"/>
    <x v="2"/>
    <x v="234"/>
    <x v="6"/>
    <x v="283"/>
    <x v="640"/>
    <x v="661"/>
  </r>
  <r>
    <x v="2"/>
    <x v="0"/>
    <x v="2"/>
    <x v="184"/>
    <x v="1"/>
    <x v="213"/>
    <x v="641"/>
    <x v="662"/>
  </r>
  <r>
    <x v="2"/>
    <x v="0"/>
    <x v="2"/>
    <x v="234"/>
    <x v="10"/>
    <x v="415"/>
    <x v="642"/>
    <x v="663"/>
  </r>
  <r>
    <x v="2"/>
    <x v="0"/>
    <x v="2"/>
    <x v="13"/>
    <x v="0"/>
    <x v="7"/>
    <x v="192"/>
    <x v="664"/>
  </r>
  <r>
    <x v="1"/>
    <x v="0"/>
    <x v="2"/>
    <x v="210"/>
    <x v="2"/>
    <x v="2"/>
    <x v="643"/>
    <x v="665"/>
  </r>
  <r>
    <x v="2"/>
    <x v="0"/>
    <x v="2"/>
    <x v="166"/>
    <x v="3"/>
    <x v="416"/>
    <x v="644"/>
    <x v="666"/>
  </r>
  <r>
    <x v="1"/>
    <x v="0"/>
    <x v="1"/>
    <x v="73"/>
    <x v="11"/>
    <x v="73"/>
    <x v="645"/>
    <x v="667"/>
  </r>
  <r>
    <x v="1"/>
    <x v="0"/>
    <x v="2"/>
    <x v="48"/>
    <x v="16"/>
    <x v="417"/>
    <x v="646"/>
    <x v="668"/>
  </r>
  <r>
    <x v="3"/>
    <x v="0"/>
    <x v="2"/>
    <x v="205"/>
    <x v="3"/>
    <x v="418"/>
    <x v="647"/>
    <x v="669"/>
  </r>
  <r>
    <x v="1"/>
    <x v="0"/>
    <x v="2"/>
    <x v="98"/>
    <x v="15"/>
    <x v="419"/>
    <x v="648"/>
    <x v="670"/>
  </r>
  <r>
    <x v="0"/>
    <x v="0"/>
    <x v="2"/>
    <x v="168"/>
    <x v="17"/>
    <x v="420"/>
    <x v="649"/>
    <x v="671"/>
  </r>
  <r>
    <x v="1"/>
    <x v="0"/>
    <x v="1"/>
    <x v="174"/>
    <x v="7"/>
    <x v="390"/>
    <x v="650"/>
    <x v="672"/>
  </r>
  <r>
    <x v="1"/>
    <x v="0"/>
    <x v="1"/>
    <x v="141"/>
    <x v="22"/>
    <x v="421"/>
    <x v="651"/>
    <x v="673"/>
  </r>
  <r>
    <x v="0"/>
    <x v="0"/>
    <x v="2"/>
    <x v="132"/>
    <x v="5"/>
    <x v="253"/>
    <x v="652"/>
    <x v="674"/>
  </r>
  <r>
    <x v="0"/>
    <x v="0"/>
    <x v="0"/>
    <x v="17"/>
    <x v="1"/>
    <x v="422"/>
    <x v="9"/>
    <x v="675"/>
  </r>
  <r>
    <x v="1"/>
    <x v="0"/>
    <x v="1"/>
    <x v="153"/>
    <x v="24"/>
    <x v="423"/>
    <x v="653"/>
    <x v="676"/>
  </r>
  <r>
    <x v="0"/>
    <x v="0"/>
    <x v="0"/>
    <x v="133"/>
    <x v="7"/>
    <x v="101"/>
    <x v="417"/>
    <x v="677"/>
  </r>
  <r>
    <x v="0"/>
    <x v="0"/>
    <x v="2"/>
    <x v="26"/>
    <x v="15"/>
    <x v="131"/>
    <x v="654"/>
    <x v="678"/>
  </r>
  <r>
    <x v="3"/>
    <x v="0"/>
    <x v="2"/>
    <x v="167"/>
    <x v="16"/>
    <x v="114"/>
    <x v="655"/>
    <x v="679"/>
  </r>
  <r>
    <x v="1"/>
    <x v="0"/>
    <x v="2"/>
    <x v="201"/>
    <x v="4"/>
    <x v="424"/>
    <x v="656"/>
    <x v="680"/>
  </r>
  <r>
    <x v="2"/>
    <x v="0"/>
    <x v="2"/>
    <x v="161"/>
    <x v="5"/>
    <x v="356"/>
    <x v="224"/>
    <x v="681"/>
  </r>
  <r>
    <x v="1"/>
    <x v="0"/>
    <x v="2"/>
    <x v="161"/>
    <x v="9"/>
    <x v="6"/>
    <x v="657"/>
    <x v="682"/>
  </r>
  <r>
    <x v="2"/>
    <x v="0"/>
    <x v="2"/>
    <x v="82"/>
    <x v="11"/>
    <x v="272"/>
    <x v="658"/>
    <x v="683"/>
  </r>
  <r>
    <x v="3"/>
    <x v="0"/>
    <x v="2"/>
    <x v="149"/>
    <x v="11"/>
    <x v="425"/>
    <x v="659"/>
    <x v="684"/>
  </r>
  <r>
    <x v="3"/>
    <x v="0"/>
    <x v="2"/>
    <x v="82"/>
    <x v="11"/>
    <x v="272"/>
    <x v="660"/>
    <x v="685"/>
  </r>
  <r>
    <x v="2"/>
    <x v="0"/>
    <x v="2"/>
    <x v="119"/>
    <x v="28"/>
    <x v="140"/>
    <x v="661"/>
    <x v="686"/>
  </r>
  <r>
    <x v="0"/>
    <x v="0"/>
    <x v="0"/>
    <x v="192"/>
    <x v="5"/>
    <x v="426"/>
    <x v="662"/>
    <x v="687"/>
  </r>
  <r>
    <x v="1"/>
    <x v="0"/>
    <x v="1"/>
    <x v="59"/>
    <x v="24"/>
    <x v="413"/>
    <x v="663"/>
    <x v="688"/>
  </r>
  <r>
    <x v="2"/>
    <x v="0"/>
    <x v="2"/>
    <x v="40"/>
    <x v="5"/>
    <x v="427"/>
    <x v="664"/>
    <x v="689"/>
  </r>
  <r>
    <x v="0"/>
    <x v="0"/>
    <x v="0"/>
    <x v="177"/>
    <x v="12"/>
    <x v="368"/>
    <x v="665"/>
    <x v="690"/>
  </r>
  <r>
    <x v="3"/>
    <x v="0"/>
    <x v="2"/>
    <x v="14"/>
    <x v="9"/>
    <x v="88"/>
    <x v="666"/>
    <x v="691"/>
  </r>
  <r>
    <x v="2"/>
    <x v="0"/>
    <x v="2"/>
    <x v="226"/>
    <x v="10"/>
    <x v="155"/>
    <x v="341"/>
    <x v="692"/>
  </r>
  <r>
    <x v="3"/>
    <x v="0"/>
    <x v="2"/>
    <x v="5"/>
    <x v="1"/>
    <x v="428"/>
    <x v="667"/>
    <x v="693"/>
  </r>
  <r>
    <x v="0"/>
    <x v="0"/>
    <x v="2"/>
    <x v="100"/>
    <x v="7"/>
    <x v="189"/>
    <x v="88"/>
    <x v="694"/>
  </r>
  <r>
    <x v="1"/>
    <x v="0"/>
    <x v="1"/>
    <x v="211"/>
    <x v="12"/>
    <x v="379"/>
    <x v="668"/>
    <x v="695"/>
  </r>
  <r>
    <x v="0"/>
    <x v="0"/>
    <x v="2"/>
    <x v="104"/>
    <x v="2"/>
    <x v="2"/>
    <x v="31"/>
    <x v="696"/>
  </r>
  <r>
    <x v="3"/>
    <x v="0"/>
    <x v="2"/>
    <x v="85"/>
    <x v="23"/>
    <x v="340"/>
    <x v="669"/>
    <x v="697"/>
  </r>
  <r>
    <x v="0"/>
    <x v="0"/>
    <x v="2"/>
    <x v="81"/>
    <x v="2"/>
    <x v="2"/>
    <x v="670"/>
    <x v="698"/>
  </r>
  <r>
    <x v="0"/>
    <x v="0"/>
    <x v="0"/>
    <x v="90"/>
    <x v="10"/>
    <x v="89"/>
    <x v="671"/>
    <x v="699"/>
  </r>
  <r>
    <x v="1"/>
    <x v="0"/>
    <x v="2"/>
    <x v="64"/>
    <x v="15"/>
    <x v="403"/>
    <x v="672"/>
    <x v="700"/>
  </r>
  <r>
    <x v="2"/>
    <x v="0"/>
    <x v="2"/>
    <x v="48"/>
    <x v="25"/>
    <x v="114"/>
    <x v="673"/>
    <x v="701"/>
  </r>
  <r>
    <x v="2"/>
    <x v="0"/>
    <x v="2"/>
    <x v="53"/>
    <x v="0"/>
    <x v="395"/>
    <x v="674"/>
    <x v="702"/>
  </r>
  <r>
    <x v="1"/>
    <x v="0"/>
    <x v="2"/>
    <x v="48"/>
    <x v="25"/>
    <x v="114"/>
    <x v="675"/>
    <x v="703"/>
  </r>
  <r>
    <x v="0"/>
    <x v="0"/>
    <x v="0"/>
    <x v="70"/>
    <x v="11"/>
    <x v="429"/>
    <x v="676"/>
    <x v="704"/>
  </r>
  <r>
    <x v="3"/>
    <x v="0"/>
    <x v="2"/>
    <x v="235"/>
    <x v="25"/>
    <x v="77"/>
    <x v="677"/>
    <x v="705"/>
  </r>
  <r>
    <x v="3"/>
    <x v="0"/>
    <x v="2"/>
    <x v="80"/>
    <x v="6"/>
    <x v="300"/>
    <x v="678"/>
    <x v="706"/>
  </r>
  <r>
    <x v="0"/>
    <x v="0"/>
    <x v="2"/>
    <x v="51"/>
    <x v="28"/>
    <x v="361"/>
    <x v="679"/>
    <x v="707"/>
  </r>
  <r>
    <x v="1"/>
    <x v="0"/>
    <x v="1"/>
    <x v="134"/>
    <x v="2"/>
    <x v="2"/>
    <x v="680"/>
    <x v="708"/>
  </r>
  <r>
    <x v="3"/>
    <x v="0"/>
    <x v="2"/>
    <x v="87"/>
    <x v="11"/>
    <x v="38"/>
    <x v="681"/>
    <x v="709"/>
  </r>
  <r>
    <x v="0"/>
    <x v="0"/>
    <x v="0"/>
    <x v="214"/>
    <x v="13"/>
    <x v="430"/>
    <x v="682"/>
    <x v="710"/>
  </r>
  <r>
    <x v="1"/>
    <x v="0"/>
    <x v="1"/>
    <x v="193"/>
    <x v="0"/>
    <x v="97"/>
    <x v="683"/>
    <x v="711"/>
  </r>
  <r>
    <x v="1"/>
    <x v="0"/>
    <x v="2"/>
    <x v="205"/>
    <x v="1"/>
    <x v="255"/>
    <x v="684"/>
    <x v="712"/>
  </r>
  <r>
    <x v="1"/>
    <x v="0"/>
    <x v="2"/>
    <x v="236"/>
    <x v="6"/>
    <x v="395"/>
    <x v="685"/>
    <x v="713"/>
  </r>
  <r>
    <x v="2"/>
    <x v="0"/>
    <x v="2"/>
    <x v="117"/>
    <x v="24"/>
    <x v="75"/>
    <x v="686"/>
    <x v="714"/>
  </r>
  <r>
    <x v="0"/>
    <x v="0"/>
    <x v="0"/>
    <x v="93"/>
    <x v="12"/>
    <x v="238"/>
    <x v="153"/>
    <x v="715"/>
  </r>
  <r>
    <x v="0"/>
    <x v="0"/>
    <x v="0"/>
    <x v="197"/>
    <x v="0"/>
    <x v="431"/>
    <x v="687"/>
    <x v="716"/>
  </r>
  <r>
    <x v="0"/>
    <x v="0"/>
    <x v="2"/>
    <x v="172"/>
    <x v="13"/>
    <x v="432"/>
    <x v="346"/>
    <x v="717"/>
  </r>
  <r>
    <x v="2"/>
    <x v="0"/>
    <x v="2"/>
    <x v="143"/>
    <x v="17"/>
    <x v="194"/>
    <x v="688"/>
    <x v="718"/>
  </r>
  <r>
    <x v="0"/>
    <x v="0"/>
    <x v="2"/>
    <x v="175"/>
    <x v="9"/>
    <x v="151"/>
    <x v="689"/>
    <x v="719"/>
  </r>
  <r>
    <x v="1"/>
    <x v="0"/>
    <x v="1"/>
    <x v="156"/>
    <x v="11"/>
    <x v="433"/>
    <x v="690"/>
    <x v="720"/>
  </r>
  <r>
    <x v="0"/>
    <x v="0"/>
    <x v="0"/>
    <x v="6"/>
    <x v="11"/>
    <x v="93"/>
    <x v="504"/>
    <x v="721"/>
  </r>
  <r>
    <x v="1"/>
    <x v="0"/>
    <x v="1"/>
    <x v="191"/>
    <x v="1"/>
    <x v="248"/>
    <x v="691"/>
    <x v="722"/>
  </r>
  <r>
    <x v="0"/>
    <x v="0"/>
    <x v="0"/>
    <x v="67"/>
    <x v="8"/>
    <x v="133"/>
    <x v="692"/>
    <x v="723"/>
  </r>
  <r>
    <x v="0"/>
    <x v="0"/>
    <x v="2"/>
    <x v="98"/>
    <x v="5"/>
    <x v="187"/>
    <x v="693"/>
    <x v="724"/>
  </r>
  <r>
    <x v="2"/>
    <x v="0"/>
    <x v="2"/>
    <x v="182"/>
    <x v="0"/>
    <x v="434"/>
    <x v="694"/>
    <x v="725"/>
  </r>
  <r>
    <x v="0"/>
    <x v="0"/>
    <x v="0"/>
    <x v="71"/>
    <x v="8"/>
    <x v="173"/>
    <x v="695"/>
    <x v="726"/>
  </r>
  <r>
    <x v="1"/>
    <x v="0"/>
    <x v="1"/>
    <x v="154"/>
    <x v="3"/>
    <x v="224"/>
    <x v="696"/>
    <x v="727"/>
  </r>
  <r>
    <x v="1"/>
    <x v="0"/>
    <x v="2"/>
    <x v="218"/>
    <x v="2"/>
    <x v="2"/>
    <x v="697"/>
    <x v="728"/>
  </r>
  <r>
    <x v="1"/>
    <x v="0"/>
    <x v="2"/>
    <x v="233"/>
    <x v="22"/>
    <x v="435"/>
    <x v="698"/>
    <x v="729"/>
  </r>
  <r>
    <x v="0"/>
    <x v="0"/>
    <x v="0"/>
    <x v="237"/>
    <x v="2"/>
    <x v="2"/>
    <x v="699"/>
    <x v="730"/>
  </r>
  <r>
    <x v="2"/>
    <x v="0"/>
    <x v="2"/>
    <x v="122"/>
    <x v="3"/>
    <x v="436"/>
    <x v="700"/>
    <x v="731"/>
  </r>
  <r>
    <x v="1"/>
    <x v="0"/>
    <x v="1"/>
    <x v="74"/>
    <x v="13"/>
    <x v="250"/>
    <x v="701"/>
    <x v="732"/>
  </r>
  <r>
    <x v="0"/>
    <x v="0"/>
    <x v="0"/>
    <x v="78"/>
    <x v="10"/>
    <x v="437"/>
    <x v="702"/>
    <x v="733"/>
  </r>
  <r>
    <x v="0"/>
    <x v="0"/>
    <x v="0"/>
    <x v="232"/>
    <x v="16"/>
    <x v="131"/>
    <x v="370"/>
    <x v="734"/>
  </r>
  <r>
    <x v="3"/>
    <x v="0"/>
    <x v="2"/>
    <x v="3"/>
    <x v="18"/>
    <x v="438"/>
    <x v="703"/>
    <x v="735"/>
  </r>
  <r>
    <x v="2"/>
    <x v="0"/>
    <x v="2"/>
    <x v="136"/>
    <x v="9"/>
    <x v="84"/>
    <x v="704"/>
    <x v="736"/>
  </r>
  <r>
    <x v="1"/>
    <x v="0"/>
    <x v="2"/>
    <x v="121"/>
    <x v="15"/>
    <x v="59"/>
    <x v="705"/>
    <x v="737"/>
  </r>
  <r>
    <x v="0"/>
    <x v="0"/>
    <x v="0"/>
    <x v="148"/>
    <x v="0"/>
    <x v="439"/>
    <x v="706"/>
    <x v="738"/>
  </r>
  <r>
    <x v="0"/>
    <x v="0"/>
    <x v="2"/>
    <x v="90"/>
    <x v="6"/>
    <x v="386"/>
    <x v="707"/>
    <x v="739"/>
  </r>
  <r>
    <x v="0"/>
    <x v="0"/>
    <x v="0"/>
    <x v="166"/>
    <x v="4"/>
    <x v="84"/>
    <x v="708"/>
    <x v="740"/>
  </r>
  <r>
    <x v="0"/>
    <x v="0"/>
    <x v="2"/>
    <x v="98"/>
    <x v="14"/>
    <x v="103"/>
    <x v="709"/>
    <x v="741"/>
  </r>
  <r>
    <x v="0"/>
    <x v="0"/>
    <x v="0"/>
    <x v="113"/>
    <x v="14"/>
    <x v="63"/>
    <x v="710"/>
    <x v="742"/>
  </r>
  <r>
    <x v="0"/>
    <x v="0"/>
    <x v="0"/>
    <x v="139"/>
    <x v="0"/>
    <x v="431"/>
    <x v="711"/>
    <x v="743"/>
  </r>
  <r>
    <x v="2"/>
    <x v="0"/>
    <x v="2"/>
    <x v="48"/>
    <x v="3"/>
    <x v="211"/>
    <x v="594"/>
    <x v="744"/>
  </r>
  <r>
    <x v="3"/>
    <x v="0"/>
    <x v="2"/>
    <x v="171"/>
    <x v="11"/>
    <x v="387"/>
    <x v="712"/>
    <x v="745"/>
  </r>
  <r>
    <x v="3"/>
    <x v="0"/>
    <x v="2"/>
    <x v="185"/>
    <x v="11"/>
    <x v="440"/>
    <x v="713"/>
    <x v="746"/>
  </r>
  <r>
    <x v="2"/>
    <x v="0"/>
    <x v="2"/>
    <x v="122"/>
    <x v="22"/>
    <x v="441"/>
    <x v="714"/>
    <x v="747"/>
  </r>
  <r>
    <x v="1"/>
    <x v="0"/>
    <x v="2"/>
    <x v="31"/>
    <x v="22"/>
    <x v="197"/>
    <x v="715"/>
    <x v="748"/>
  </r>
  <r>
    <x v="0"/>
    <x v="0"/>
    <x v="2"/>
    <x v="45"/>
    <x v="13"/>
    <x v="442"/>
    <x v="344"/>
    <x v="749"/>
  </r>
  <r>
    <x v="1"/>
    <x v="0"/>
    <x v="1"/>
    <x v="225"/>
    <x v="6"/>
    <x v="85"/>
    <x v="716"/>
    <x v="750"/>
  </r>
  <r>
    <x v="3"/>
    <x v="0"/>
    <x v="2"/>
    <x v="212"/>
    <x v="13"/>
    <x v="443"/>
    <x v="717"/>
    <x v="751"/>
  </r>
  <r>
    <x v="0"/>
    <x v="0"/>
    <x v="0"/>
    <x v="171"/>
    <x v="25"/>
    <x v="444"/>
    <x v="718"/>
    <x v="752"/>
  </r>
  <r>
    <x v="1"/>
    <x v="0"/>
    <x v="1"/>
    <x v="18"/>
    <x v="16"/>
    <x v="242"/>
    <x v="719"/>
    <x v="753"/>
  </r>
  <r>
    <x v="1"/>
    <x v="0"/>
    <x v="2"/>
    <x v="2"/>
    <x v="2"/>
    <x v="2"/>
    <x v="120"/>
    <x v="754"/>
  </r>
  <r>
    <x v="2"/>
    <x v="0"/>
    <x v="2"/>
    <x v="102"/>
    <x v="0"/>
    <x v="352"/>
    <x v="720"/>
    <x v="755"/>
  </r>
  <r>
    <x v="2"/>
    <x v="0"/>
    <x v="2"/>
    <x v="172"/>
    <x v="17"/>
    <x v="445"/>
    <x v="721"/>
    <x v="756"/>
  </r>
  <r>
    <x v="3"/>
    <x v="0"/>
    <x v="2"/>
    <x v="166"/>
    <x v="5"/>
    <x v="446"/>
    <x v="722"/>
    <x v="757"/>
  </r>
  <r>
    <x v="3"/>
    <x v="0"/>
    <x v="2"/>
    <x v="238"/>
    <x v="11"/>
    <x v="356"/>
    <x v="723"/>
    <x v="758"/>
  </r>
  <r>
    <x v="2"/>
    <x v="0"/>
    <x v="2"/>
    <x v="195"/>
    <x v="18"/>
    <x v="404"/>
    <x v="724"/>
    <x v="759"/>
  </r>
  <r>
    <x v="3"/>
    <x v="0"/>
    <x v="2"/>
    <x v="222"/>
    <x v="6"/>
    <x v="447"/>
    <x v="725"/>
    <x v="760"/>
  </r>
  <r>
    <x v="3"/>
    <x v="0"/>
    <x v="2"/>
    <x v="226"/>
    <x v="5"/>
    <x v="448"/>
    <x v="726"/>
    <x v="761"/>
  </r>
  <r>
    <x v="3"/>
    <x v="0"/>
    <x v="2"/>
    <x v="28"/>
    <x v="14"/>
    <x v="449"/>
    <x v="727"/>
    <x v="762"/>
  </r>
  <r>
    <x v="0"/>
    <x v="0"/>
    <x v="0"/>
    <x v="132"/>
    <x v="5"/>
    <x v="253"/>
    <x v="728"/>
    <x v="763"/>
  </r>
  <r>
    <x v="0"/>
    <x v="0"/>
    <x v="0"/>
    <x v="124"/>
    <x v="10"/>
    <x v="63"/>
    <x v="729"/>
    <x v="764"/>
  </r>
  <r>
    <x v="2"/>
    <x v="0"/>
    <x v="2"/>
    <x v="143"/>
    <x v="15"/>
    <x v="450"/>
    <x v="730"/>
    <x v="765"/>
  </r>
  <r>
    <x v="0"/>
    <x v="0"/>
    <x v="0"/>
    <x v="82"/>
    <x v="7"/>
    <x v="154"/>
    <x v="731"/>
    <x v="766"/>
  </r>
  <r>
    <x v="3"/>
    <x v="0"/>
    <x v="2"/>
    <x v="231"/>
    <x v="2"/>
    <x v="2"/>
    <x v="732"/>
    <x v="767"/>
  </r>
  <r>
    <x v="1"/>
    <x v="0"/>
    <x v="1"/>
    <x v="36"/>
    <x v="18"/>
    <x v="451"/>
    <x v="280"/>
    <x v="768"/>
  </r>
  <r>
    <x v="3"/>
    <x v="0"/>
    <x v="2"/>
    <x v="224"/>
    <x v="1"/>
    <x v="56"/>
    <x v="733"/>
    <x v="769"/>
  </r>
  <r>
    <x v="2"/>
    <x v="0"/>
    <x v="2"/>
    <x v="95"/>
    <x v="9"/>
    <x v="262"/>
    <x v="734"/>
    <x v="770"/>
  </r>
  <r>
    <x v="1"/>
    <x v="0"/>
    <x v="2"/>
    <x v="73"/>
    <x v="15"/>
    <x v="452"/>
    <x v="735"/>
    <x v="771"/>
  </r>
  <r>
    <x v="3"/>
    <x v="0"/>
    <x v="2"/>
    <x v="168"/>
    <x v="8"/>
    <x v="150"/>
    <x v="736"/>
    <x v="772"/>
  </r>
  <r>
    <x v="0"/>
    <x v="0"/>
    <x v="2"/>
    <x v="126"/>
    <x v="25"/>
    <x v="453"/>
    <x v="737"/>
    <x v="773"/>
  </r>
  <r>
    <x v="1"/>
    <x v="0"/>
    <x v="1"/>
    <x v="163"/>
    <x v="16"/>
    <x v="454"/>
    <x v="738"/>
    <x v="774"/>
  </r>
  <r>
    <x v="1"/>
    <x v="0"/>
    <x v="2"/>
    <x v="72"/>
    <x v="28"/>
    <x v="127"/>
    <x v="401"/>
    <x v="775"/>
  </r>
  <r>
    <x v="0"/>
    <x v="0"/>
    <x v="2"/>
    <x v="71"/>
    <x v="17"/>
    <x v="455"/>
    <x v="739"/>
    <x v="776"/>
  </r>
  <r>
    <x v="3"/>
    <x v="0"/>
    <x v="2"/>
    <x v="213"/>
    <x v="13"/>
    <x v="335"/>
    <x v="740"/>
    <x v="777"/>
  </r>
  <r>
    <x v="1"/>
    <x v="0"/>
    <x v="2"/>
    <x v="48"/>
    <x v="6"/>
    <x v="456"/>
    <x v="741"/>
    <x v="778"/>
  </r>
  <r>
    <x v="0"/>
    <x v="0"/>
    <x v="0"/>
    <x v="26"/>
    <x v="11"/>
    <x v="30"/>
    <x v="742"/>
    <x v="779"/>
  </r>
  <r>
    <x v="1"/>
    <x v="0"/>
    <x v="2"/>
    <x v="18"/>
    <x v="3"/>
    <x v="140"/>
    <x v="743"/>
    <x v="780"/>
  </r>
  <r>
    <x v="1"/>
    <x v="0"/>
    <x v="2"/>
    <x v="226"/>
    <x v="10"/>
    <x v="155"/>
    <x v="744"/>
    <x v="781"/>
  </r>
  <r>
    <x v="0"/>
    <x v="0"/>
    <x v="0"/>
    <x v="172"/>
    <x v="8"/>
    <x v="142"/>
    <x v="745"/>
    <x v="782"/>
  </r>
  <r>
    <x v="1"/>
    <x v="0"/>
    <x v="2"/>
    <x v="32"/>
    <x v="11"/>
    <x v="60"/>
    <x v="746"/>
    <x v="783"/>
  </r>
  <r>
    <x v="1"/>
    <x v="0"/>
    <x v="2"/>
    <x v="141"/>
    <x v="15"/>
    <x v="130"/>
    <x v="747"/>
    <x v="784"/>
  </r>
  <r>
    <x v="0"/>
    <x v="0"/>
    <x v="0"/>
    <x v="92"/>
    <x v="3"/>
    <x v="457"/>
    <x v="748"/>
    <x v="785"/>
  </r>
  <r>
    <x v="2"/>
    <x v="0"/>
    <x v="2"/>
    <x v="64"/>
    <x v="5"/>
    <x v="458"/>
    <x v="749"/>
    <x v="786"/>
  </r>
  <r>
    <x v="0"/>
    <x v="0"/>
    <x v="2"/>
    <x v="162"/>
    <x v="12"/>
    <x v="459"/>
    <x v="750"/>
    <x v="787"/>
  </r>
  <r>
    <x v="1"/>
    <x v="0"/>
    <x v="1"/>
    <x v="69"/>
    <x v="13"/>
    <x v="191"/>
    <x v="751"/>
    <x v="788"/>
  </r>
  <r>
    <x v="0"/>
    <x v="0"/>
    <x v="0"/>
    <x v="103"/>
    <x v="12"/>
    <x v="114"/>
    <x v="357"/>
    <x v="789"/>
  </r>
  <r>
    <x v="0"/>
    <x v="0"/>
    <x v="0"/>
    <x v="143"/>
    <x v="16"/>
    <x v="68"/>
    <x v="752"/>
    <x v="790"/>
  </r>
  <r>
    <x v="0"/>
    <x v="0"/>
    <x v="2"/>
    <x v="32"/>
    <x v="0"/>
    <x v="217"/>
    <x v="753"/>
    <x v="791"/>
  </r>
  <r>
    <x v="1"/>
    <x v="0"/>
    <x v="2"/>
    <x v="37"/>
    <x v="11"/>
    <x v="46"/>
    <x v="754"/>
    <x v="792"/>
  </r>
  <r>
    <x v="1"/>
    <x v="0"/>
    <x v="2"/>
    <x v="151"/>
    <x v="15"/>
    <x v="260"/>
    <x v="755"/>
    <x v="793"/>
  </r>
  <r>
    <x v="3"/>
    <x v="0"/>
    <x v="2"/>
    <x v="49"/>
    <x v="1"/>
    <x v="460"/>
    <x v="756"/>
    <x v="794"/>
  </r>
  <r>
    <x v="1"/>
    <x v="0"/>
    <x v="2"/>
    <x v="87"/>
    <x v="13"/>
    <x v="57"/>
    <x v="757"/>
    <x v="795"/>
  </r>
  <r>
    <x v="0"/>
    <x v="0"/>
    <x v="2"/>
    <x v="47"/>
    <x v="8"/>
    <x v="461"/>
    <x v="758"/>
    <x v="796"/>
  </r>
  <r>
    <x v="2"/>
    <x v="0"/>
    <x v="2"/>
    <x v="188"/>
    <x v="5"/>
    <x v="339"/>
    <x v="759"/>
    <x v="797"/>
  </r>
  <r>
    <x v="1"/>
    <x v="0"/>
    <x v="2"/>
    <x v="64"/>
    <x v="12"/>
    <x v="212"/>
    <x v="760"/>
    <x v="798"/>
  </r>
  <r>
    <x v="1"/>
    <x v="0"/>
    <x v="2"/>
    <x v="222"/>
    <x v="7"/>
    <x v="462"/>
    <x v="761"/>
    <x v="799"/>
  </r>
  <r>
    <x v="0"/>
    <x v="0"/>
    <x v="0"/>
    <x v="13"/>
    <x v="12"/>
    <x v="463"/>
    <x v="762"/>
    <x v="800"/>
  </r>
  <r>
    <x v="1"/>
    <x v="0"/>
    <x v="1"/>
    <x v="114"/>
    <x v="17"/>
    <x v="200"/>
    <x v="610"/>
    <x v="801"/>
  </r>
  <r>
    <x v="0"/>
    <x v="0"/>
    <x v="0"/>
    <x v="88"/>
    <x v="4"/>
    <x v="464"/>
    <x v="763"/>
    <x v="802"/>
  </r>
  <r>
    <x v="1"/>
    <x v="0"/>
    <x v="1"/>
    <x v="214"/>
    <x v="5"/>
    <x v="465"/>
    <x v="764"/>
    <x v="803"/>
  </r>
  <r>
    <x v="1"/>
    <x v="0"/>
    <x v="2"/>
    <x v="204"/>
    <x v="2"/>
    <x v="2"/>
    <x v="765"/>
    <x v="804"/>
  </r>
  <r>
    <x v="0"/>
    <x v="0"/>
    <x v="2"/>
    <x v="200"/>
    <x v="15"/>
    <x v="406"/>
    <x v="620"/>
    <x v="805"/>
  </r>
  <r>
    <x v="1"/>
    <x v="0"/>
    <x v="1"/>
    <x v="239"/>
    <x v="0"/>
    <x v="112"/>
    <x v="766"/>
    <x v="806"/>
  </r>
  <r>
    <x v="2"/>
    <x v="0"/>
    <x v="2"/>
    <x v="61"/>
    <x v="22"/>
    <x v="466"/>
    <x v="767"/>
    <x v="807"/>
  </r>
  <r>
    <x v="0"/>
    <x v="0"/>
    <x v="2"/>
    <x v="59"/>
    <x v="17"/>
    <x v="467"/>
    <x v="768"/>
    <x v="808"/>
  </r>
  <r>
    <x v="0"/>
    <x v="0"/>
    <x v="0"/>
    <x v="91"/>
    <x v="1"/>
    <x v="20"/>
    <x v="769"/>
    <x v="809"/>
  </r>
  <r>
    <x v="2"/>
    <x v="0"/>
    <x v="2"/>
    <x v="53"/>
    <x v="5"/>
    <x v="414"/>
    <x v="770"/>
    <x v="810"/>
  </r>
  <r>
    <x v="1"/>
    <x v="0"/>
    <x v="2"/>
    <x v="181"/>
    <x v="12"/>
    <x v="101"/>
    <x v="645"/>
    <x v="811"/>
  </r>
  <r>
    <x v="3"/>
    <x v="0"/>
    <x v="2"/>
    <x v="145"/>
    <x v="5"/>
    <x v="180"/>
    <x v="771"/>
    <x v="812"/>
  </r>
  <r>
    <x v="1"/>
    <x v="0"/>
    <x v="1"/>
    <x v="75"/>
    <x v="15"/>
    <x v="313"/>
    <x v="772"/>
    <x v="813"/>
  </r>
  <r>
    <x v="2"/>
    <x v="0"/>
    <x v="2"/>
    <x v="218"/>
    <x v="13"/>
    <x v="468"/>
    <x v="773"/>
    <x v="814"/>
  </r>
  <r>
    <x v="1"/>
    <x v="0"/>
    <x v="1"/>
    <x v="82"/>
    <x v="17"/>
    <x v="426"/>
    <x v="774"/>
    <x v="815"/>
  </r>
  <r>
    <x v="1"/>
    <x v="0"/>
    <x v="2"/>
    <x v="47"/>
    <x v="7"/>
    <x v="49"/>
    <x v="775"/>
    <x v="816"/>
  </r>
  <r>
    <x v="1"/>
    <x v="0"/>
    <x v="2"/>
    <x v="58"/>
    <x v="24"/>
    <x v="25"/>
    <x v="776"/>
    <x v="817"/>
  </r>
  <r>
    <x v="0"/>
    <x v="0"/>
    <x v="0"/>
    <x v="14"/>
    <x v="10"/>
    <x v="13"/>
    <x v="506"/>
    <x v="818"/>
  </r>
  <r>
    <x v="0"/>
    <x v="0"/>
    <x v="0"/>
    <x v="210"/>
    <x v="0"/>
    <x v="114"/>
    <x v="777"/>
    <x v="819"/>
  </r>
  <r>
    <x v="1"/>
    <x v="0"/>
    <x v="2"/>
    <x v="240"/>
    <x v="18"/>
    <x v="68"/>
    <x v="778"/>
    <x v="820"/>
  </r>
  <r>
    <x v="1"/>
    <x v="0"/>
    <x v="2"/>
    <x v="140"/>
    <x v="24"/>
    <x v="406"/>
    <x v="779"/>
    <x v="821"/>
  </r>
  <r>
    <x v="2"/>
    <x v="0"/>
    <x v="2"/>
    <x v="14"/>
    <x v="16"/>
    <x v="469"/>
    <x v="780"/>
    <x v="822"/>
  </r>
  <r>
    <x v="0"/>
    <x v="0"/>
    <x v="0"/>
    <x v="131"/>
    <x v="18"/>
    <x v="470"/>
    <x v="781"/>
    <x v="823"/>
  </r>
  <r>
    <x v="1"/>
    <x v="0"/>
    <x v="2"/>
    <x v="241"/>
    <x v="19"/>
    <x v="471"/>
    <x v="782"/>
    <x v="824"/>
  </r>
  <r>
    <x v="3"/>
    <x v="0"/>
    <x v="2"/>
    <x v="93"/>
    <x v="3"/>
    <x v="472"/>
    <x v="783"/>
    <x v="825"/>
  </r>
  <r>
    <x v="2"/>
    <x v="0"/>
    <x v="2"/>
    <x v="228"/>
    <x v="2"/>
    <x v="2"/>
    <x v="287"/>
    <x v="826"/>
  </r>
  <r>
    <x v="1"/>
    <x v="0"/>
    <x v="2"/>
    <x v="65"/>
    <x v="15"/>
    <x v="473"/>
    <x v="661"/>
    <x v="827"/>
  </r>
  <r>
    <x v="0"/>
    <x v="0"/>
    <x v="0"/>
    <x v="242"/>
    <x v="12"/>
    <x v="474"/>
    <x v="784"/>
    <x v="828"/>
  </r>
  <r>
    <x v="3"/>
    <x v="0"/>
    <x v="2"/>
    <x v="63"/>
    <x v="4"/>
    <x v="62"/>
    <x v="785"/>
    <x v="829"/>
  </r>
  <r>
    <x v="2"/>
    <x v="0"/>
    <x v="2"/>
    <x v="181"/>
    <x v="18"/>
    <x v="475"/>
    <x v="786"/>
    <x v="830"/>
  </r>
  <r>
    <x v="2"/>
    <x v="0"/>
    <x v="2"/>
    <x v="30"/>
    <x v="10"/>
    <x v="138"/>
    <x v="787"/>
    <x v="831"/>
  </r>
  <r>
    <x v="0"/>
    <x v="0"/>
    <x v="0"/>
    <x v="182"/>
    <x v="14"/>
    <x v="476"/>
    <x v="788"/>
    <x v="832"/>
  </r>
  <r>
    <x v="1"/>
    <x v="0"/>
    <x v="1"/>
    <x v="70"/>
    <x v="1"/>
    <x v="477"/>
    <x v="789"/>
    <x v="833"/>
  </r>
  <r>
    <x v="1"/>
    <x v="0"/>
    <x v="2"/>
    <x v="243"/>
    <x v="6"/>
    <x v="171"/>
    <x v="31"/>
    <x v="834"/>
  </r>
  <r>
    <x v="2"/>
    <x v="0"/>
    <x v="2"/>
    <x v="118"/>
    <x v="16"/>
    <x v="211"/>
    <x v="790"/>
    <x v="835"/>
  </r>
  <r>
    <x v="1"/>
    <x v="0"/>
    <x v="2"/>
    <x v="82"/>
    <x v="5"/>
    <x v="410"/>
    <x v="469"/>
    <x v="836"/>
  </r>
  <r>
    <x v="0"/>
    <x v="0"/>
    <x v="0"/>
    <x v="140"/>
    <x v="1"/>
    <x v="177"/>
    <x v="791"/>
    <x v="837"/>
  </r>
  <r>
    <x v="0"/>
    <x v="0"/>
    <x v="2"/>
    <x v="244"/>
    <x v="1"/>
    <x v="450"/>
    <x v="792"/>
    <x v="838"/>
  </r>
  <r>
    <x v="0"/>
    <x v="0"/>
    <x v="0"/>
    <x v="20"/>
    <x v="7"/>
    <x v="478"/>
    <x v="793"/>
    <x v="839"/>
  </r>
  <r>
    <x v="3"/>
    <x v="0"/>
    <x v="2"/>
    <x v="116"/>
    <x v="15"/>
    <x v="479"/>
    <x v="794"/>
    <x v="840"/>
  </r>
  <r>
    <x v="2"/>
    <x v="0"/>
    <x v="2"/>
    <x v="22"/>
    <x v="10"/>
    <x v="480"/>
    <x v="795"/>
    <x v="841"/>
  </r>
  <r>
    <x v="2"/>
    <x v="0"/>
    <x v="2"/>
    <x v="186"/>
    <x v="24"/>
    <x v="481"/>
    <x v="796"/>
    <x v="842"/>
  </r>
  <r>
    <x v="0"/>
    <x v="0"/>
    <x v="0"/>
    <x v="128"/>
    <x v="5"/>
    <x v="482"/>
    <x v="797"/>
    <x v="843"/>
  </r>
  <r>
    <x v="1"/>
    <x v="0"/>
    <x v="1"/>
    <x v="7"/>
    <x v="7"/>
    <x v="334"/>
    <x v="798"/>
    <x v="844"/>
  </r>
  <r>
    <x v="1"/>
    <x v="0"/>
    <x v="1"/>
    <x v="221"/>
    <x v="16"/>
    <x v="248"/>
    <x v="93"/>
    <x v="845"/>
  </r>
  <r>
    <x v="1"/>
    <x v="0"/>
    <x v="1"/>
    <x v="6"/>
    <x v="1"/>
    <x v="14"/>
    <x v="799"/>
    <x v="846"/>
  </r>
  <r>
    <x v="1"/>
    <x v="0"/>
    <x v="1"/>
    <x v="234"/>
    <x v="5"/>
    <x v="483"/>
    <x v="800"/>
    <x v="847"/>
  </r>
  <r>
    <x v="1"/>
    <x v="0"/>
    <x v="1"/>
    <x v="152"/>
    <x v="5"/>
    <x v="153"/>
    <x v="801"/>
    <x v="848"/>
  </r>
  <r>
    <x v="0"/>
    <x v="0"/>
    <x v="2"/>
    <x v="237"/>
    <x v="10"/>
    <x v="484"/>
    <x v="802"/>
    <x v="849"/>
  </r>
  <r>
    <x v="0"/>
    <x v="0"/>
    <x v="2"/>
    <x v="118"/>
    <x v="0"/>
    <x v="399"/>
    <x v="803"/>
    <x v="850"/>
  </r>
  <r>
    <x v="0"/>
    <x v="0"/>
    <x v="2"/>
    <x v="217"/>
    <x v="13"/>
    <x v="485"/>
    <x v="804"/>
    <x v="851"/>
  </r>
  <r>
    <x v="1"/>
    <x v="0"/>
    <x v="2"/>
    <x v="3"/>
    <x v="5"/>
    <x v="244"/>
    <x v="366"/>
    <x v="852"/>
  </r>
  <r>
    <x v="2"/>
    <x v="0"/>
    <x v="2"/>
    <x v="95"/>
    <x v="12"/>
    <x v="486"/>
    <x v="805"/>
    <x v="853"/>
  </r>
  <r>
    <x v="2"/>
    <x v="0"/>
    <x v="2"/>
    <x v="79"/>
    <x v="0"/>
    <x v="313"/>
    <x v="806"/>
    <x v="854"/>
  </r>
  <r>
    <x v="1"/>
    <x v="0"/>
    <x v="2"/>
    <x v="111"/>
    <x v="8"/>
    <x v="487"/>
    <x v="807"/>
    <x v="855"/>
  </r>
  <r>
    <x v="0"/>
    <x v="0"/>
    <x v="2"/>
    <x v="239"/>
    <x v="1"/>
    <x v="296"/>
    <x v="808"/>
    <x v="856"/>
  </r>
  <r>
    <x v="0"/>
    <x v="0"/>
    <x v="2"/>
    <x v="163"/>
    <x v="9"/>
    <x v="487"/>
    <x v="809"/>
    <x v="857"/>
  </r>
  <r>
    <x v="1"/>
    <x v="0"/>
    <x v="1"/>
    <x v="108"/>
    <x v="10"/>
    <x v="448"/>
    <x v="810"/>
    <x v="858"/>
  </r>
  <r>
    <x v="0"/>
    <x v="0"/>
    <x v="2"/>
    <x v="184"/>
    <x v="7"/>
    <x v="475"/>
    <x v="811"/>
    <x v="859"/>
  </r>
  <r>
    <x v="1"/>
    <x v="0"/>
    <x v="2"/>
    <x v="100"/>
    <x v="7"/>
    <x v="189"/>
    <x v="812"/>
    <x v="860"/>
  </r>
  <r>
    <x v="2"/>
    <x v="0"/>
    <x v="2"/>
    <x v="126"/>
    <x v="8"/>
    <x v="488"/>
    <x v="813"/>
    <x v="861"/>
  </r>
  <r>
    <x v="0"/>
    <x v="0"/>
    <x v="0"/>
    <x v="76"/>
    <x v="16"/>
    <x v="65"/>
    <x v="814"/>
    <x v="862"/>
  </r>
  <r>
    <x v="0"/>
    <x v="0"/>
    <x v="2"/>
    <x v="127"/>
    <x v="25"/>
    <x v="489"/>
    <x v="815"/>
    <x v="863"/>
  </r>
  <r>
    <x v="0"/>
    <x v="0"/>
    <x v="0"/>
    <x v="138"/>
    <x v="3"/>
    <x v="490"/>
    <x v="816"/>
    <x v="864"/>
  </r>
  <r>
    <x v="1"/>
    <x v="0"/>
    <x v="1"/>
    <x v="245"/>
    <x v="6"/>
    <x v="246"/>
    <x v="817"/>
    <x v="865"/>
  </r>
  <r>
    <x v="1"/>
    <x v="0"/>
    <x v="2"/>
    <x v="9"/>
    <x v="6"/>
    <x v="9"/>
    <x v="197"/>
    <x v="866"/>
  </r>
  <r>
    <x v="0"/>
    <x v="0"/>
    <x v="2"/>
    <x v="50"/>
    <x v="14"/>
    <x v="174"/>
    <x v="818"/>
    <x v="867"/>
  </r>
  <r>
    <x v="0"/>
    <x v="0"/>
    <x v="2"/>
    <x v="140"/>
    <x v="22"/>
    <x v="280"/>
    <x v="628"/>
    <x v="868"/>
  </r>
  <r>
    <x v="3"/>
    <x v="0"/>
    <x v="2"/>
    <x v="151"/>
    <x v="22"/>
    <x v="491"/>
    <x v="696"/>
    <x v="869"/>
  </r>
  <r>
    <x v="0"/>
    <x v="0"/>
    <x v="0"/>
    <x v="34"/>
    <x v="6"/>
    <x v="492"/>
    <x v="819"/>
    <x v="870"/>
  </r>
  <r>
    <x v="1"/>
    <x v="0"/>
    <x v="1"/>
    <x v="75"/>
    <x v="17"/>
    <x v="493"/>
    <x v="820"/>
    <x v="871"/>
  </r>
  <r>
    <x v="0"/>
    <x v="0"/>
    <x v="0"/>
    <x v="165"/>
    <x v="0"/>
    <x v="138"/>
    <x v="318"/>
    <x v="872"/>
  </r>
  <r>
    <x v="3"/>
    <x v="0"/>
    <x v="2"/>
    <x v="199"/>
    <x v="11"/>
    <x v="494"/>
    <x v="614"/>
    <x v="873"/>
  </r>
  <r>
    <x v="3"/>
    <x v="0"/>
    <x v="2"/>
    <x v="183"/>
    <x v="14"/>
    <x v="435"/>
    <x v="821"/>
    <x v="874"/>
  </r>
  <r>
    <x v="2"/>
    <x v="0"/>
    <x v="2"/>
    <x v="88"/>
    <x v="17"/>
    <x v="495"/>
    <x v="822"/>
    <x v="875"/>
  </r>
  <r>
    <x v="1"/>
    <x v="0"/>
    <x v="1"/>
    <x v="13"/>
    <x v="22"/>
    <x v="192"/>
    <x v="823"/>
    <x v="876"/>
  </r>
  <r>
    <x v="1"/>
    <x v="0"/>
    <x v="2"/>
    <x v="28"/>
    <x v="2"/>
    <x v="2"/>
    <x v="824"/>
    <x v="877"/>
  </r>
  <r>
    <x v="1"/>
    <x v="0"/>
    <x v="1"/>
    <x v="79"/>
    <x v="0"/>
    <x v="313"/>
    <x v="825"/>
    <x v="878"/>
  </r>
  <r>
    <x v="2"/>
    <x v="0"/>
    <x v="2"/>
    <x v="246"/>
    <x v="16"/>
    <x v="496"/>
    <x v="826"/>
    <x v="879"/>
  </r>
  <r>
    <x v="0"/>
    <x v="0"/>
    <x v="2"/>
    <x v="144"/>
    <x v="0"/>
    <x v="376"/>
    <x v="827"/>
    <x v="880"/>
  </r>
  <r>
    <x v="1"/>
    <x v="0"/>
    <x v="2"/>
    <x v="84"/>
    <x v="13"/>
    <x v="268"/>
    <x v="828"/>
    <x v="881"/>
  </r>
  <r>
    <x v="0"/>
    <x v="0"/>
    <x v="0"/>
    <x v="179"/>
    <x v="6"/>
    <x v="334"/>
    <x v="829"/>
    <x v="882"/>
  </r>
  <r>
    <x v="0"/>
    <x v="0"/>
    <x v="0"/>
    <x v="120"/>
    <x v="5"/>
    <x v="160"/>
    <x v="830"/>
    <x v="883"/>
  </r>
  <r>
    <x v="2"/>
    <x v="0"/>
    <x v="2"/>
    <x v="98"/>
    <x v="18"/>
    <x v="497"/>
    <x v="831"/>
    <x v="884"/>
  </r>
  <r>
    <x v="1"/>
    <x v="0"/>
    <x v="2"/>
    <x v="81"/>
    <x v="13"/>
    <x v="498"/>
    <x v="832"/>
    <x v="885"/>
  </r>
  <r>
    <x v="2"/>
    <x v="0"/>
    <x v="2"/>
    <x v="51"/>
    <x v="24"/>
    <x v="246"/>
    <x v="833"/>
    <x v="886"/>
  </r>
  <r>
    <x v="1"/>
    <x v="0"/>
    <x v="2"/>
    <x v="62"/>
    <x v="11"/>
    <x v="499"/>
    <x v="834"/>
    <x v="887"/>
  </r>
  <r>
    <x v="0"/>
    <x v="0"/>
    <x v="0"/>
    <x v="91"/>
    <x v="2"/>
    <x v="2"/>
    <x v="835"/>
    <x v="888"/>
  </r>
  <r>
    <x v="3"/>
    <x v="0"/>
    <x v="2"/>
    <x v="236"/>
    <x v="15"/>
    <x v="500"/>
    <x v="836"/>
    <x v="889"/>
  </r>
  <r>
    <x v="2"/>
    <x v="0"/>
    <x v="2"/>
    <x v="77"/>
    <x v="13"/>
    <x v="501"/>
    <x v="837"/>
    <x v="160"/>
  </r>
  <r>
    <x v="1"/>
    <x v="0"/>
    <x v="2"/>
    <x v="201"/>
    <x v="8"/>
    <x v="502"/>
    <x v="838"/>
    <x v="890"/>
  </r>
  <r>
    <x v="1"/>
    <x v="0"/>
    <x v="2"/>
    <x v="157"/>
    <x v="7"/>
    <x v="503"/>
    <x v="839"/>
    <x v="891"/>
  </r>
  <r>
    <x v="1"/>
    <x v="0"/>
    <x v="2"/>
    <x v="13"/>
    <x v="1"/>
    <x v="422"/>
    <x v="671"/>
    <x v="892"/>
  </r>
  <r>
    <x v="2"/>
    <x v="0"/>
    <x v="2"/>
    <x v="140"/>
    <x v="2"/>
    <x v="2"/>
    <x v="840"/>
    <x v="893"/>
  </r>
  <r>
    <x v="3"/>
    <x v="0"/>
    <x v="2"/>
    <x v="26"/>
    <x v="7"/>
    <x v="25"/>
    <x v="841"/>
    <x v="894"/>
  </r>
  <r>
    <x v="2"/>
    <x v="0"/>
    <x v="2"/>
    <x v="139"/>
    <x v="30"/>
    <x v="229"/>
    <x v="842"/>
    <x v="895"/>
  </r>
  <r>
    <x v="3"/>
    <x v="0"/>
    <x v="2"/>
    <x v="222"/>
    <x v="1"/>
    <x v="504"/>
    <x v="843"/>
    <x v="896"/>
  </r>
  <r>
    <x v="1"/>
    <x v="0"/>
    <x v="1"/>
    <x v="110"/>
    <x v="5"/>
    <x v="211"/>
    <x v="798"/>
    <x v="897"/>
  </r>
  <r>
    <x v="1"/>
    <x v="0"/>
    <x v="2"/>
    <x v="79"/>
    <x v="6"/>
    <x v="505"/>
    <x v="844"/>
    <x v="898"/>
  </r>
  <r>
    <x v="0"/>
    <x v="0"/>
    <x v="2"/>
    <x v="56"/>
    <x v="7"/>
    <x v="506"/>
    <x v="845"/>
    <x v="899"/>
  </r>
  <r>
    <x v="2"/>
    <x v="0"/>
    <x v="2"/>
    <x v="201"/>
    <x v="10"/>
    <x v="106"/>
    <x v="846"/>
    <x v="900"/>
  </r>
  <r>
    <x v="0"/>
    <x v="0"/>
    <x v="2"/>
    <x v="187"/>
    <x v="11"/>
    <x v="396"/>
    <x v="847"/>
    <x v="901"/>
  </r>
  <r>
    <x v="0"/>
    <x v="0"/>
    <x v="2"/>
    <x v="188"/>
    <x v="12"/>
    <x v="507"/>
    <x v="848"/>
    <x v="902"/>
  </r>
  <r>
    <x v="0"/>
    <x v="0"/>
    <x v="2"/>
    <x v="189"/>
    <x v="3"/>
    <x v="438"/>
    <x v="849"/>
    <x v="903"/>
  </r>
  <r>
    <x v="2"/>
    <x v="0"/>
    <x v="2"/>
    <x v="2"/>
    <x v="11"/>
    <x v="337"/>
    <x v="850"/>
    <x v="904"/>
  </r>
  <r>
    <x v="3"/>
    <x v="0"/>
    <x v="2"/>
    <x v="175"/>
    <x v="0"/>
    <x v="508"/>
    <x v="851"/>
    <x v="905"/>
  </r>
  <r>
    <x v="0"/>
    <x v="0"/>
    <x v="0"/>
    <x v="93"/>
    <x v="7"/>
    <x v="509"/>
    <x v="852"/>
    <x v="906"/>
  </r>
  <r>
    <x v="0"/>
    <x v="0"/>
    <x v="2"/>
    <x v="43"/>
    <x v="11"/>
    <x v="182"/>
    <x v="745"/>
    <x v="907"/>
  </r>
  <r>
    <x v="0"/>
    <x v="0"/>
    <x v="0"/>
    <x v="192"/>
    <x v="13"/>
    <x v="272"/>
    <x v="853"/>
    <x v="908"/>
  </r>
  <r>
    <x v="0"/>
    <x v="0"/>
    <x v="2"/>
    <x v="130"/>
    <x v="2"/>
    <x v="2"/>
    <x v="854"/>
    <x v="909"/>
  </r>
  <r>
    <x v="2"/>
    <x v="0"/>
    <x v="2"/>
    <x v="209"/>
    <x v="3"/>
    <x v="316"/>
    <x v="855"/>
    <x v="910"/>
  </r>
  <r>
    <x v="0"/>
    <x v="0"/>
    <x v="0"/>
    <x v="20"/>
    <x v="10"/>
    <x v="224"/>
    <x v="856"/>
    <x v="911"/>
  </r>
  <r>
    <x v="1"/>
    <x v="0"/>
    <x v="1"/>
    <x v="247"/>
    <x v="22"/>
    <x v="68"/>
    <x v="857"/>
    <x v="912"/>
  </r>
  <r>
    <x v="2"/>
    <x v="0"/>
    <x v="2"/>
    <x v="172"/>
    <x v="12"/>
    <x v="510"/>
    <x v="858"/>
    <x v="913"/>
  </r>
  <r>
    <x v="1"/>
    <x v="0"/>
    <x v="1"/>
    <x v="153"/>
    <x v="12"/>
    <x v="205"/>
    <x v="859"/>
    <x v="914"/>
  </r>
  <r>
    <x v="3"/>
    <x v="0"/>
    <x v="2"/>
    <x v="22"/>
    <x v="12"/>
    <x v="208"/>
    <x v="860"/>
    <x v="915"/>
  </r>
  <r>
    <x v="2"/>
    <x v="0"/>
    <x v="2"/>
    <x v="162"/>
    <x v="6"/>
    <x v="458"/>
    <x v="861"/>
    <x v="916"/>
  </r>
  <r>
    <x v="1"/>
    <x v="0"/>
    <x v="1"/>
    <x v="122"/>
    <x v="11"/>
    <x v="99"/>
    <x v="862"/>
    <x v="917"/>
  </r>
  <r>
    <x v="3"/>
    <x v="0"/>
    <x v="2"/>
    <x v="245"/>
    <x v="0"/>
    <x v="511"/>
    <x v="863"/>
    <x v="918"/>
  </r>
  <r>
    <x v="1"/>
    <x v="0"/>
    <x v="1"/>
    <x v="229"/>
    <x v="3"/>
    <x v="372"/>
    <x v="864"/>
    <x v="919"/>
  </r>
  <r>
    <x v="3"/>
    <x v="0"/>
    <x v="2"/>
    <x v="9"/>
    <x v="16"/>
    <x v="299"/>
    <x v="865"/>
    <x v="920"/>
  </r>
  <r>
    <x v="1"/>
    <x v="0"/>
    <x v="1"/>
    <x v="56"/>
    <x v="13"/>
    <x v="512"/>
    <x v="866"/>
    <x v="921"/>
  </r>
  <r>
    <x v="1"/>
    <x v="0"/>
    <x v="1"/>
    <x v="182"/>
    <x v="27"/>
    <x v="215"/>
    <x v="867"/>
    <x v="922"/>
  </r>
  <r>
    <x v="3"/>
    <x v="0"/>
    <x v="2"/>
    <x v="196"/>
    <x v="10"/>
    <x v="101"/>
    <x v="868"/>
    <x v="923"/>
  </r>
  <r>
    <x v="3"/>
    <x v="0"/>
    <x v="2"/>
    <x v="80"/>
    <x v="10"/>
    <x v="478"/>
    <x v="869"/>
    <x v="924"/>
  </r>
  <r>
    <x v="2"/>
    <x v="0"/>
    <x v="2"/>
    <x v="153"/>
    <x v="24"/>
    <x v="423"/>
    <x v="870"/>
    <x v="925"/>
  </r>
  <r>
    <x v="0"/>
    <x v="0"/>
    <x v="0"/>
    <x v="128"/>
    <x v="2"/>
    <x v="2"/>
    <x v="415"/>
    <x v="926"/>
  </r>
  <r>
    <x v="0"/>
    <x v="0"/>
    <x v="2"/>
    <x v="157"/>
    <x v="5"/>
    <x v="513"/>
    <x v="871"/>
    <x v="927"/>
  </r>
  <r>
    <x v="2"/>
    <x v="0"/>
    <x v="2"/>
    <x v="228"/>
    <x v="14"/>
    <x v="391"/>
    <x v="872"/>
    <x v="928"/>
  </r>
  <r>
    <x v="0"/>
    <x v="0"/>
    <x v="2"/>
    <x v="116"/>
    <x v="12"/>
    <x v="514"/>
    <x v="873"/>
    <x v="929"/>
  </r>
  <r>
    <x v="2"/>
    <x v="0"/>
    <x v="2"/>
    <x v="231"/>
    <x v="0"/>
    <x v="174"/>
    <x v="874"/>
    <x v="930"/>
  </r>
  <r>
    <x v="2"/>
    <x v="0"/>
    <x v="2"/>
    <x v="155"/>
    <x v="13"/>
    <x v="515"/>
    <x v="875"/>
    <x v="931"/>
  </r>
  <r>
    <x v="1"/>
    <x v="0"/>
    <x v="2"/>
    <x v="246"/>
    <x v="18"/>
    <x v="316"/>
    <x v="876"/>
    <x v="932"/>
  </r>
  <r>
    <x v="1"/>
    <x v="0"/>
    <x v="2"/>
    <x v="132"/>
    <x v="5"/>
    <x v="253"/>
    <x v="877"/>
    <x v="933"/>
  </r>
  <r>
    <x v="0"/>
    <x v="0"/>
    <x v="2"/>
    <x v="199"/>
    <x v="1"/>
    <x v="516"/>
    <x v="878"/>
    <x v="934"/>
  </r>
  <r>
    <x v="3"/>
    <x v="0"/>
    <x v="2"/>
    <x v="179"/>
    <x v="10"/>
    <x v="517"/>
    <x v="879"/>
    <x v="935"/>
  </r>
  <r>
    <x v="3"/>
    <x v="0"/>
    <x v="2"/>
    <x v="43"/>
    <x v="7"/>
    <x v="518"/>
    <x v="833"/>
    <x v="936"/>
  </r>
  <r>
    <x v="0"/>
    <x v="0"/>
    <x v="2"/>
    <x v="63"/>
    <x v="27"/>
    <x v="415"/>
    <x v="880"/>
    <x v="937"/>
  </r>
  <r>
    <x v="3"/>
    <x v="0"/>
    <x v="2"/>
    <x v="91"/>
    <x v="0"/>
    <x v="490"/>
    <x v="881"/>
    <x v="938"/>
  </r>
  <r>
    <x v="0"/>
    <x v="0"/>
    <x v="2"/>
    <x v="142"/>
    <x v="9"/>
    <x v="519"/>
    <x v="882"/>
    <x v="939"/>
  </r>
  <r>
    <x v="3"/>
    <x v="0"/>
    <x v="2"/>
    <x v="155"/>
    <x v="25"/>
    <x v="520"/>
    <x v="860"/>
    <x v="940"/>
  </r>
  <r>
    <x v="1"/>
    <x v="0"/>
    <x v="2"/>
    <x v="29"/>
    <x v="12"/>
    <x v="521"/>
    <x v="883"/>
    <x v="941"/>
  </r>
  <r>
    <x v="2"/>
    <x v="0"/>
    <x v="2"/>
    <x v="40"/>
    <x v="0"/>
    <x v="37"/>
    <x v="884"/>
    <x v="942"/>
  </r>
  <r>
    <x v="2"/>
    <x v="0"/>
    <x v="2"/>
    <x v="14"/>
    <x v="3"/>
    <x v="522"/>
    <x v="47"/>
    <x v="943"/>
  </r>
  <r>
    <x v="0"/>
    <x v="0"/>
    <x v="2"/>
    <x v="22"/>
    <x v="12"/>
    <x v="208"/>
    <x v="885"/>
    <x v="944"/>
  </r>
  <r>
    <x v="0"/>
    <x v="0"/>
    <x v="0"/>
    <x v="247"/>
    <x v="2"/>
    <x v="2"/>
    <x v="886"/>
    <x v="945"/>
  </r>
  <r>
    <x v="3"/>
    <x v="0"/>
    <x v="2"/>
    <x v="147"/>
    <x v="5"/>
    <x v="500"/>
    <x v="887"/>
    <x v="946"/>
  </r>
  <r>
    <x v="0"/>
    <x v="0"/>
    <x v="0"/>
    <x v="49"/>
    <x v="3"/>
    <x v="231"/>
    <x v="888"/>
    <x v="947"/>
  </r>
  <r>
    <x v="0"/>
    <x v="0"/>
    <x v="2"/>
    <x v="225"/>
    <x v="6"/>
    <x v="85"/>
    <x v="889"/>
    <x v="948"/>
  </r>
  <r>
    <x v="2"/>
    <x v="0"/>
    <x v="2"/>
    <x v="145"/>
    <x v="13"/>
    <x v="222"/>
    <x v="890"/>
    <x v="949"/>
  </r>
  <r>
    <x v="0"/>
    <x v="0"/>
    <x v="0"/>
    <x v="18"/>
    <x v="22"/>
    <x v="523"/>
    <x v="891"/>
    <x v="950"/>
  </r>
  <r>
    <x v="0"/>
    <x v="0"/>
    <x v="2"/>
    <x v="108"/>
    <x v="1"/>
    <x v="524"/>
    <x v="892"/>
    <x v="951"/>
  </r>
  <r>
    <x v="1"/>
    <x v="0"/>
    <x v="1"/>
    <x v="172"/>
    <x v="18"/>
    <x v="482"/>
    <x v="893"/>
    <x v="952"/>
  </r>
  <r>
    <x v="2"/>
    <x v="0"/>
    <x v="2"/>
    <x v="122"/>
    <x v="0"/>
    <x v="148"/>
    <x v="728"/>
    <x v="953"/>
  </r>
  <r>
    <x v="0"/>
    <x v="0"/>
    <x v="2"/>
    <x v="243"/>
    <x v="19"/>
    <x v="525"/>
    <x v="894"/>
    <x v="954"/>
  </r>
  <r>
    <x v="1"/>
    <x v="0"/>
    <x v="1"/>
    <x v="212"/>
    <x v="0"/>
    <x v="185"/>
    <x v="895"/>
    <x v="955"/>
  </r>
  <r>
    <x v="0"/>
    <x v="0"/>
    <x v="2"/>
    <x v="196"/>
    <x v="13"/>
    <x v="526"/>
    <x v="896"/>
    <x v="956"/>
  </r>
  <r>
    <x v="1"/>
    <x v="0"/>
    <x v="1"/>
    <x v="44"/>
    <x v="11"/>
    <x v="134"/>
    <x v="897"/>
    <x v="957"/>
  </r>
  <r>
    <x v="1"/>
    <x v="0"/>
    <x v="2"/>
    <x v="198"/>
    <x v="15"/>
    <x v="519"/>
    <x v="898"/>
    <x v="958"/>
  </r>
  <r>
    <x v="1"/>
    <x v="0"/>
    <x v="1"/>
    <x v="106"/>
    <x v="24"/>
    <x v="527"/>
    <x v="899"/>
    <x v="959"/>
  </r>
  <r>
    <x v="2"/>
    <x v="0"/>
    <x v="2"/>
    <x v="98"/>
    <x v="25"/>
    <x v="528"/>
    <x v="285"/>
    <x v="960"/>
  </r>
  <r>
    <x v="0"/>
    <x v="0"/>
    <x v="0"/>
    <x v="227"/>
    <x v="9"/>
    <x v="529"/>
    <x v="900"/>
    <x v="961"/>
  </r>
  <r>
    <x v="2"/>
    <x v="0"/>
    <x v="2"/>
    <x v="133"/>
    <x v="17"/>
    <x v="142"/>
    <x v="130"/>
    <x v="962"/>
  </r>
  <r>
    <x v="0"/>
    <x v="0"/>
    <x v="2"/>
    <x v="243"/>
    <x v="1"/>
    <x v="530"/>
    <x v="141"/>
    <x v="963"/>
  </r>
  <r>
    <x v="0"/>
    <x v="0"/>
    <x v="2"/>
    <x v="212"/>
    <x v="15"/>
    <x v="280"/>
    <x v="901"/>
    <x v="964"/>
  </r>
  <r>
    <x v="0"/>
    <x v="0"/>
    <x v="2"/>
    <x v="31"/>
    <x v="25"/>
    <x v="531"/>
    <x v="902"/>
    <x v="965"/>
  </r>
  <r>
    <x v="2"/>
    <x v="0"/>
    <x v="2"/>
    <x v="57"/>
    <x v="14"/>
    <x v="532"/>
    <x v="903"/>
    <x v="966"/>
  </r>
  <r>
    <x v="1"/>
    <x v="0"/>
    <x v="2"/>
    <x v="127"/>
    <x v="18"/>
    <x v="533"/>
    <x v="904"/>
    <x v="967"/>
  </r>
  <r>
    <x v="3"/>
    <x v="0"/>
    <x v="2"/>
    <x v="214"/>
    <x v="2"/>
    <x v="2"/>
    <x v="905"/>
    <x v="968"/>
  </r>
  <r>
    <x v="1"/>
    <x v="0"/>
    <x v="2"/>
    <x v="91"/>
    <x v="5"/>
    <x v="534"/>
    <x v="845"/>
    <x v="969"/>
  </r>
  <r>
    <x v="2"/>
    <x v="0"/>
    <x v="2"/>
    <x v="177"/>
    <x v="0"/>
    <x v="460"/>
    <x v="906"/>
    <x v="970"/>
  </r>
  <r>
    <x v="0"/>
    <x v="0"/>
    <x v="2"/>
    <x v="153"/>
    <x v="24"/>
    <x v="423"/>
    <x v="907"/>
    <x v="971"/>
  </r>
  <r>
    <x v="1"/>
    <x v="0"/>
    <x v="2"/>
    <x v="209"/>
    <x v="15"/>
    <x v="535"/>
    <x v="908"/>
    <x v="972"/>
  </r>
  <r>
    <x v="3"/>
    <x v="0"/>
    <x v="2"/>
    <x v="109"/>
    <x v="5"/>
    <x v="9"/>
    <x v="909"/>
    <x v="973"/>
  </r>
  <r>
    <x v="1"/>
    <x v="0"/>
    <x v="2"/>
    <x v="138"/>
    <x v="14"/>
    <x v="131"/>
    <x v="910"/>
    <x v="974"/>
  </r>
  <r>
    <x v="1"/>
    <x v="0"/>
    <x v="1"/>
    <x v="78"/>
    <x v="12"/>
    <x v="536"/>
    <x v="911"/>
    <x v="975"/>
  </r>
  <r>
    <x v="3"/>
    <x v="0"/>
    <x v="2"/>
    <x v="130"/>
    <x v="2"/>
    <x v="2"/>
    <x v="106"/>
    <x v="976"/>
  </r>
  <r>
    <x v="0"/>
    <x v="0"/>
    <x v="0"/>
    <x v="212"/>
    <x v="15"/>
    <x v="280"/>
    <x v="912"/>
    <x v="977"/>
  </r>
  <r>
    <x v="2"/>
    <x v="0"/>
    <x v="2"/>
    <x v="219"/>
    <x v="11"/>
    <x v="537"/>
    <x v="913"/>
    <x v="978"/>
  </r>
  <r>
    <x v="0"/>
    <x v="0"/>
    <x v="0"/>
    <x v="98"/>
    <x v="3"/>
    <x v="437"/>
    <x v="730"/>
    <x v="979"/>
  </r>
  <r>
    <x v="2"/>
    <x v="0"/>
    <x v="2"/>
    <x v="13"/>
    <x v="9"/>
    <x v="12"/>
    <x v="914"/>
    <x v="980"/>
  </r>
  <r>
    <x v="1"/>
    <x v="0"/>
    <x v="2"/>
    <x v="207"/>
    <x v="17"/>
    <x v="473"/>
    <x v="915"/>
    <x v="981"/>
  </r>
  <r>
    <x v="0"/>
    <x v="0"/>
    <x v="0"/>
    <x v="222"/>
    <x v="5"/>
    <x v="393"/>
    <x v="916"/>
    <x v="982"/>
  </r>
  <r>
    <x v="1"/>
    <x v="0"/>
    <x v="1"/>
    <x v="190"/>
    <x v="12"/>
    <x v="538"/>
    <x v="917"/>
    <x v="983"/>
  </r>
  <r>
    <x v="0"/>
    <x v="0"/>
    <x v="0"/>
    <x v="230"/>
    <x v="7"/>
    <x v="539"/>
    <x v="918"/>
    <x v="984"/>
  </r>
  <r>
    <x v="0"/>
    <x v="0"/>
    <x v="0"/>
    <x v="124"/>
    <x v="5"/>
    <x v="130"/>
    <x v="919"/>
    <x v="985"/>
  </r>
  <r>
    <x v="0"/>
    <x v="0"/>
    <x v="0"/>
    <x v="118"/>
    <x v="3"/>
    <x v="540"/>
    <x v="920"/>
    <x v="986"/>
  </r>
  <r>
    <x v="1"/>
    <x v="0"/>
    <x v="2"/>
    <x v="21"/>
    <x v="7"/>
    <x v="541"/>
    <x v="921"/>
    <x v="987"/>
  </r>
  <r>
    <x v="3"/>
    <x v="0"/>
    <x v="2"/>
    <x v="31"/>
    <x v="19"/>
    <x v="0"/>
    <x v="922"/>
    <x v="988"/>
  </r>
  <r>
    <x v="0"/>
    <x v="0"/>
    <x v="2"/>
    <x v="58"/>
    <x v="21"/>
    <x v="374"/>
    <x v="923"/>
    <x v="989"/>
  </r>
  <r>
    <x v="0"/>
    <x v="0"/>
    <x v="2"/>
    <x v="40"/>
    <x v="2"/>
    <x v="2"/>
    <x v="924"/>
    <x v="990"/>
  </r>
  <r>
    <x v="2"/>
    <x v="0"/>
    <x v="2"/>
    <x v="172"/>
    <x v="9"/>
    <x v="186"/>
    <x v="737"/>
    <x v="991"/>
  </r>
  <r>
    <x v="1"/>
    <x v="0"/>
    <x v="1"/>
    <x v="111"/>
    <x v="0"/>
    <x v="214"/>
    <x v="925"/>
    <x v="992"/>
  </r>
  <r>
    <x v="2"/>
    <x v="0"/>
    <x v="2"/>
    <x v="174"/>
    <x v="1"/>
    <x v="542"/>
    <x v="926"/>
    <x v="993"/>
  </r>
  <r>
    <x v="1"/>
    <x v="0"/>
    <x v="1"/>
    <x v="110"/>
    <x v="5"/>
    <x v="211"/>
    <x v="927"/>
    <x v="994"/>
  </r>
  <r>
    <x v="3"/>
    <x v="0"/>
    <x v="2"/>
    <x v="4"/>
    <x v="1"/>
    <x v="530"/>
    <x v="928"/>
    <x v="995"/>
  </r>
  <r>
    <x v="0"/>
    <x v="0"/>
    <x v="2"/>
    <x v="10"/>
    <x v="2"/>
    <x v="2"/>
    <x v="929"/>
    <x v="996"/>
  </r>
  <r>
    <x v="1"/>
    <x v="0"/>
    <x v="2"/>
    <x v="126"/>
    <x v="11"/>
    <x v="543"/>
    <x v="484"/>
    <x v="997"/>
  </r>
  <r>
    <x v="2"/>
    <x v="0"/>
    <x v="2"/>
    <x v="166"/>
    <x v="16"/>
    <x v="544"/>
    <x v="930"/>
    <x v="998"/>
  </r>
  <r>
    <x v="0"/>
    <x v="0"/>
    <x v="0"/>
    <x v="231"/>
    <x v="0"/>
    <x v="174"/>
    <x v="931"/>
    <x v="999"/>
  </r>
  <r>
    <x v="2"/>
    <x v="0"/>
    <x v="2"/>
    <x v="194"/>
    <x v="20"/>
    <x v="161"/>
    <x v="911"/>
    <x v="1000"/>
  </r>
  <r>
    <x v="1"/>
    <x v="0"/>
    <x v="2"/>
    <x v="170"/>
    <x v="13"/>
    <x v="545"/>
    <x v="932"/>
    <x v="1001"/>
  </r>
  <r>
    <x v="3"/>
    <x v="0"/>
    <x v="2"/>
    <x v="32"/>
    <x v="2"/>
    <x v="2"/>
    <x v="933"/>
    <x v="1002"/>
  </r>
  <r>
    <x v="0"/>
    <x v="0"/>
    <x v="0"/>
    <x v="238"/>
    <x v="5"/>
    <x v="546"/>
    <x v="934"/>
    <x v="1003"/>
  </r>
  <r>
    <x v="3"/>
    <x v="0"/>
    <x v="2"/>
    <x v="33"/>
    <x v="13"/>
    <x v="72"/>
    <x v="935"/>
    <x v="1004"/>
  </r>
  <r>
    <x v="1"/>
    <x v="0"/>
    <x v="2"/>
    <x v="21"/>
    <x v="22"/>
    <x v="114"/>
    <x v="936"/>
    <x v="1005"/>
  </r>
  <r>
    <x v="2"/>
    <x v="0"/>
    <x v="2"/>
    <x v="18"/>
    <x v="17"/>
    <x v="42"/>
    <x v="937"/>
    <x v="1006"/>
  </r>
  <r>
    <x v="1"/>
    <x v="0"/>
    <x v="2"/>
    <x v="95"/>
    <x v="22"/>
    <x v="302"/>
    <x v="575"/>
    <x v="1007"/>
  </r>
  <r>
    <x v="2"/>
    <x v="0"/>
    <x v="2"/>
    <x v="111"/>
    <x v="2"/>
    <x v="2"/>
    <x v="938"/>
    <x v="1008"/>
  </r>
  <r>
    <x v="3"/>
    <x v="0"/>
    <x v="2"/>
    <x v="188"/>
    <x v="7"/>
    <x v="547"/>
    <x v="939"/>
    <x v="1009"/>
  </r>
  <r>
    <x v="1"/>
    <x v="0"/>
    <x v="2"/>
    <x v="160"/>
    <x v="1"/>
    <x v="207"/>
    <x v="940"/>
    <x v="1010"/>
  </r>
  <r>
    <x v="0"/>
    <x v="0"/>
    <x v="2"/>
    <x v="243"/>
    <x v="22"/>
    <x v="19"/>
    <x v="304"/>
    <x v="1011"/>
  </r>
  <r>
    <x v="0"/>
    <x v="0"/>
    <x v="0"/>
    <x v="248"/>
    <x v="13"/>
    <x v="548"/>
    <x v="941"/>
    <x v="1012"/>
  </r>
  <r>
    <x v="0"/>
    <x v="0"/>
    <x v="0"/>
    <x v="19"/>
    <x v="15"/>
    <x v="258"/>
    <x v="942"/>
    <x v="1013"/>
  </r>
  <r>
    <x v="1"/>
    <x v="0"/>
    <x v="2"/>
    <x v="149"/>
    <x v="13"/>
    <x v="549"/>
    <x v="943"/>
    <x v="1014"/>
  </r>
  <r>
    <x v="2"/>
    <x v="0"/>
    <x v="2"/>
    <x v="83"/>
    <x v="14"/>
    <x v="550"/>
    <x v="944"/>
    <x v="1015"/>
  </r>
  <r>
    <x v="0"/>
    <x v="0"/>
    <x v="2"/>
    <x v="46"/>
    <x v="18"/>
    <x v="101"/>
    <x v="945"/>
    <x v="1016"/>
  </r>
  <r>
    <x v="1"/>
    <x v="0"/>
    <x v="2"/>
    <x v="123"/>
    <x v="1"/>
    <x v="551"/>
    <x v="605"/>
    <x v="1017"/>
  </r>
  <r>
    <x v="3"/>
    <x v="0"/>
    <x v="2"/>
    <x v="223"/>
    <x v="12"/>
    <x v="120"/>
    <x v="946"/>
    <x v="1018"/>
  </r>
  <r>
    <x v="1"/>
    <x v="0"/>
    <x v="1"/>
    <x v="225"/>
    <x v="0"/>
    <x v="413"/>
    <x v="947"/>
    <x v="1019"/>
  </r>
  <r>
    <x v="1"/>
    <x v="0"/>
    <x v="2"/>
    <x v="200"/>
    <x v="13"/>
    <x v="552"/>
    <x v="722"/>
    <x v="1020"/>
  </r>
  <r>
    <x v="2"/>
    <x v="0"/>
    <x v="2"/>
    <x v="211"/>
    <x v="1"/>
    <x v="330"/>
    <x v="948"/>
    <x v="1021"/>
  </r>
  <r>
    <x v="1"/>
    <x v="0"/>
    <x v="1"/>
    <x v="89"/>
    <x v="15"/>
    <x v="88"/>
    <x v="949"/>
    <x v="1022"/>
  </r>
  <r>
    <x v="3"/>
    <x v="0"/>
    <x v="2"/>
    <x v="147"/>
    <x v="7"/>
    <x v="55"/>
    <x v="738"/>
    <x v="1023"/>
  </r>
  <r>
    <x v="0"/>
    <x v="0"/>
    <x v="2"/>
    <x v="24"/>
    <x v="2"/>
    <x v="2"/>
    <x v="950"/>
    <x v="1024"/>
  </r>
  <r>
    <x v="0"/>
    <x v="0"/>
    <x v="0"/>
    <x v="191"/>
    <x v="6"/>
    <x v="553"/>
    <x v="951"/>
    <x v="1025"/>
  </r>
  <r>
    <x v="1"/>
    <x v="0"/>
    <x v="1"/>
    <x v="79"/>
    <x v="5"/>
    <x v="66"/>
    <x v="749"/>
    <x v="1026"/>
  </r>
  <r>
    <x v="2"/>
    <x v="0"/>
    <x v="2"/>
    <x v="78"/>
    <x v="14"/>
    <x v="554"/>
    <x v="952"/>
    <x v="1027"/>
  </r>
  <r>
    <x v="3"/>
    <x v="0"/>
    <x v="2"/>
    <x v="56"/>
    <x v="2"/>
    <x v="2"/>
    <x v="953"/>
    <x v="1028"/>
  </r>
  <r>
    <x v="0"/>
    <x v="0"/>
    <x v="2"/>
    <x v="21"/>
    <x v="3"/>
    <x v="68"/>
    <x v="954"/>
    <x v="1029"/>
  </r>
  <r>
    <x v="0"/>
    <x v="0"/>
    <x v="0"/>
    <x v="82"/>
    <x v="1"/>
    <x v="339"/>
    <x v="955"/>
    <x v="1030"/>
  </r>
  <r>
    <x v="0"/>
    <x v="0"/>
    <x v="0"/>
    <x v="24"/>
    <x v="6"/>
    <x v="555"/>
    <x v="956"/>
    <x v="1031"/>
  </r>
  <r>
    <x v="2"/>
    <x v="0"/>
    <x v="2"/>
    <x v="61"/>
    <x v="15"/>
    <x v="556"/>
    <x v="957"/>
    <x v="1032"/>
  </r>
  <r>
    <x v="1"/>
    <x v="0"/>
    <x v="1"/>
    <x v="175"/>
    <x v="15"/>
    <x v="13"/>
    <x v="958"/>
    <x v="1033"/>
  </r>
  <r>
    <x v="0"/>
    <x v="0"/>
    <x v="2"/>
    <x v="101"/>
    <x v="17"/>
    <x v="131"/>
    <x v="959"/>
    <x v="1034"/>
  </r>
  <r>
    <x v="3"/>
    <x v="0"/>
    <x v="2"/>
    <x v="37"/>
    <x v="2"/>
    <x v="2"/>
    <x v="521"/>
    <x v="1035"/>
  </r>
  <r>
    <x v="3"/>
    <x v="0"/>
    <x v="2"/>
    <x v="235"/>
    <x v="5"/>
    <x v="557"/>
    <x v="960"/>
    <x v="1036"/>
  </r>
  <r>
    <x v="2"/>
    <x v="0"/>
    <x v="2"/>
    <x v="140"/>
    <x v="14"/>
    <x v="558"/>
    <x v="961"/>
    <x v="1037"/>
  </r>
  <r>
    <x v="3"/>
    <x v="0"/>
    <x v="2"/>
    <x v="31"/>
    <x v="25"/>
    <x v="531"/>
    <x v="962"/>
    <x v="1038"/>
  </r>
  <r>
    <x v="2"/>
    <x v="0"/>
    <x v="2"/>
    <x v="220"/>
    <x v="17"/>
    <x v="371"/>
    <x v="963"/>
    <x v="1039"/>
  </r>
  <r>
    <x v="1"/>
    <x v="0"/>
    <x v="2"/>
    <x v="235"/>
    <x v="6"/>
    <x v="147"/>
    <x v="27"/>
    <x v="1040"/>
  </r>
  <r>
    <x v="0"/>
    <x v="0"/>
    <x v="0"/>
    <x v="152"/>
    <x v="6"/>
    <x v="544"/>
    <x v="964"/>
    <x v="1041"/>
  </r>
  <r>
    <x v="0"/>
    <x v="0"/>
    <x v="2"/>
    <x v="194"/>
    <x v="7"/>
    <x v="559"/>
    <x v="965"/>
    <x v="1042"/>
  </r>
  <r>
    <x v="1"/>
    <x v="0"/>
    <x v="1"/>
    <x v="74"/>
    <x v="1"/>
    <x v="560"/>
    <x v="966"/>
    <x v="1043"/>
  </r>
  <r>
    <x v="1"/>
    <x v="0"/>
    <x v="1"/>
    <x v="125"/>
    <x v="24"/>
    <x v="561"/>
    <x v="967"/>
    <x v="1044"/>
  </r>
  <r>
    <x v="1"/>
    <x v="0"/>
    <x v="2"/>
    <x v="90"/>
    <x v="1"/>
    <x v="465"/>
    <x v="968"/>
    <x v="1045"/>
  </r>
  <r>
    <x v="0"/>
    <x v="0"/>
    <x v="2"/>
    <x v="160"/>
    <x v="15"/>
    <x v="100"/>
    <x v="969"/>
    <x v="1046"/>
  </r>
  <r>
    <x v="3"/>
    <x v="0"/>
    <x v="2"/>
    <x v="176"/>
    <x v="0"/>
    <x v="56"/>
    <x v="970"/>
    <x v="1047"/>
  </r>
  <r>
    <x v="1"/>
    <x v="0"/>
    <x v="1"/>
    <x v="72"/>
    <x v="4"/>
    <x v="236"/>
    <x v="971"/>
    <x v="1048"/>
  </r>
  <r>
    <x v="1"/>
    <x v="0"/>
    <x v="1"/>
    <x v="235"/>
    <x v="8"/>
    <x v="68"/>
    <x v="972"/>
    <x v="1049"/>
  </r>
  <r>
    <x v="0"/>
    <x v="0"/>
    <x v="2"/>
    <x v="221"/>
    <x v="18"/>
    <x v="271"/>
    <x v="973"/>
    <x v="1050"/>
  </r>
  <r>
    <x v="1"/>
    <x v="0"/>
    <x v="2"/>
    <x v="129"/>
    <x v="0"/>
    <x v="562"/>
    <x v="974"/>
    <x v="1051"/>
  </r>
  <r>
    <x v="1"/>
    <x v="0"/>
    <x v="1"/>
    <x v="73"/>
    <x v="13"/>
    <x v="344"/>
    <x v="975"/>
    <x v="1052"/>
  </r>
  <r>
    <x v="2"/>
    <x v="0"/>
    <x v="2"/>
    <x v="235"/>
    <x v="12"/>
    <x v="6"/>
    <x v="976"/>
    <x v="1053"/>
  </r>
  <r>
    <x v="2"/>
    <x v="0"/>
    <x v="2"/>
    <x v="10"/>
    <x v="10"/>
    <x v="563"/>
    <x v="977"/>
    <x v="1054"/>
  </r>
  <r>
    <x v="3"/>
    <x v="0"/>
    <x v="2"/>
    <x v="3"/>
    <x v="4"/>
    <x v="48"/>
    <x v="978"/>
    <x v="1055"/>
  </r>
  <r>
    <x v="1"/>
    <x v="0"/>
    <x v="1"/>
    <x v="95"/>
    <x v="8"/>
    <x v="218"/>
    <x v="979"/>
    <x v="1056"/>
  </r>
  <r>
    <x v="0"/>
    <x v="0"/>
    <x v="2"/>
    <x v="190"/>
    <x v="4"/>
    <x v="564"/>
    <x v="219"/>
    <x v="1057"/>
  </r>
  <r>
    <x v="0"/>
    <x v="0"/>
    <x v="0"/>
    <x v="223"/>
    <x v="16"/>
    <x v="174"/>
    <x v="576"/>
    <x v="1058"/>
  </r>
  <r>
    <x v="2"/>
    <x v="0"/>
    <x v="2"/>
    <x v="44"/>
    <x v="0"/>
    <x v="242"/>
    <x v="92"/>
    <x v="1059"/>
  </r>
  <r>
    <x v="0"/>
    <x v="0"/>
    <x v="0"/>
    <x v="70"/>
    <x v="15"/>
    <x v="96"/>
    <x v="980"/>
    <x v="1060"/>
  </r>
  <r>
    <x v="0"/>
    <x v="0"/>
    <x v="2"/>
    <x v="45"/>
    <x v="11"/>
    <x v="43"/>
    <x v="981"/>
    <x v="1061"/>
  </r>
  <r>
    <x v="1"/>
    <x v="0"/>
    <x v="1"/>
    <x v="65"/>
    <x v="15"/>
    <x v="473"/>
    <x v="982"/>
    <x v="1062"/>
  </r>
  <r>
    <x v="1"/>
    <x v="0"/>
    <x v="2"/>
    <x v="135"/>
    <x v="12"/>
    <x v="565"/>
    <x v="983"/>
    <x v="1063"/>
  </r>
  <r>
    <x v="0"/>
    <x v="0"/>
    <x v="2"/>
    <x v="119"/>
    <x v="3"/>
    <x v="45"/>
    <x v="984"/>
    <x v="1064"/>
  </r>
  <r>
    <x v="0"/>
    <x v="0"/>
    <x v="0"/>
    <x v="104"/>
    <x v="13"/>
    <x v="566"/>
    <x v="985"/>
    <x v="1065"/>
  </r>
  <r>
    <x v="1"/>
    <x v="0"/>
    <x v="1"/>
    <x v="198"/>
    <x v="7"/>
    <x v="567"/>
    <x v="437"/>
    <x v="1066"/>
  </r>
  <r>
    <x v="1"/>
    <x v="0"/>
    <x v="2"/>
    <x v="21"/>
    <x v="11"/>
    <x v="40"/>
    <x v="986"/>
    <x v="1067"/>
  </r>
  <r>
    <x v="0"/>
    <x v="0"/>
    <x v="0"/>
    <x v="213"/>
    <x v="5"/>
    <x v="128"/>
    <x v="543"/>
    <x v="1068"/>
  </r>
  <r>
    <x v="0"/>
    <x v="0"/>
    <x v="0"/>
    <x v="212"/>
    <x v="11"/>
    <x v="335"/>
    <x v="987"/>
    <x v="1069"/>
  </r>
  <r>
    <x v="2"/>
    <x v="0"/>
    <x v="2"/>
    <x v="155"/>
    <x v="18"/>
    <x v="50"/>
    <x v="988"/>
    <x v="1070"/>
  </r>
  <r>
    <x v="1"/>
    <x v="0"/>
    <x v="2"/>
    <x v="125"/>
    <x v="0"/>
    <x v="13"/>
    <x v="813"/>
    <x v="1071"/>
  </r>
  <r>
    <x v="3"/>
    <x v="0"/>
    <x v="2"/>
    <x v="181"/>
    <x v="0"/>
    <x v="9"/>
    <x v="989"/>
    <x v="1072"/>
  </r>
  <r>
    <x v="0"/>
    <x v="0"/>
    <x v="2"/>
    <x v="120"/>
    <x v="13"/>
    <x v="296"/>
    <x v="990"/>
    <x v="1073"/>
  </r>
  <r>
    <x v="2"/>
    <x v="0"/>
    <x v="2"/>
    <x v="176"/>
    <x v="2"/>
    <x v="2"/>
    <x v="991"/>
    <x v="1074"/>
  </r>
  <r>
    <x v="0"/>
    <x v="0"/>
    <x v="0"/>
    <x v="163"/>
    <x v="25"/>
    <x v="568"/>
    <x v="992"/>
    <x v="1075"/>
  </r>
  <r>
    <x v="1"/>
    <x v="0"/>
    <x v="2"/>
    <x v="23"/>
    <x v="2"/>
    <x v="2"/>
    <x v="89"/>
    <x v="1076"/>
  </r>
  <r>
    <x v="1"/>
    <x v="0"/>
    <x v="2"/>
    <x v="85"/>
    <x v="8"/>
    <x v="569"/>
    <x v="993"/>
    <x v="1077"/>
  </r>
  <r>
    <x v="1"/>
    <x v="0"/>
    <x v="1"/>
    <x v="242"/>
    <x v="11"/>
    <x v="570"/>
    <x v="994"/>
    <x v="1078"/>
  </r>
  <r>
    <x v="0"/>
    <x v="0"/>
    <x v="0"/>
    <x v="141"/>
    <x v="1"/>
    <x v="28"/>
    <x v="995"/>
    <x v="1079"/>
  </r>
  <r>
    <x v="0"/>
    <x v="0"/>
    <x v="2"/>
    <x v="190"/>
    <x v="25"/>
    <x v="92"/>
    <x v="996"/>
    <x v="1080"/>
  </r>
  <r>
    <x v="0"/>
    <x v="0"/>
    <x v="0"/>
    <x v="94"/>
    <x v="13"/>
    <x v="425"/>
    <x v="997"/>
    <x v="1081"/>
  </r>
  <r>
    <x v="3"/>
    <x v="0"/>
    <x v="2"/>
    <x v="181"/>
    <x v="16"/>
    <x v="71"/>
    <x v="998"/>
    <x v="1082"/>
  </r>
  <r>
    <x v="1"/>
    <x v="0"/>
    <x v="2"/>
    <x v="188"/>
    <x v="14"/>
    <x v="528"/>
    <x v="999"/>
    <x v="1083"/>
  </r>
  <r>
    <x v="1"/>
    <x v="0"/>
    <x v="2"/>
    <x v="50"/>
    <x v="18"/>
    <x v="571"/>
    <x v="1000"/>
    <x v="1084"/>
  </r>
  <r>
    <x v="3"/>
    <x v="0"/>
    <x v="2"/>
    <x v="235"/>
    <x v="1"/>
    <x v="182"/>
    <x v="1001"/>
    <x v="1085"/>
  </r>
  <r>
    <x v="0"/>
    <x v="0"/>
    <x v="0"/>
    <x v="247"/>
    <x v="22"/>
    <x v="68"/>
    <x v="1002"/>
    <x v="1086"/>
  </r>
  <r>
    <x v="1"/>
    <x v="0"/>
    <x v="1"/>
    <x v="85"/>
    <x v="8"/>
    <x v="569"/>
    <x v="1003"/>
    <x v="1087"/>
  </r>
  <r>
    <x v="3"/>
    <x v="0"/>
    <x v="2"/>
    <x v="221"/>
    <x v="11"/>
    <x v="206"/>
    <x v="1004"/>
    <x v="1088"/>
  </r>
  <r>
    <x v="2"/>
    <x v="0"/>
    <x v="2"/>
    <x v="17"/>
    <x v="12"/>
    <x v="16"/>
    <x v="1005"/>
    <x v="1089"/>
  </r>
  <r>
    <x v="0"/>
    <x v="0"/>
    <x v="2"/>
    <x v="15"/>
    <x v="15"/>
    <x v="142"/>
    <x v="1006"/>
    <x v="1090"/>
  </r>
  <r>
    <x v="1"/>
    <x v="0"/>
    <x v="1"/>
    <x v="77"/>
    <x v="15"/>
    <x v="81"/>
    <x v="1007"/>
    <x v="1091"/>
  </r>
  <r>
    <x v="0"/>
    <x v="0"/>
    <x v="2"/>
    <x v="227"/>
    <x v="28"/>
    <x v="572"/>
    <x v="1008"/>
    <x v="1092"/>
  </r>
  <r>
    <x v="3"/>
    <x v="0"/>
    <x v="2"/>
    <x v="219"/>
    <x v="11"/>
    <x v="537"/>
    <x v="1009"/>
    <x v="1093"/>
  </r>
  <r>
    <x v="1"/>
    <x v="0"/>
    <x v="1"/>
    <x v="83"/>
    <x v="15"/>
    <x v="573"/>
    <x v="1010"/>
    <x v="1094"/>
  </r>
  <r>
    <x v="1"/>
    <x v="0"/>
    <x v="2"/>
    <x v="95"/>
    <x v="2"/>
    <x v="2"/>
    <x v="1011"/>
    <x v="1095"/>
  </r>
  <r>
    <x v="0"/>
    <x v="0"/>
    <x v="0"/>
    <x v="238"/>
    <x v="11"/>
    <x v="356"/>
    <x v="1012"/>
    <x v="1096"/>
  </r>
  <r>
    <x v="1"/>
    <x v="0"/>
    <x v="1"/>
    <x v="43"/>
    <x v="17"/>
    <x v="41"/>
    <x v="155"/>
    <x v="1097"/>
  </r>
  <r>
    <x v="0"/>
    <x v="0"/>
    <x v="0"/>
    <x v="5"/>
    <x v="10"/>
    <x v="352"/>
    <x v="1013"/>
    <x v="1098"/>
  </r>
  <r>
    <x v="3"/>
    <x v="0"/>
    <x v="2"/>
    <x v="35"/>
    <x v="10"/>
    <x v="269"/>
    <x v="1014"/>
    <x v="1099"/>
  </r>
  <r>
    <x v="0"/>
    <x v="0"/>
    <x v="2"/>
    <x v="126"/>
    <x v="8"/>
    <x v="488"/>
    <x v="1015"/>
    <x v="1100"/>
  </r>
  <r>
    <x v="0"/>
    <x v="0"/>
    <x v="0"/>
    <x v="8"/>
    <x v="7"/>
    <x v="413"/>
    <x v="1016"/>
    <x v="1101"/>
  </r>
  <r>
    <x v="0"/>
    <x v="0"/>
    <x v="0"/>
    <x v="91"/>
    <x v="11"/>
    <x v="574"/>
    <x v="1017"/>
    <x v="1102"/>
  </r>
  <r>
    <x v="1"/>
    <x v="0"/>
    <x v="1"/>
    <x v="184"/>
    <x v="10"/>
    <x v="466"/>
    <x v="1018"/>
    <x v="1103"/>
  </r>
  <r>
    <x v="3"/>
    <x v="0"/>
    <x v="2"/>
    <x v="125"/>
    <x v="12"/>
    <x v="575"/>
    <x v="1019"/>
    <x v="1104"/>
  </r>
  <r>
    <x v="0"/>
    <x v="0"/>
    <x v="0"/>
    <x v="62"/>
    <x v="6"/>
    <x v="576"/>
    <x v="1020"/>
    <x v="1105"/>
  </r>
  <r>
    <x v="2"/>
    <x v="0"/>
    <x v="2"/>
    <x v="36"/>
    <x v="20"/>
    <x v="196"/>
    <x v="1021"/>
    <x v="1106"/>
  </r>
  <r>
    <x v="1"/>
    <x v="0"/>
    <x v="1"/>
    <x v="28"/>
    <x v="1"/>
    <x v="577"/>
    <x v="1022"/>
    <x v="1107"/>
  </r>
  <r>
    <x v="2"/>
    <x v="0"/>
    <x v="2"/>
    <x v="108"/>
    <x v="10"/>
    <x v="448"/>
    <x v="1023"/>
    <x v="1108"/>
  </r>
  <r>
    <x v="3"/>
    <x v="0"/>
    <x v="2"/>
    <x v="56"/>
    <x v="14"/>
    <x v="578"/>
    <x v="1024"/>
    <x v="1109"/>
  </r>
  <r>
    <x v="2"/>
    <x v="0"/>
    <x v="2"/>
    <x v="124"/>
    <x v="0"/>
    <x v="386"/>
    <x v="373"/>
    <x v="1110"/>
  </r>
  <r>
    <x v="0"/>
    <x v="0"/>
    <x v="0"/>
    <x v="163"/>
    <x v="11"/>
    <x v="206"/>
    <x v="1025"/>
    <x v="1111"/>
  </r>
  <r>
    <x v="0"/>
    <x v="0"/>
    <x v="2"/>
    <x v="36"/>
    <x v="21"/>
    <x v="55"/>
    <x v="835"/>
    <x v="1112"/>
  </r>
  <r>
    <x v="1"/>
    <x v="0"/>
    <x v="2"/>
    <x v="163"/>
    <x v="1"/>
    <x v="579"/>
    <x v="1026"/>
    <x v="1113"/>
  </r>
  <r>
    <x v="0"/>
    <x v="0"/>
    <x v="2"/>
    <x v="234"/>
    <x v="10"/>
    <x v="415"/>
    <x v="1027"/>
    <x v="1114"/>
  </r>
  <r>
    <x v="0"/>
    <x v="0"/>
    <x v="2"/>
    <x v="78"/>
    <x v="2"/>
    <x v="2"/>
    <x v="1028"/>
    <x v="1115"/>
  </r>
  <r>
    <x v="3"/>
    <x v="0"/>
    <x v="2"/>
    <x v="119"/>
    <x v="20"/>
    <x v="451"/>
    <x v="821"/>
    <x v="1116"/>
  </r>
  <r>
    <x v="0"/>
    <x v="0"/>
    <x v="2"/>
    <x v="201"/>
    <x v="6"/>
    <x v="560"/>
    <x v="1029"/>
    <x v="1117"/>
  </r>
  <r>
    <x v="2"/>
    <x v="0"/>
    <x v="2"/>
    <x v="184"/>
    <x v="10"/>
    <x v="466"/>
    <x v="1030"/>
    <x v="1118"/>
  </r>
  <r>
    <x v="1"/>
    <x v="0"/>
    <x v="2"/>
    <x v="103"/>
    <x v="0"/>
    <x v="169"/>
    <x v="1031"/>
    <x v="1119"/>
  </r>
  <r>
    <x v="0"/>
    <x v="0"/>
    <x v="2"/>
    <x v="130"/>
    <x v="2"/>
    <x v="2"/>
    <x v="1032"/>
    <x v="1120"/>
  </r>
  <r>
    <x v="3"/>
    <x v="0"/>
    <x v="2"/>
    <x v="34"/>
    <x v="5"/>
    <x v="379"/>
    <x v="1033"/>
    <x v="1121"/>
  </r>
  <r>
    <x v="3"/>
    <x v="0"/>
    <x v="2"/>
    <x v="51"/>
    <x v="15"/>
    <x v="346"/>
    <x v="1034"/>
    <x v="1122"/>
  </r>
  <r>
    <x v="2"/>
    <x v="0"/>
    <x v="2"/>
    <x v="169"/>
    <x v="2"/>
    <x v="2"/>
    <x v="1035"/>
    <x v="1123"/>
  </r>
  <r>
    <x v="2"/>
    <x v="0"/>
    <x v="2"/>
    <x v="63"/>
    <x v="27"/>
    <x v="415"/>
    <x v="1036"/>
    <x v="1124"/>
  </r>
  <r>
    <x v="1"/>
    <x v="0"/>
    <x v="1"/>
    <x v="181"/>
    <x v="17"/>
    <x v="19"/>
    <x v="1037"/>
    <x v="1125"/>
  </r>
  <r>
    <x v="0"/>
    <x v="0"/>
    <x v="2"/>
    <x v="31"/>
    <x v="19"/>
    <x v="0"/>
    <x v="1038"/>
    <x v="1126"/>
  </r>
  <r>
    <x v="3"/>
    <x v="0"/>
    <x v="2"/>
    <x v="16"/>
    <x v="14"/>
    <x v="457"/>
    <x v="1039"/>
    <x v="1127"/>
  </r>
  <r>
    <x v="1"/>
    <x v="0"/>
    <x v="2"/>
    <x v="212"/>
    <x v="3"/>
    <x v="122"/>
    <x v="1040"/>
    <x v="1128"/>
  </r>
  <r>
    <x v="1"/>
    <x v="0"/>
    <x v="2"/>
    <x v="82"/>
    <x v="16"/>
    <x v="452"/>
    <x v="1041"/>
    <x v="1129"/>
  </r>
  <r>
    <x v="2"/>
    <x v="0"/>
    <x v="2"/>
    <x v="13"/>
    <x v="20"/>
    <x v="580"/>
    <x v="1042"/>
    <x v="1130"/>
  </r>
  <r>
    <x v="1"/>
    <x v="0"/>
    <x v="2"/>
    <x v="186"/>
    <x v="3"/>
    <x v="120"/>
    <x v="468"/>
    <x v="1131"/>
  </r>
  <r>
    <x v="1"/>
    <x v="0"/>
    <x v="1"/>
    <x v="104"/>
    <x v="2"/>
    <x v="2"/>
    <x v="1043"/>
    <x v="1132"/>
  </r>
  <r>
    <x v="2"/>
    <x v="0"/>
    <x v="2"/>
    <x v="85"/>
    <x v="7"/>
    <x v="180"/>
    <x v="1044"/>
    <x v="1133"/>
  </r>
  <r>
    <x v="3"/>
    <x v="0"/>
    <x v="2"/>
    <x v="204"/>
    <x v="13"/>
    <x v="581"/>
    <x v="1045"/>
    <x v="1134"/>
  </r>
  <r>
    <x v="1"/>
    <x v="0"/>
    <x v="1"/>
    <x v="224"/>
    <x v="5"/>
    <x v="582"/>
    <x v="1046"/>
    <x v="1135"/>
  </r>
  <r>
    <x v="1"/>
    <x v="0"/>
    <x v="2"/>
    <x v="115"/>
    <x v="1"/>
    <x v="171"/>
    <x v="1047"/>
    <x v="1136"/>
  </r>
  <r>
    <x v="0"/>
    <x v="0"/>
    <x v="0"/>
    <x v="104"/>
    <x v="2"/>
    <x v="2"/>
    <x v="1048"/>
    <x v="1137"/>
  </r>
  <r>
    <x v="1"/>
    <x v="0"/>
    <x v="1"/>
    <x v="149"/>
    <x v="7"/>
    <x v="436"/>
    <x v="1049"/>
    <x v="1138"/>
  </r>
  <r>
    <x v="1"/>
    <x v="0"/>
    <x v="1"/>
    <x v="61"/>
    <x v="12"/>
    <x v="583"/>
    <x v="1050"/>
    <x v="1139"/>
  </r>
  <r>
    <x v="0"/>
    <x v="0"/>
    <x v="0"/>
    <x v="37"/>
    <x v="0"/>
    <x v="584"/>
    <x v="1051"/>
    <x v="1140"/>
  </r>
  <r>
    <x v="3"/>
    <x v="0"/>
    <x v="2"/>
    <x v="230"/>
    <x v="2"/>
    <x v="2"/>
    <x v="1052"/>
    <x v="1141"/>
  </r>
  <r>
    <x v="2"/>
    <x v="0"/>
    <x v="2"/>
    <x v="203"/>
    <x v="7"/>
    <x v="338"/>
    <x v="1053"/>
    <x v="1142"/>
  </r>
  <r>
    <x v="0"/>
    <x v="0"/>
    <x v="2"/>
    <x v="90"/>
    <x v="1"/>
    <x v="465"/>
    <x v="1054"/>
    <x v="1143"/>
  </r>
  <r>
    <x v="3"/>
    <x v="0"/>
    <x v="2"/>
    <x v="119"/>
    <x v="0"/>
    <x v="17"/>
    <x v="1055"/>
    <x v="1144"/>
  </r>
  <r>
    <x v="0"/>
    <x v="0"/>
    <x v="2"/>
    <x v="132"/>
    <x v="4"/>
    <x v="165"/>
    <x v="1056"/>
    <x v="1145"/>
  </r>
  <r>
    <x v="0"/>
    <x v="0"/>
    <x v="2"/>
    <x v="124"/>
    <x v="7"/>
    <x v="585"/>
    <x v="1057"/>
    <x v="1146"/>
  </r>
  <r>
    <x v="0"/>
    <x v="0"/>
    <x v="2"/>
    <x v="78"/>
    <x v="1"/>
    <x v="586"/>
    <x v="1058"/>
    <x v="1147"/>
  </r>
  <r>
    <x v="3"/>
    <x v="0"/>
    <x v="2"/>
    <x v="181"/>
    <x v="6"/>
    <x v="187"/>
    <x v="1059"/>
    <x v="1148"/>
  </r>
  <r>
    <x v="1"/>
    <x v="0"/>
    <x v="2"/>
    <x v="85"/>
    <x v="3"/>
    <x v="547"/>
    <x v="1060"/>
    <x v="1149"/>
  </r>
  <r>
    <x v="1"/>
    <x v="0"/>
    <x v="1"/>
    <x v="128"/>
    <x v="6"/>
    <x v="587"/>
    <x v="364"/>
    <x v="1150"/>
  </r>
  <r>
    <x v="3"/>
    <x v="0"/>
    <x v="2"/>
    <x v="168"/>
    <x v="5"/>
    <x v="278"/>
    <x v="1061"/>
    <x v="1151"/>
  </r>
  <r>
    <x v="1"/>
    <x v="0"/>
    <x v="2"/>
    <x v="127"/>
    <x v="18"/>
    <x v="533"/>
    <x v="1062"/>
    <x v="1152"/>
  </r>
  <r>
    <x v="2"/>
    <x v="0"/>
    <x v="2"/>
    <x v="95"/>
    <x v="3"/>
    <x v="32"/>
    <x v="1063"/>
    <x v="1153"/>
  </r>
  <r>
    <x v="1"/>
    <x v="0"/>
    <x v="1"/>
    <x v="180"/>
    <x v="11"/>
    <x v="119"/>
    <x v="1064"/>
    <x v="1154"/>
  </r>
  <r>
    <x v="1"/>
    <x v="0"/>
    <x v="1"/>
    <x v="105"/>
    <x v="5"/>
    <x v="238"/>
    <x v="123"/>
    <x v="1155"/>
  </r>
  <r>
    <x v="0"/>
    <x v="0"/>
    <x v="2"/>
    <x v="131"/>
    <x v="0"/>
    <x v="588"/>
    <x v="1065"/>
    <x v="1156"/>
  </r>
  <r>
    <x v="1"/>
    <x v="0"/>
    <x v="1"/>
    <x v="145"/>
    <x v="2"/>
    <x v="2"/>
    <x v="1066"/>
    <x v="1157"/>
  </r>
  <r>
    <x v="1"/>
    <x v="0"/>
    <x v="2"/>
    <x v="231"/>
    <x v="5"/>
    <x v="129"/>
    <x v="1067"/>
    <x v="1158"/>
  </r>
  <r>
    <x v="0"/>
    <x v="0"/>
    <x v="2"/>
    <x v="181"/>
    <x v="5"/>
    <x v="375"/>
    <x v="1068"/>
    <x v="1159"/>
  </r>
  <r>
    <x v="2"/>
    <x v="0"/>
    <x v="2"/>
    <x v="175"/>
    <x v="7"/>
    <x v="589"/>
    <x v="1069"/>
    <x v="1160"/>
  </r>
  <r>
    <x v="0"/>
    <x v="0"/>
    <x v="2"/>
    <x v="200"/>
    <x v="7"/>
    <x v="68"/>
    <x v="1070"/>
    <x v="1161"/>
  </r>
  <r>
    <x v="1"/>
    <x v="0"/>
    <x v="1"/>
    <x v="128"/>
    <x v="5"/>
    <x v="482"/>
    <x v="1071"/>
    <x v="1162"/>
  </r>
  <r>
    <x v="0"/>
    <x v="0"/>
    <x v="0"/>
    <x v="9"/>
    <x v="12"/>
    <x v="0"/>
    <x v="1072"/>
    <x v="1163"/>
  </r>
  <r>
    <x v="1"/>
    <x v="0"/>
    <x v="1"/>
    <x v="96"/>
    <x v="20"/>
    <x v="186"/>
    <x v="1073"/>
    <x v="1164"/>
  </r>
  <r>
    <x v="3"/>
    <x v="0"/>
    <x v="2"/>
    <x v="214"/>
    <x v="10"/>
    <x v="380"/>
    <x v="1074"/>
    <x v="1165"/>
  </r>
  <r>
    <x v="2"/>
    <x v="0"/>
    <x v="2"/>
    <x v="163"/>
    <x v="3"/>
    <x v="509"/>
    <x v="1075"/>
    <x v="1166"/>
  </r>
  <r>
    <x v="2"/>
    <x v="0"/>
    <x v="2"/>
    <x v="135"/>
    <x v="1"/>
    <x v="590"/>
    <x v="1076"/>
    <x v="1167"/>
  </r>
  <r>
    <x v="2"/>
    <x v="0"/>
    <x v="2"/>
    <x v="76"/>
    <x v="3"/>
    <x v="591"/>
    <x v="1077"/>
    <x v="1168"/>
  </r>
  <r>
    <x v="1"/>
    <x v="0"/>
    <x v="2"/>
    <x v="218"/>
    <x v="13"/>
    <x v="468"/>
    <x v="1078"/>
    <x v="1169"/>
  </r>
  <r>
    <x v="3"/>
    <x v="0"/>
    <x v="2"/>
    <x v="246"/>
    <x v="24"/>
    <x v="592"/>
    <x v="1079"/>
    <x v="1170"/>
  </r>
  <r>
    <x v="1"/>
    <x v="0"/>
    <x v="2"/>
    <x v="33"/>
    <x v="15"/>
    <x v="218"/>
    <x v="1080"/>
    <x v="1171"/>
  </r>
  <r>
    <x v="3"/>
    <x v="0"/>
    <x v="2"/>
    <x v="0"/>
    <x v="6"/>
    <x v="101"/>
    <x v="1081"/>
    <x v="1172"/>
  </r>
  <r>
    <x v="1"/>
    <x v="0"/>
    <x v="1"/>
    <x v="204"/>
    <x v="2"/>
    <x v="2"/>
    <x v="1082"/>
    <x v="1173"/>
  </r>
  <r>
    <x v="0"/>
    <x v="0"/>
    <x v="2"/>
    <x v="110"/>
    <x v="1"/>
    <x v="172"/>
    <x v="1083"/>
    <x v="1174"/>
  </r>
  <r>
    <x v="2"/>
    <x v="0"/>
    <x v="2"/>
    <x v="12"/>
    <x v="3"/>
    <x v="593"/>
    <x v="1084"/>
    <x v="1175"/>
  </r>
  <r>
    <x v="3"/>
    <x v="0"/>
    <x v="2"/>
    <x v="191"/>
    <x v="2"/>
    <x v="2"/>
    <x v="1085"/>
    <x v="1176"/>
  </r>
  <r>
    <x v="2"/>
    <x v="0"/>
    <x v="2"/>
    <x v="16"/>
    <x v="24"/>
    <x v="575"/>
    <x v="1086"/>
    <x v="1177"/>
  </r>
  <r>
    <x v="1"/>
    <x v="0"/>
    <x v="1"/>
    <x v="178"/>
    <x v="18"/>
    <x v="358"/>
    <x v="240"/>
    <x v="1178"/>
  </r>
  <r>
    <x v="3"/>
    <x v="0"/>
    <x v="2"/>
    <x v="93"/>
    <x v="8"/>
    <x v="594"/>
    <x v="1087"/>
    <x v="1179"/>
  </r>
  <r>
    <x v="2"/>
    <x v="0"/>
    <x v="2"/>
    <x v="16"/>
    <x v="14"/>
    <x v="457"/>
    <x v="1088"/>
    <x v="1180"/>
  </r>
  <r>
    <x v="0"/>
    <x v="0"/>
    <x v="0"/>
    <x v="45"/>
    <x v="15"/>
    <x v="502"/>
    <x v="1089"/>
    <x v="1181"/>
  </r>
  <r>
    <x v="1"/>
    <x v="0"/>
    <x v="2"/>
    <x v="229"/>
    <x v="20"/>
    <x v="595"/>
    <x v="1090"/>
    <x v="1182"/>
  </r>
  <r>
    <x v="3"/>
    <x v="0"/>
    <x v="2"/>
    <x v="8"/>
    <x v="15"/>
    <x v="199"/>
    <x v="1091"/>
    <x v="1183"/>
  </r>
  <r>
    <x v="1"/>
    <x v="0"/>
    <x v="1"/>
    <x v="218"/>
    <x v="11"/>
    <x v="545"/>
    <x v="468"/>
    <x v="1184"/>
  </r>
  <r>
    <x v="1"/>
    <x v="0"/>
    <x v="1"/>
    <x v="176"/>
    <x v="5"/>
    <x v="596"/>
    <x v="1092"/>
    <x v="1185"/>
  </r>
  <r>
    <x v="0"/>
    <x v="0"/>
    <x v="0"/>
    <x v="28"/>
    <x v="5"/>
    <x v="289"/>
    <x v="1093"/>
    <x v="1186"/>
  </r>
  <r>
    <x v="3"/>
    <x v="0"/>
    <x v="2"/>
    <x v="169"/>
    <x v="0"/>
    <x v="246"/>
    <x v="1094"/>
    <x v="1187"/>
  </r>
  <r>
    <x v="1"/>
    <x v="0"/>
    <x v="2"/>
    <x v="160"/>
    <x v="0"/>
    <x v="597"/>
    <x v="1095"/>
    <x v="1188"/>
  </r>
  <r>
    <x v="1"/>
    <x v="0"/>
    <x v="1"/>
    <x v="103"/>
    <x v="6"/>
    <x v="339"/>
    <x v="1096"/>
    <x v="1189"/>
  </r>
  <r>
    <x v="3"/>
    <x v="0"/>
    <x v="2"/>
    <x v="6"/>
    <x v="15"/>
    <x v="283"/>
    <x v="1097"/>
    <x v="1190"/>
  </r>
  <r>
    <x v="1"/>
    <x v="0"/>
    <x v="1"/>
    <x v="87"/>
    <x v="20"/>
    <x v="598"/>
    <x v="1098"/>
    <x v="1191"/>
  </r>
  <r>
    <x v="2"/>
    <x v="0"/>
    <x v="2"/>
    <x v="177"/>
    <x v="12"/>
    <x v="368"/>
    <x v="1099"/>
    <x v="1192"/>
  </r>
  <r>
    <x v="1"/>
    <x v="0"/>
    <x v="1"/>
    <x v="183"/>
    <x v="2"/>
    <x v="2"/>
    <x v="1100"/>
    <x v="1193"/>
  </r>
  <r>
    <x v="2"/>
    <x v="0"/>
    <x v="2"/>
    <x v="9"/>
    <x v="0"/>
    <x v="35"/>
    <x v="1101"/>
    <x v="1194"/>
  </r>
  <r>
    <x v="1"/>
    <x v="0"/>
    <x v="2"/>
    <x v="166"/>
    <x v="4"/>
    <x v="84"/>
    <x v="1102"/>
    <x v="1195"/>
  </r>
  <r>
    <x v="1"/>
    <x v="0"/>
    <x v="1"/>
    <x v="230"/>
    <x v="0"/>
    <x v="599"/>
    <x v="1103"/>
    <x v="1196"/>
  </r>
  <r>
    <x v="3"/>
    <x v="0"/>
    <x v="2"/>
    <x v="9"/>
    <x v="13"/>
    <x v="600"/>
    <x v="1104"/>
    <x v="1197"/>
  </r>
  <r>
    <x v="3"/>
    <x v="0"/>
    <x v="2"/>
    <x v="134"/>
    <x v="12"/>
    <x v="240"/>
    <x v="1105"/>
    <x v="1198"/>
  </r>
  <r>
    <x v="0"/>
    <x v="0"/>
    <x v="0"/>
    <x v="1"/>
    <x v="13"/>
    <x v="141"/>
    <x v="1106"/>
    <x v="1199"/>
  </r>
  <r>
    <x v="1"/>
    <x v="0"/>
    <x v="2"/>
    <x v="78"/>
    <x v="1"/>
    <x v="586"/>
    <x v="1107"/>
    <x v="1200"/>
  </r>
  <r>
    <x v="2"/>
    <x v="0"/>
    <x v="2"/>
    <x v="224"/>
    <x v="13"/>
    <x v="601"/>
    <x v="1108"/>
    <x v="1201"/>
  </r>
  <r>
    <x v="2"/>
    <x v="0"/>
    <x v="2"/>
    <x v="49"/>
    <x v="11"/>
    <x v="132"/>
    <x v="1109"/>
    <x v="1202"/>
  </r>
  <r>
    <x v="1"/>
    <x v="0"/>
    <x v="1"/>
    <x v="140"/>
    <x v="11"/>
    <x v="344"/>
    <x v="1110"/>
    <x v="1203"/>
  </r>
  <r>
    <x v="0"/>
    <x v="0"/>
    <x v="2"/>
    <x v="130"/>
    <x v="5"/>
    <x v="327"/>
    <x v="1111"/>
    <x v="1204"/>
  </r>
  <r>
    <x v="1"/>
    <x v="0"/>
    <x v="2"/>
    <x v="233"/>
    <x v="11"/>
    <x v="560"/>
    <x v="1112"/>
    <x v="1205"/>
  </r>
  <r>
    <x v="3"/>
    <x v="0"/>
    <x v="2"/>
    <x v="212"/>
    <x v="3"/>
    <x v="122"/>
    <x v="1113"/>
    <x v="1206"/>
  </r>
  <r>
    <x v="1"/>
    <x v="0"/>
    <x v="1"/>
    <x v="163"/>
    <x v="3"/>
    <x v="509"/>
    <x v="1114"/>
    <x v="1207"/>
  </r>
  <r>
    <x v="3"/>
    <x v="0"/>
    <x v="2"/>
    <x v="243"/>
    <x v="26"/>
    <x v="294"/>
    <x v="1115"/>
    <x v="1208"/>
  </r>
  <r>
    <x v="1"/>
    <x v="0"/>
    <x v="1"/>
    <x v="217"/>
    <x v="13"/>
    <x v="485"/>
    <x v="1116"/>
    <x v="1209"/>
  </r>
  <r>
    <x v="2"/>
    <x v="0"/>
    <x v="2"/>
    <x v="12"/>
    <x v="6"/>
    <x v="602"/>
    <x v="1117"/>
    <x v="1210"/>
  </r>
  <r>
    <x v="1"/>
    <x v="0"/>
    <x v="2"/>
    <x v="53"/>
    <x v="4"/>
    <x v="603"/>
    <x v="1118"/>
    <x v="1211"/>
  </r>
  <r>
    <x v="1"/>
    <x v="0"/>
    <x v="2"/>
    <x v="239"/>
    <x v="6"/>
    <x v="604"/>
    <x v="789"/>
    <x v="1212"/>
  </r>
  <r>
    <x v="3"/>
    <x v="0"/>
    <x v="2"/>
    <x v="87"/>
    <x v="4"/>
    <x v="114"/>
    <x v="1119"/>
    <x v="1213"/>
  </r>
  <r>
    <x v="3"/>
    <x v="0"/>
    <x v="2"/>
    <x v="79"/>
    <x v="6"/>
    <x v="505"/>
    <x v="1120"/>
    <x v="1214"/>
  </r>
  <r>
    <x v="1"/>
    <x v="0"/>
    <x v="1"/>
    <x v="48"/>
    <x v="11"/>
    <x v="552"/>
    <x v="1121"/>
    <x v="1215"/>
  </r>
  <r>
    <x v="3"/>
    <x v="0"/>
    <x v="2"/>
    <x v="218"/>
    <x v="17"/>
    <x v="114"/>
    <x v="1122"/>
    <x v="1216"/>
  </r>
  <r>
    <x v="0"/>
    <x v="0"/>
    <x v="2"/>
    <x v="194"/>
    <x v="28"/>
    <x v="563"/>
    <x v="1123"/>
    <x v="1217"/>
  </r>
  <r>
    <x v="0"/>
    <x v="0"/>
    <x v="0"/>
    <x v="148"/>
    <x v="13"/>
    <x v="297"/>
    <x v="1124"/>
    <x v="1218"/>
  </r>
  <r>
    <x v="1"/>
    <x v="0"/>
    <x v="2"/>
    <x v="145"/>
    <x v="13"/>
    <x v="222"/>
    <x v="1125"/>
    <x v="1219"/>
  </r>
  <r>
    <x v="2"/>
    <x v="0"/>
    <x v="2"/>
    <x v="19"/>
    <x v="15"/>
    <x v="258"/>
    <x v="1126"/>
    <x v="1220"/>
  </r>
  <r>
    <x v="1"/>
    <x v="0"/>
    <x v="1"/>
    <x v="7"/>
    <x v="9"/>
    <x v="605"/>
    <x v="1127"/>
    <x v="1221"/>
  </r>
  <r>
    <x v="2"/>
    <x v="0"/>
    <x v="2"/>
    <x v="136"/>
    <x v="11"/>
    <x v="570"/>
    <x v="1128"/>
    <x v="1222"/>
  </r>
  <r>
    <x v="0"/>
    <x v="0"/>
    <x v="2"/>
    <x v="235"/>
    <x v="25"/>
    <x v="77"/>
    <x v="1129"/>
    <x v="1223"/>
  </r>
  <r>
    <x v="1"/>
    <x v="0"/>
    <x v="1"/>
    <x v="194"/>
    <x v="5"/>
    <x v="606"/>
    <x v="1130"/>
    <x v="1224"/>
  </r>
  <r>
    <x v="3"/>
    <x v="0"/>
    <x v="2"/>
    <x v="79"/>
    <x v="0"/>
    <x v="313"/>
    <x v="1131"/>
    <x v="1225"/>
  </r>
  <r>
    <x v="1"/>
    <x v="0"/>
    <x v="2"/>
    <x v="31"/>
    <x v="15"/>
    <x v="213"/>
    <x v="1132"/>
    <x v="1226"/>
  </r>
  <r>
    <x v="1"/>
    <x v="0"/>
    <x v="2"/>
    <x v="172"/>
    <x v="12"/>
    <x v="510"/>
    <x v="391"/>
    <x v="1227"/>
  </r>
  <r>
    <x v="1"/>
    <x v="0"/>
    <x v="2"/>
    <x v="247"/>
    <x v="13"/>
    <x v="607"/>
    <x v="1133"/>
    <x v="1228"/>
  </r>
  <r>
    <x v="0"/>
    <x v="0"/>
    <x v="0"/>
    <x v="35"/>
    <x v="1"/>
    <x v="608"/>
    <x v="1134"/>
    <x v="1229"/>
  </r>
  <r>
    <x v="0"/>
    <x v="0"/>
    <x v="0"/>
    <x v="22"/>
    <x v="16"/>
    <x v="609"/>
    <x v="681"/>
    <x v="1230"/>
  </r>
  <r>
    <x v="1"/>
    <x v="0"/>
    <x v="2"/>
    <x v="160"/>
    <x v="11"/>
    <x v="526"/>
    <x v="1135"/>
    <x v="1231"/>
  </r>
  <r>
    <x v="0"/>
    <x v="0"/>
    <x v="2"/>
    <x v="8"/>
    <x v="7"/>
    <x v="413"/>
    <x v="1136"/>
    <x v="1232"/>
  </r>
  <r>
    <x v="1"/>
    <x v="0"/>
    <x v="2"/>
    <x v="235"/>
    <x v="28"/>
    <x v="610"/>
    <x v="780"/>
    <x v="1233"/>
  </r>
  <r>
    <x v="2"/>
    <x v="0"/>
    <x v="2"/>
    <x v="1"/>
    <x v="15"/>
    <x v="202"/>
    <x v="1137"/>
    <x v="1234"/>
  </r>
  <r>
    <x v="1"/>
    <x v="0"/>
    <x v="2"/>
    <x v="159"/>
    <x v="5"/>
    <x v="322"/>
    <x v="1138"/>
    <x v="1235"/>
  </r>
  <r>
    <x v="1"/>
    <x v="0"/>
    <x v="1"/>
    <x v="197"/>
    <x v="4"/>
    <x v="398"/>
    <x v="1139"/>
    <x v="1236"/>
  </r>
  <r>
    <x v="0"/>
    <x v="0"/>
    <x v="0"/>
    <x v="177"/>
    <x v="16"/>
    <x v="611"/>
    <x v="1140"/>
    <x v="1237"/>
  </r>
  <r>
    <x v="3"/>
    <x v="0"/>
    <x v="2"/>
    <x v="166"/>
    <x v="7"/>
    <x v="612"/>
    <x v="1141"/>
    <x v="1238"/>
  </r>
  <r>
    <x v="2"/>
    <x v="0"/>
    <x v="2"/>
    <x v="18"/>
    <x v="0"/>
    <x v="613"/>
    <x v="1142"/>
    <x v="1239"/>
  </r>
  <r>
    <x v="3"/>
    <x v="0"/>
    <x v="2"/>
    <x v="82"/>
    <x v="17"/>
    <x v="426"/>
    <x v="1143"/>
    <x v="1240"/>
  </r>
  <r>
    <x v="3"/>
    <x v="0"/>
    <x v="2"/>
    <x v="245"/>
    <x v="2"/>
    <x v="2"/>
    <x v="1144"/>
    <x v="1241"/>
  </r>
  <r>
    <x v="0"/>
    <x v="0"/>
    <x v="0"/>
    <x v="8"/>
    <x v="15"/>
    <x v="199"/>
    <x v="1145"/>
    <x v="1242"/>
  </r>
  <r>
    <x v="2"/>
    <x v="0"/>
    <x v="2"/>
    <x v="187"/>
    <x v="23"/>
    <x v="614"/>
    <x v="1146"/>
    <x v="1243"/>
  </r>
  <r>
    <x v="2"/>
    <x v="0"/>
    <x v="2"/>
    <x v="17"/>
    <x v="11"/>
    <x v="234"/>
    <x v="1147"/>
    <x v="1244"/>
  </r>
  <r>
    <x v="0"/>
    <x v="0"/>
    <x v="0"/>
    <x v="39"/>
    <x v="6"/>
    <x v="196"/>
    <x v="1005"/>
    <x v="1245"/>
  </r>
  <r>
    <x v="1"/>
    <x v="0"/>
    <x v="2"/>
    <x v="18"/>
    <x v="6"/>
    <x v="134"/>
    <x v="1148"/>
    <x v="1246"/>
  </r>
  <r>
    <x v="2"/>
    <x v="0"/>
    <x v="2"/>
    <x v="152"/>
    <x v="7"/>
    <x v="331"/>
    <x v="1149"/>
    <x v="1247"/>
  </r>
  <r>
    <x v="1"/>
    <x v="0"/>
    <x v="2"/>
    <x v="180"/>
    <x v="5"/>
    <x v="615"/>
    <x v="1150"/>
    <x v="1248"/>
  </r>
  <r>
    <x v="2"/>
    <x v="0"/>
    <x v="2"/>
    <x v="76"/>
    <x v="3"/>
    <x v="591"/>
    <x v="1151"/>
    <x v="1249"/>
  </r>
  <r>
    <x v="0"/>
    <x v="0"/>
    <x v="2"/>
    <x v="209"/>
    <x v="10"/>
    <x v="49"/>
    <x v="1152"/>
    <x v="1250"/>
  </r>
  <r>
    <x v="1"/>
    <x v="0"/>
    <x v="1"/>
    <x v="163"/>
    <x v="18"/>
    <x v="326"/>
    <x v="1153"/>
    <x v="1251"/>
  </r>
  <r>
    <x v="1"/>
    <x v="0"/>
    <x v="1"/>
    <x v="118"/>
    <x v="24"/>
    <x v="18"/>
    <x v="1154"/>
    <x v="1252"/>
  </r>
  <r>
    <x v="3"/>
    <x v="0"/>
    <x v="2"/>
    <x v="190"/>
    <x v="16"/>
    <x v="616"/>
    <x v="1155"/>
    <x v="1253"/>
  </r>
  <r>
    <x v="1"/>
    <x v="0"/>
    <x v="1"/>
    <x v="95"/>
    <x v="18"/>
    <x v="525"/>
    <x v="1156"/>
    <x v="1254"/>
  </r>
  <r>
    <x v="0"/>
    <x v="0"/>
    <x v="2"/>
    <x v="11"/>
    <x v="5"/>
    <x v="456"/>
    <x v="1157"/>
    <x v="1255"/>
  </r>
  <r>
    <x v="2"/>
    <x v="0"/>
    <x v="2"/>
    <x v="186"/>
    <x v="22"/>
    <x v="389"/>
    <x v="1158"/>
    <x v="1256"/>
  </r>
  <r>
    <x v="0"/>
    <x v="0"/>
    <x v="2"/>
    <x v="149"/>
    <x v="12"/>
    <x v="128"/>
    <x v="1159"/>
    <x v="1257"/>
  </r>
  <r>
    <x v="0"/>
    <x v="0"/>
    <x v="2"/>
    <x v="164"/>
    <x v="5"/>
    <x v="131"/>
    <x v="1129"/>
    <x v="1258"/>
  </r>
  <r>
    <x v="3"/>
    <x v="0"/>
    <x v="2"/>
    <x v="134"/>
    <x v="6"/>
    <x v="279"/>
    <x v="1160"/>
    <x v="1259"/>
  </r>
  <r>
    <x v="1"/>
    <x v="0"/>
    <x v="2"/>
    <x v="181"/>
    <x v="12"/>
    <x v="101"/>
    <x v="1161"/>
    <x v="1260"/>
  </r>
  <r>
    <x v="0"/>
    <x v="0"/>
    <x v="2"/>
    <x v="2"/>
    <x v="1"/>
    <x v="96"/>
    <x v="1162"/>
    <x v="1261"/>
  </r>
  <r>
    <x v="1"/>
    <x v="0"/>
    <x v="2"/>
    <x v="92"/>
    <x v="1"/>
    <x v="244"/>
    <x v="1163"/>
    <x v="1262"/>
  </r>
  <r>
    <x v="1"/>
    <x v="0"/>
    <x v="1"/>
    <x v="102"/>
    <x v="10"/>
    <x v="420"/>
    <x v="1061"/>
    <x v="1263"/>
  </r>
  <r>
    <x v="3"/>
    <x v="0"/>
    <x v="2"/>
    <x v="84"/>
    <x v="2"/>
    <x v="2"/>
    <x v="1164"/>
    <x v="1264"/>
  </r>
  <r>
    <x v="0"/>
    <x v="0"/>
    <x v="2"/>
    <x v="118"/>
    <x v="14"/>
    <x v="228"/>
    <x v="1165"/>
    <x v="1265"/>
  </r>
  <r>
    <x v="1"/>
    <x v="0"/>
    <x v="2"/>
    <x v="59"/>
    <x v="3"/>
    <x v="63"/>
    <x v="1166"/>
    <x v="1266"/>
  </r>
  <r>
    <x v="3"/>
    <x v="0"/>
    <x v="2"/>
    <x v="57"/>
    <x v="14"/>
    <x v="532"/>
    <x v="601"/>
    <x v="1267"/>
  </r>
  <r>
    <x v="1"/>
    <x v="0"/>
    <x v="1"/>
    <x v="83"/>
    <x v="8"/>
    <x v="617"/>
    <x v="1167"/>
    <x v="1268"/>
  </r>
  <r>
    <x v="0"/>
    <x v="0"/>
    <x v="2"/>
    <x v="26"/>
    <x v="5"/>
    <x v="618"/>
    <x v="1168"/>
    <x v="1269"/>
  </r>
  <r>
    <x v="0"/>
    <x v="0"/>
    <x v="2"/>
    <x v="245"/>
    <x v="1"/>
    <x v="619"/>
    <x v="1169"/>
    <x v="1270"/>
  </r>
  <r>
    <x v="2"/>
    <x v="0"/>
    <x v="2"/>
    <x v="244"/>
    <x v="13"/>
    <x v="363"/>
    <x v="816"/>
    <x v="1271"/>
  </r>
  <r>
    <x v="0"/>
    <x v="0"/>
    <x v="2"/>
    <x v="3"/>
    <x v="14"/>
    <x v="287"/>
    <x v="1170"/>
    <x v="1257"/>
  </r>
  <r>
    <x v="1"/>
    <x v="0"/>
    <x v="2"/>
    <x v="31"/>
    <x v="2"/>
    <x v="2"/>
    <x v="1171"/>
    <x v="1272"/>
  </r>
  <r>
    <x v="2"/>
    <x v="0"/>
    <x v="2"/>
    <x v="211"/>
    <x v="7"/>
    <x v="273"/>
    <x v="1172"/>
    <x v="1273"/>
  </r>
  <r>
    <x v="0"/>
    <x v="0"/>
    <x v="0"/>
    <x v="47"/>
    <x v="10"/>
    <x v="465"/>
    <x v="692"/>
    <x v="1274"/>
  </r>
  <r>
    <x v="1"/>
    <x v="0"/>
    <x v="1"/>
    <x v="4"/>
    <x v="0"/>
    <x v="620"/>
    <x v="1173"/>
    <x v="1275"/>
  </r>
  <r>
    <x v="1"/>
    <x v="0"/>
    <x v="1"/>
    <x v="19"/>
    <x v="0"/>
    <x v="211"/>
    <x v="1174"/>
    <x v="1276"/>
  </r>
  <r>
    <x v="1"/>
    <x v="0"/>
    <x v="1"/>
    <x v="168"/>
    <x v="21"/>
    <x v="519"/>
    <x v="1175"/>
    <x v="1277"/>
  </r>
  <r>
    <x v="0"/>
    <x v="0"/>
    <x v="2"/>
    <x v="175"/>
    <x v="10"/>
    <x v="180"/>
    <x v="1176"/>
    <x v="1278"/>
  </r>
  <r>
    <x v="3"/>
    <x v="0"/>
    <x v="2"/>
    <x v="12"/>
    <x v="22"/>
    <x v="120"/>
    <x v="1177"/>
    <x v="1279"/>
  </r>
  <r>
    <x v="1"/>
    <x v="0"/>
    <x v="2"/>
    <x v="148"/>
    <x v="11"/>
    <x v="395"/>
    <x v="1178"/>
    <x v="1280"/>
  </r>
  <r>
    <x v="0"/>
    <x v="0"/>
    <x v="2"/>
    <x v="17"/>
    <x v="28"/>
    <x v="275"/>
    <x v="1179"/>
    <x v="1281"/>
  </r>
  <r>
    <x v="0"/>
    <x v="0"/>
    <x v="2"/>
    <x v="150"/>
    <x v="17"/>
    <x v="510"/>
    <x v="1180"/>
    <x v="1282"/>
  </r>
  <r>
    <x v="0"/>
    <x v="0"/>
    <x v="0"/>
    <x v="129"/>
    <x v="15"/>
    <x v="288"/>
    <x v="1181"/>
    <x v="1283"/>
  </r>
  <r>
    <x v="1"/>
    <x v="0"/>
    <x v="1"/>
    <x v="100"/>
    <x v="7"/>
    <x v="189"/>
    <x v="1182"/>
    <x v="1284"/>
  </r>
  <r>
    <x v="1"/>
    <x v="0"/>
    <x v="1"/>
    <x v="203"/>
    <x v="16"/>
    <x v="295"/>
    <x v="1183"/>
    <x v="1285"/>
  </r>
  <r>
    <x v="2"/>
    <x v="0"/>
    <x v="2"/>
    <x v="239"/>
    <x v="22"/>
    <x v="621"/>
    <x v="1184"/>
    <x v="1286"/>
  </r>
  <r>
    <x v="1"/>
    <x v="0"/>
    <x v="2"/>
    <x v="104"/>
    <x v="13"/>
    <x v="566"/>
    <x v="1185"/>
    <x v="1287"/>
  </r>
  <r>
    <x v="3"/>
    <x v="0"/>
    <x v="2"/>
    <x v="159"/>
    <x v="7"/>
    <x v="622"/>
    <x v="1186"/>
    <x v="1288"/>
  </r>
  <r>
    <x v="0"/>
    <x v="0"/>
    <x v="2"/>
    <x v="108"/>
    <x v="7"/>
    <x v="623"/>
    <x v="1187"/>
    <x v="1289"/>
  </r>
  <r>
    <x v="3"/>
    <x v="0"/>
    <x v="2"/>
    <x v="33"/>
    <x v="6"/>
    <x v="31"/>
    <x v="1188"/>
    <x v="1290"/>
  </r>
  <r>
    <x v="1"/>
    <x v="0"/>
    <x v="2"/>
    <x v="58"/>
    <x v="7"/>
    <x v="60"/>
    <x v="1189"/>
    <x v="1291"/>
  </r>
  <r>
    <x v="0"/>
    <x v="0"/>
    <x v="2"/>
    <x v="69"/>
    <x v="28"/>
    <x v="624"/>
    <x v="1190"/>
    <x v="1292"/>
  </r>
  <r>
    <x v="0"/>
    <x v="0"/>
    <x v="2"/>
    <x v="214"/>
    <x v="6"/>
    <x v="337"/>
    <x v="1191"/>
    <x v="1293"/>
  </r>
  <r>
    <x v="0"/>
    <x v="0"/>
    <x v="2"/>
    <x v="100"/>
    <x v="13"/>
    <x v="625"/>
    <x v="1192"/>
    <x v="1294"/>
  </r>
  <r>
    <x v="1"/>
    <x v="0"/>
    <x v="2"/>
    <x v="42"/>
    <x v="2"/>
    <x v="2"/>
    <x v="1193"/>
    <x v="1295"/>
  </r>
  <r>
    <x v="1"/>
    <x v="0"/>
    <x v="2"/>
    <x v="72"/>
    <x v="9"/>
    <x v="143"/>
    <x v="1194"/>
    <x v="1296"/>
  </r>
  <r>
    <x v="1"/>
    <x v="0"/>
    <x v="1"/>
    <x v="22"/>
    <x v="16"/>
    <x v="609"/>
    <x v="1195"/>
    <x v="1297"/>
  </r>
  <r>
    <x v="0"/>
    <x v="0"/>
    <x v="0"/>
    <x v="198"/>
    <x v="15"/>
    <x v="519"/>
    <x v="1196"/>
    <x v="1298"/>
  </r>
  <r>
    <x v="0"/>
    <x v="0"/>
    <x v="2"/>
    <x v="249"/>
    <x v="3"/>
    <x v="176"/>
    <x v="1197"/>
    <x v="1299"/>
  </r>
  <r>
    <x v="1"/>
    <x v="0"/>
    <x v="1"/>
    <x v="236"/>
    <x v="6"/>
    <x v="395"/>
    <x v="1198"/>
    <x v="1300"/>
  </r>
  <r>
    <x v="1"/>
    <x v="0"/>
    <x v="1"/>
    <x v="154"/>
    <x v="17"/>
    <x v="546"/>
    <x v="1199"/>
    <x v="1301"/>
  </r>
  <r>
    <x v="0"/>
    <x v="0"/>
    <x v="2"/>
    <x v="10"/>
    <x v="2"/>
    <x v="2"/>
    <x v="536"/>
    <x v="1302"/>
  </r>
  <r>
    <x v="2"/>
    <x v="0"/>
    <x v="2"/>
    <x v="2"/>
    <x v="11"/>
    <x v="337"/>
    <x v="1200"/>
    <x v="1303"/>
  </r>
  <r>
    <x v="3"/>
    <x v="0"/>
    <x v="2"/>
    <x v="185"/>
    <x v="13"/>
    <x v="253"/>
    <x v="1201"/>
    <x v="1304"/>
  </r>
  <r>
    <x v="1"/>
    <x v="0"/>
    <x v="2"/>
    <x v="112"/>
    <x v="1"/>
    <x v="626"/>
    <x v="1202"/>
    <x v="1305"/>
  </r>
  <r>
    <x v="1"/>
    <x v="0"/>
    <x v="2"/>
    <x v="247"/>
    <x v="7"/>
    <x v="627"/>
    <x v="1203"/>
    <x v="1306"/>
  </r>
  <r>
    <x v="0"/>
    <x v="0"/>
    <x v="2"/>
    <x v="162"/>
    <x v="17"/>
    <x v="379"/>
    <x v="1204"/>
    <x v="1307"/>
  </r>
  <r>
    <x v="0"/>
    <x v="0"/>
    <x v="0"/>
    <x v="34"/>
    <x v="13"/>
    <x v="330"/>
    <x v="317"/>
    <x v="1308"/>
  </r>
  <r>
    <x v="2"/>
    <x v="0"/>
    <x v="2"/>
    <x v="103"/>
    <x v="5"/>
    <x v="628"/>
    <x v="1205"/>
    <x v="1309"/>
  </r>
  <r>
    <x v="0"/>
    <x v="0"/>
    <x v="2"/>
    <x v="64"/>
    <x v="24"/>
    <x v="629"/>
    <x v="137"/>
    <x v="1310"/>
  </r>
  <r>
    <x v="1"/>
    <x v="0"/>
    <x v="1"/>
    <x v="204"/>
    <x v="7"/>
    <x v="308"/>
    <x v="1206"/>
    <x v="104"/>
  </r>
  <r>
    <x v="1"/>
    <x v="0"/>
    <x v="2"/>
    <x v="23"/>
    <x v="4"/>
    <x v="630"/>
    <x v="1207"/>
    <x v="1311"/>
  </r>
  <r>
    <x v="3"/>
    <x v="0"/>
    <x v="2"/>
    <x v="85"/>
    <x v="14"/>
    <x v="348"/>
    <x v="387"/>
    <x v="1312"/>
  </r>
  <r>
    <x v="0"/>
    <x v="0"/>
    <x v="0"/>
    <x v="206"/>
    <x v="10"/>
    <x v="631"/>
    <x v="1208"/>
    <x v="1313"/>
  </r>
  <r>
    <x v="3"/>
    <x v="0"/>
    <x v="2"/>
    <x v="91"/>
    <x v="0"/>
    <x v="490"/>
    <x v="1209"/>
    <x v="1314"/>
  </r>
  <r>
    <x v="0"/>
    <x v="0"/>
    <x v="2"/>
    <x v="121"/>
    <x v="13"/>
    <x v="178"/>
    <x v="1210"/>
    <x v="1315"/>
  </r>
  <r>
    <x v="1"/>
    <x v="0"/>
    <x v="2"/>
    <x v="155"/>
    <x v="0"/>
    <x v="317"/>
    <x v="1211"/>
    <x v="1316"/>
  </r>
  <r>
    <x v="3"/>
    <x v="0"/>
    <x v="2"/>
    <x v="98"/>
    <x v="13"/>
    <x v="319"/>
    <x v="330"/>
    <x v="1317"/>
  </r>
  <r>
    <x v="1"/>
    <x v="0"/>
    <x v="1"/>
    <x v="73"/>
    <x v="1"/>
    <x v="251"/>
    <x v="1212"/>
    <x v="1318"/>
  </r>
  <r>
    <x v="1"/>
    <x v="0"/>
    <x v="1"/>
    <x v="88"/>
    <x v="0"/>
    <x v="632"/>
    <x v="1213"/>
    <x v="1319"/>
  </r>
  <r>
    <x v="2"/>
    <x v="0"/>
    <x v="2"/>
    <x v="241"/>
    <x v="10"/>
    <x v="458"/>
    <x v="1214"/>
    <x v="1320"/>
  </r>
  <r>
    <x v="1"/>
    <x v="0"/>
    <x v="2"/>
    <x v="49"/>
    <x v="13"/>
    <x v="543"/>
    <x v="1215"/>
    <x v="1321"/>
  </r>
  <r>
    <x v="1"/>
    <x v="0"/>
    <x v="2"/>
    <x v="128"/>
    <x v="6"/>
    <x v="587"/>
    <x v="1216"/>
    <x v="1322"/>
  </r>
  <r>
    <x v="0"/>
    <x v="0"/>
    <x v="0"/>
    <x v="96"/>
    <x v="1"/>
    <x v="633"/>
    <x v="1217"/>
    <x v="1323"/>
  </r>
  <r>
    <x v="1"/>
    <x v="0"/>
    <x v="1"/>
    <x v="34"/>
    <x v="0"/>
    <x v="634"/>
    <x v="1218"/>
    <x v="1324"/>
  </r>
  <r>
    <x v="0"/>
    <x v="0"/>
    <x v="0"/>
    <x v="243"/>
    <x v="0"/>
    <x v="17"/>
    <x v="1219"/>
    <x v="1325"/>
  </r>
  <r>
    <x v="0"/>
    <x v="0"/>
    <x v="2"/>
    <x v="90"/>
    <x v="5"/>
    <x v="194"/>
    <x v="1220"/>
    <x v="1326"/>
  </r>
  <r>
    <x v="1"/>
    <x v="0"/>
    <x v="1"/>
    <x v="125"/>
    <x v="24"/>
    <x v="561"/>
    <x v="1221"/>
    <x v="1327"/>
  </r>
  <r>
    <x v="3"/>
    <x v="0"/>
    <x v="2"/>
    <x v="187"/>
    <x v="5"/>
    <x v="315"/>
    <x v="1222"/>
    <x v="1328"/>
  </r>
  <r>
    <x v="1"/>
    <x v="0"/>
    <x v="1"/>
    <x v="172"/>
    <x v="3"/>
    <x v="556"/>
    <x v="1223"/>
    <x v="1329"/>
  </r>
  <r>
    <x v="1"/>
    <x v="0"/>
    <x v="1"/>
    <x v="100"/>
    <x v="13"/>
    <x v="625"/>
    <x v="1224"/>
    <x v="1330"/>
  </r>
  <r>
    <x v="2"/>
    <x v="0"/>
    <x v="2"/>
    <x v="72"/>
    <x v="8"/>
    <x v="635"/>
    <x v="1225"/>
    <x v="1331"/>
  </r>
  <r>
    <x v="0"/>
    <x v="0"/>
    <x v="2"/>
    <x v="126"/>
    <x v="2"/>
    <x v="2"/>
    <x v="1226"/>
    <x v="1332"/>
  </r>
  <r>
    <x v="0"/>
    <x v="0"/>
    <x v="2"/>
    <x v="132"/>
    <x v="15"/>
    <x v="589"/>
    <x v="139"/>
    <x v="1333"/>
  </r>
  <r>
    <x v="3"/>
    <x v="0"/>
    <x v="2"/>
    <x v="181"/>
    <x v="2"/>
    <x v="2"/>
    <x v="1227"/>
    <x v="1334"/>
  </r>
  <r>
    <x v="0"/>
    <x v="0"/>
    <x v="2"/>
    <x v="18"/>
    <x v="13"/>
    <x v="396"/>
    <x v="1087"/>
    <x v="1335"/>
  </r>
  <r>
    <x v="0"/>
    <x v="0"/>
    <x v="2"/>
    <x v="9"/>
    <x v="7"/>
    <x v="71"/>
    <x v="1228"/>
    <x v="1336"/>
  </r>
  <r>
    <x v="1"/>
    <x v="0"/>
    <x v="1"/>
    <x v="95"/>
    <x v="18"/>
    <x v="525"/>
    <x v="1229"/>
    <x v="1337"/>
  </r>
  <r>
    <x v="0"/>
    <x v="0"/>
    <x v="2"/>
    <x v="204"/>
    <x v="5"/>
    <x v="597"/>
    <x v="1230"/>
    <x v="1338"/>
  </r>
  <r>
    <x v="3"/>
    <x v="0"/>
    <x v="2"/>
    <x v="237"/>
    <x v="0"/>
    <x v="287"/>
    <x v="1231"/>
    <x v="1339"/>
  </r>
  <r>
    <x v="0"/>
    <x v="0"/>
    <x v="0"/>
    <x v="176"/>
    <x v="2"/>
    <x v="2"/>
    <x v="590"/>
    <x v="1340"/>
  </r>
  <r>
    <x v="3"/>
    <x v="0"/>
    <x v="2"/>
    <x v="215"/>
    <x v="2"/>
    <x v="2"/>
    <x v="1152"/>
    <x v="1341"/>
  </r>
  <r>
    <x v="0"/>
    <x v="0"/>
    <x v="2"/>
    <x v="239"/>
    <x v="24"/>
    <x v="519"/>
    <x v="1232"/>
    <x v="1342"/>
  </r>
  <r>
    <x v="0"/>
    <x v="0"/>
    <x v="2"/>
    <x v="93"/>
    <x v="5"/>
    <x v="636"/>
    <x v="451"/>
    <x v="1343"/>
  </r>
  <r>
    <x v="3"/>
    <x v="0"/>
    <x v="2"/>
    <x v="164"/>
    <x v="10"/>
    <x v="0"/>
    <x v="1233"/>
    <x v="1344"/>
  </r>
  <r>
    <x v="0"/>
    <x v="0"/>
    <x v="2"/>
    <x v="226"/>
    <x v="6"/>
    <x v="637"/>
    <x v="1234"/>
    <x v="1345"/>
  </r>
  <r>
    <x v="0"/>
    <x v="0"/>
    <x v="2"/>
    <x v="239"/>
    <x v="2"/>
    <x v="2"/>
    <x v="1235"/>
    <x v="1346"/>
  </r>
  <r>
    <x v="3"/>
    <x v="0"/>
    <x v="2"/>
    <x v="159"/>
    <x v="24"/>
    <x v="638"/>
    <x v="1236"/>
    <x v="1347"/>
  </r>
  <r>
    <x v="3"/>
    <x v="0"/>
    <x v="2"/>
    <x v="108"/>
    <x v="8"/>
    <x v="639"/>
    <x v="1237"/>
    <x v="1348"/>
  </r>
  <r>
    <x v="0"/>
    <x v="0"/>
    <x v="0"/>
    <x v="149"/>
    <x v="25"/>
    <x v="640"/>
    <x v="1238"/>
    <x v="1349"/>
  </r>
  <r>
    <x v="3"/>
    <x v="0"/>
    <x v="2"/>
    <x v="200"/>
    <x v="2"/>
    <x v="2"/>
    <x v="1239"/>
    <x v="1350"/>
  </r>
  <r>
    <x v="3"/>
    <x v="0"/>
    <x v="2"/>
    <x v="199"/>
    <x v="24"/>
    <x v="158"/>
    <x v="1240"/>
    <x v="1351"/>
  </r>
  <r>
    <x v="0"/>
    <x v="0"/>
    <x v="0"/>
    <x v="138"/>
    <x v="7"/>
    <x v="641"/>
    <x v="985"/>
    <x v="1352"/>
  </r>
  <r>
    <x v="0"/>
    <x v="0"/>
    <x v="2"/>
    <x v="135"/>
    <x v="25"/>
    <x v="68"/>
    <x v="1241"/>
    <x v="1353"/>
  </r>
  <r>
    <x v="0"/>
    <x v="0"/>
    <x v="2"/>
    <x v="94"/>
    <x v="7"/>
    <x v="142"/>
    <x v="1242"/>
    <x v="1354"/>
  </r>
  <r>
    <x v="0"/>
    <x v="0"/>
    <x v="0"/>
    <x v="81"/>
    <x v="10"/>
    <x v="142"/>
    <x v="1243"/>
    <x v="1355"/>
  </r>
  <r>
    <x v="2"/>
    <x v="0"/>
    <x v="2"/>
    <x v="169"/>
    <x v="2"/>
    <x v="2"/>
    <x v="1244"/>
    <x v="1356"/>
  </r>
  <r>
    <x v="1"/>
    <x v="0"/>
    <x v="2"/>
    <x v="115"/>
    <x v="22"/>
    <x v="150"/>
    <x v="1245"/>
    <x v="1357"/>
  </r>
  <r>
    <x v="0"/>
    <x v="0"/>
    <x v="2"/>
    <x v="226"/>
    <x v="5"/>
    <x v="448"/>
    <x v="1246"/>
    <x v="1358"/>
  </r>
  <r>
    <x v="3"/>
    <x v="0"/>
    <x v="2"/>
    <x v="57"/>
    <x v="17"/>
    <x v="56"/>
    <x v="1247"/>
    <x v="1359"/>
  </r>
  <r>
    <x v="0"/>
    <x v="0"/>
    <x v="0"/>
    <x v="77"/>
    <x v="9"/>
    <x v="452"/>
    <x v="1248"/>
    <x v="1360"/>
  </r>
  <r>
    <x v="1"/>
    <x v="0"/>
    <x v="1"/>
    <x v="65"/>
    <x v="11"/>
    <x v="516"/>
    <x v="1249"/>
    <x v="1361"/>
  </r>
  <r>
    <x v="3"/>
    <x v="0"/>
    <x v="2"/>
    <x v="127"/>
    <x v="24"/>
    <x v="642"/>
    <x v="1250"/>
    <x v="1362"/>
  </r>
  <r>
    <x v="1"/>
    <x v="0"/>
    <x v="2"/>
    <x v="153"/>
    <x v="6"/>
    <x v="643"/>
    <x v="1251"/>
    <x v="1363"/>
  </r>
  <r>
    <x v="0"/>
    <x v="0"/>
    <x v="2"/>
    <x v="22"/>
    <x v="12"/>
    <x v="208"/>
    <x v="1252"/>
    <x v="1364"/>
  </r>
  <r>
    <x v="0"/>
    <x v="0"/>
    <x v="0"/>
    <x v="9"/>
    <x v="17"/>
    <x v="101"/>
    <x v="311"/>
    <x v="1365"/>
  </r>
  <r>
    <x v="0"/>
    <x v="0"/>
    <x v="2"/>
    <x v="228"/>
    <x v="13"/>
    <x v="396"/>
    <x v="1253"/>
    <x v="1366"/>
  </r>
  <r>
    <x v="0"/>
    <x v="0"/>
    <x v="0"/>
    <x v="88"/>
    <x v="8"/>
    <x v="644"/>
    <x v="1254"/>
    <x v="1367"/>
  </r>
  <r>
    <x v="0"/>
    <x v="0"/>
    <x v="2"/>
    <x v="9"/>
    <x v="22"/>
    <x v="645"/>
    <x v="1255"/>
    <x v="1368"/>
  </r>
  <r>
    <x v="0"/>
    <x v="0"/>
    <x v="0"/>
    <x v="5"/>
    <x v="15"/>
    <x v="547"/>
    <x v="1256"/>
    <x v="1369"/>
  </r>
  <r>
    <x v="0"/>
    <x v="0"/>
    <x v="2"/>
    <x v="175"/>
    <x v="14"/>
    <x v="500"/>
    <x v="1182"/>
    <x v="1370"/>
  </r>
  <r>
    <x v="0"/>
    <x v="0"/>
    <x v="2"/>
    <x v="45"/>
    <x v="7"/>
    <x v="211"/>
    <x v="1257"/>
    <x v="1371"/>
  </r>
  <r>
    <x v="1"/>
    <x v="0"/>
    <x v="2"/>
    <x v="190"/>
    <x v="12"/>
    <x v="538"/>
    <x v="1258"/>
    <x v="1372"/>
  </r>
  <r>
    <x v="0"/>
    <x v="0"/>
    <x v="2"/>
    <x v="13"/>
    <x v="11"/>
    <x v="234"/>
    <x v="903"/>
    <x v="1373"/>
  </r>
  <r>
    <x v="1"/>
    <x v="0"/>
    <x v="1"/>
    <x v="38"/>
    <x v="1"/>
    <x v="538"/>
    <x v="1259"/>
    <x v="1374"/>
  </r>
  <r>
    <x v="1"/>
    <x v="0"/>
    <x v="1"/>
    <x v="149"/>
    <x v="24"/>
    <x v="142"/>
    <x v="1260"/>
    <x v="1375"/>
  </r>
  <r>
    <x v="0"/>
    <x v="0"/>
    <x v="2"/>
    <x v="88"/>
    <x v="16"/>
    <x v="646"/>
    <x v="1261"/>
    <x v="1376"/>
  </r>
  <r>
    <x v="1"/>
    <x v="0"/>
    <x v="2"/>
    <x v="102"/>
    <x v="12"/>
    <x v="439"/>
    <x v="1262"/>
    <x v="1377"/>
  </r>
  <r>
    <x v="1"/>
    <x v="0"/>
    <x v="1"/>
    <x v="137"/>
    <x v="2"/>
    <x v="2"/>
    <x v="1263"/>
    <x v="1378"/>
  </r>
  <r>
    <x v="1"/>
    <x v="0"/>
    <x v="2"/>
    <x v="83"/>
    <x v="23"/>
    <x v="470"/>
    <x v="1264"/>
    <x v="1379"/>
  </r>
  <r>
    <x v="2"/>
    <x v="0"/>
    <x v="2"/>
    <x v="43"/>
    <x v="3"/>
    <x v="90"/>
    <x v="1265"/>
    <x v="1380"/>
  </r>
  <r>
    <x v="1"/>
    <x v="0"/>
    <x v="2"/>
    <x v="243"/>
    <x v="30"/>
    <x v="640"/>
    <x v="1266"/>
    <x v="1381"/>
  </r>
  <r>
    <x v="2"/>
    <x v="0"/>
    <x v="2"/>
    <x v="82"/>
    <x v="1"/>
    <x v="339"/>
    <x v="1267"/>
    <x v="1382"/>
  </r>
  <r>
    <x v="3"/>
    <x v="0"/>
    <x v="2"/>
    <x v="18"/>
    <x v="5"/>
    <x v="479"/>
    <x v="1268"/>
    <x v="1383"/>
  </r>
  <r>
    <x v="3"/>
    <x v="0"/>
    <x v="2"/>
    <x v="151"/>
    <x v="15"/>
    <x v="260"/>
    <x v="1269"/>
    <x v="1384"/>
  </r>
  <r>
    <x v="3"/>
    <x v="0"/>
    <x v="2"/>
    <x v="90"/>
    <x v="2"/>
    <x v="2"/>
    <x v="1270"/>
    <x v="1385"/>
  </r>
  <r>
    <x v="3"/>
    <x v="0"/>
    <x v="2"/>
    <x v="155"/>
    <x v="5"/>
    <x v="132"/>
    <x v="1271"/>
    <x v="1386"/>
  </r>
  <r>
    <x v="3"/>
    <x v="0"/>
    <x v="2"/>
    <x v="201"/>
    <x v="25"/>
    <x v="647"/>
    <x v="1272"/>
    <x v="1387"/>
  </r>
  <r>
    <x v="0"/>
    <x v="0"/>
    <x v="2"/>
    <x v="12"/>
    <x v="1"/>
    <x v="601"/>
    <x v="1273"/>
    <x v="1388"/>
  </r>
  <r>
    <x v="1"/>
    <x v="0"/>
    <x v="1"/>
    <x v="102"/>
    <x v="15"/>
    <x v="648"/>
    <x v="384"/>
    <x v="1389"/>
  </r>
  <r>
    <x v="1"/>
    <x v="0"/>
    <x v="1"/>
    <x v="27"/>
    <x v="0"/>
    <x v="314"/>
    <x v="1274"/>
    <x v="1390"/>
  </r>
  <r>
    <x v="3"/>
    <x v="0"/>
    <x v="2"/>
    <x v="150"/>
    <x v="17"/>
    <x v="510"/>
    <x v="1275"/>
    <x v="1391"/>
  </r>
  <r>
    <x v="1"/>
    <x v="0"/>
    <x v="1"/>
    <x v="13"/>
    <x v="4"/>
    <x v="109"/>
    <x v="1276"/>
    <x v="1392"/>
  </r>
  <r>
    <x v="0"/>
    <x v="0"/>
    <x v="0"/>
    <x v="146"/>
    <x v="14"/>
    <x v="507"/>
    <x v="504"/>
    <x v="1393"/>
  </r>
  <r>
    <x v="2"/>
    <x v="0"/>
    <x v="2"/>
    <x v="110"/>
    <x v="15"/>
    <x v="84"/>
    <x v="1277"/>
    <x v="1394"/>
  </r>
  <r>
    <x v="1"/>
    <x v="0"/>
    <x v="2"/>
    <x v="92"/>
    <x v="17"/>
    <x v="451"/>
    <x v="984"/>
    <x v="1395"/>
  </r>
  <r>
    <x v="0"/>
    <x v="0"/>
    <x v="0"/>
    <x v="214"/>
    <x v="15"/>
    <x v="316"/>
    <x v="1073"/>
    <x v="1396"/>
  </r>
  <r>
    <x v="2"/>
    <x v="0"/>
    <x v="2"/>
    <x v="246"/>
    <x v="16"/>
    <x v="496"/>
    <x v="1278"/>
    <x v="1397"/>
  </r>
  <r>
    <x v="1"/>
    <x v="0"/>
    <x v="1"/>
    <x v="65"/>
    <x v="3"/>
    <x v="634"/>
    <x v="356"/>
    <x v="1398"/>
  </r>
  <r>
    <x v="0"/>
    <x v="0"/>
    <x v="0"/>
    <x v="28"/>
    <x v="5"/>
    <x v="289"/>
    <x v="1279"/>
    <x v="1399"/>
  </r>
  <r>
    <x v="1"/>
    <x v="0"/>
    <x v="1"/>
    <x v="149"/>
    <x v="1"/>
    <x v="335"/>
    <x v="1026"/>
    <x v="1400"/>
  </r>
  <r>
    <x v="1"/>
    <x v="0"/>
    <x v="1"/>
    <x v="149"/>
    <x v="1"/>
    <x v="335"/>
    <x v="1280"/>
    <x v="1401"/>
  </r>
  <r>
    <x v="2"/>
    <x v="0"/>
    <x v="2"/>
    <x v="39"/>
    <x v="5"/>
    <x v="36"/>
    <x v="1281"/>
    <x v="1402"/>
  </r>
  <r>
    <x v="0"/>
    <x v="0"/>
    <x v="0"/>
    <x v="175"/>
    <x v="2"/>
    <x v="2"/>
    <x v="989"/>
    <x v="1403"/>
  </r>
  <r>
    <x v="1"/>
    <x v="0"/>
    <x v="1"/>
    <x v="127"/>
    <x v="13"/>
    <x v="432"/>
    <x v="1282"/>
    <x v="1404"/>
  </r>
  <r>
    <x v="1"/>
    <x v="0"/>
    <x v="1"/>
    <x v="10"/>
    <x v="11"/>
    <x v="399"/>
    <x v="1283"/>
    <x v="1405"/>
  </r>
  <r>
    <x v="2"/>
    <x v="0"/>
    <x v="2"/>
    <x v="115"/>
    <x v="10"/>
    <x v="419"/>
    <x v="1284"/>
    <x v="1406"/>
  </r>
  <r>
    <x v="0"/>
    <x v="0"/>
    <x v="2"/>
    <x v="208"/>
    <x v="0"/>
    <x v="649"/>
    <x v="674"/>
    <x v="1407"/>
  </r>
  <r>
    <x v="1"/>
    <x v="0"/>
    <x v="2"/>
    <x v="10"/>
    <x v="13"/>
    <x v="43"/>
    <x v="1211"/>
    <x v="1408"/>
  </r>
  <r>
    <x v="1"/>
    <x v="0"/>
    <x v="2"/>
    <x v="217"/>
    <x v="13"/>
    <x v="485"/>
    <x v="1285"/>
    <x v="1409"/>
  </r>
  <r>
    <x v="2"/>
    <x v="0"/>
    <x v="2"/>
    <x v="175"/>
    <x v="5"/>
    <x v="431"/>
    <x v="720"/>
    <x v="1410"/>
  </r>
  <r>
    <x v="1"/>
    <x v="0"/>
    <x v="2"/>
    <x v="184"/>
    <x v="6"/>
    <x v="19"/>
    <x v="308"/>
    <x v="1411"/>
  </r>
  <r>
    <x v="0"/>
    <x v="0"/>
    <x v="2"/>
    <x v="170"/>
    <x v="6"/>
    <x v="82"/>
    <x v="1286"/>
    <x v="1412"/>
  </r>
  <r>
    <x v="1"/>
    <x v="0"/>
    <x v="2"/>
    <x v="182"/>
    <x v="11"/>
    <x v="650"/>
    <x v="854"/>
    <x v="1413"/>
  </r>
  <r>
    <x v="0"/>
    <x v="0"/>
    <x v="0"/>
    <x v="7"/>
    <x v="5"/>
    <x v="7"/>
    <x v="249"/>
    <x v="1414"/>
  </r>
  <r>
    <x v="2"/>
    <x v="0"/>
    <x v="2"/>
    <x v="7"/>
    <x v="22"/>
    <x v="281"/>
    <x v="1287"/>
    <x v="1415"/>
  </r>
  <r>
    <x v="3"/>
    <x v="0"/>
    <x v="2"/>
    <x v="47"/>
    <x v="10"/>
    <x v="465"/>
    <x v="666"/>
    <x v="1416"/>
  </r>
  <r>
    <x v="2"/>
    <x v="0"/>
    <x v="2"/>
    <x v="127"/>
    <x v="5"/>
    <x v="651"/>
    <x v="1288"/>
    <x v="1417"/>
  </r>
  <r>
    <x v="1"/>
    <x v="0"/>
    <x v="2"/>
    <x v="29"/>
    <x v="7"/>
    <x v="427"/>
    <x v="1289"/>
    <x v="1418"/>
  </r>
  <r>
    <x v="0"/>
    <x v="0"/>
    <x v="2"/>
    <x v="57"/>
    <x v="9"/>
    <x v="652"/>
    <x v="1290"/>
    <x v="1419"/>
  </r>
  <r>
    <x v="0"/>
    <x v="0"/>
    <x v="0"/>
    <x v="58"/>
    <x v="11"/>
    <x v="38"/>
    <x v="1291"/>
    <x v="1420"/>
  </r>
  <r>
    <x v="1"/>
    <x v="0"/>
    <x v="2"/>
    <x v="191"/>
    <x v="13"/>
    <x v="315"/>
    <x v="1292"/>
    <x v="1421"/>
  </r>
  <r>
    <x v="0"/>
    <x v="0"/>
    <x v="0"/>
    <x v="65"/>
    <x v="1"/>
    <x v="434"/>
    <x v="1293"/>
    <x v="1422"/>
  </r>
  <r>
    <x v="3"/>
    <x v="0"/>
    <x v="2"/>
    <x v="10"/>
    <x v="11"/>
    <x v="399"/>
    <x v="1294"/>
    <x v="1423"/>
  </r>
  <r>
    <x v="1"/>
    <x v="0"/>
    <x v="1"/>
    <x v="64"/>
    <x v="15"/>
    <x v="403"/>
    <x v="1295"/>
    <x v="1424"/>
  </r>
  <r>
    <x v="3"/>
    <x v="0"/>
    <x v="2"/>
    <x v="135"/>
    <x v="1"/>
    <x v="590"/>
    <x v="1296"/>
    <x v="1425"/>
  </r>
  <r>
    <x v="1"/>
    <x v="0"/>
    <x v="2"/>
    <x v="80"/>
    <x v="1"/>
    <x v="269"/>
    <x v="1297"/>
    <x v="1426"/>
  </r>
  <r>
    <x v="2"/>
    <x v="0"/>
    <x v="2"/>
    <x v="144"/>
    <x v="1"/>
    <x v="506"/>
    <x v="742"/>
    <x v="1427"/>
  </r>
  <r>
    <x v="0"/>
    <x v="0"/>
    <x v="2"/>
    <x v="172"/>
    <x v="12"/>
    <x v="510"/>
    <x v="1298"/>
    <x v="1428"/>
  </r>
  <r>
    <x v="0"/>
    <x v="0"/>
    <x v="2"/>
    <x v="227"/>
    <x v="9"/>
    <x v="529"/>
    <x v="1299"/>
    <x v="1429"/>
  </r>
  <r>
    <x v="0"/>
    <x v="0"/>
    <x v="0"/>
    <x v="159"/>
    <x v="14"/>
    <x v="260"/>
    <x v="1300"/>
    <x v="1430"/>
  </r>
  <r>
    <x v="3"/>
    <x v="0"/>
    <x v="2"/>
    <x v="1"/>
    <x v="10"/>
    <x v="619"/>
    <x v="438"/>
    <x v="1431"/>
  </r>
  <r>
    <x v="3"/>
    <x v="0"/>
    <x v="2"/>
    <x v="23"/>
    <x v="18"/>
    <x v="582"/>
    <x v="1301"/>
    <x v="1432"/>
  </r>
  <r>
    <x v="1"/>
    <x v="0"/>
    <x v="2"/>
    <x v="208"/>
    <x v="4"/>
    <x v="184"/>
    <x v="1302"/>
    <x v="1433"/>
  </r>
  <r>
    <x v="1"/>
    <x v="0"/>
    <x v="2"/>
    <x v="234"/>
    <x v="5"/>
    <x v="483"/>
    <x v="391"/>
    <x v="1434"/>
  </r>
  <r>
    <x v="1"/>
    <x v="0"/>
    <x v="1"/>
    <x v="186"/>
    <x v="3"/>
    <x v="120"/>
    <x v="707"/>
    <x v="1435"/>
  </r>
  <r>
    <x v="1"/>
    <x v="0"/>
    <x v="2"/>
    <x v="4"/>
    <x v="2"/>
    <x v="2"/>
    <x v="1303"/>
    <x v="1436"/>
  </r>
  <r>
    <x v="2"/>
    <x v="0"/>
    <x v="2"/>
    <x v="233"/>
    <x v="15"/>
    <x v="26"/>
    <x v="1304"/>
    <x v="1437"/>
  </r>
  <r>
    <x v="1"/>
    <x v="0"/>
    <x v="1"/>
    <x v="234"/>
    <x v="1"/>
    <x v="436"/>
    <x v="1305"/>
    <x v="1438"/>
  </r>
  <r>
    <x v="2"/>
    <x v="0"/>
    <x v="2"/>
    <x v="62"/>
    <x v="11"/>
    <x v="499"/>
    <x v="1306"/>
    <x v="1439"/>
  </r>
  <r>
    <x v="2"/>
    <x v="0"/>
    <x v="2"/>
    <x v="44"/>
    <x v="1"/>
    <x v="613"/>
    <x v="1307"/>
    <x v="1440"/>
  </r>
  <r>
    <x v="0"/>
    <x v="0"/>
    <x v="0"/>
    <x v="66"/>
    <x v="11"/>
    <x v="279"/>
    <x v="1308"/>
    <x v="1441"/>
  </r>
  <r>
    <x v="1"/>
    <x v="0"/>
    <x v="2"/>
    <x v="23"/>
    <x v="14"/>
    <x v="107"/>
    <x v="1309"/>
    <x v="1442"/>
  </r>
  <r>
    <x v="1"/>
    <x v="0"/>
    <x v="1"/>
    <x v="248"/>
    <x v="0"/>
    <x v="247"/>
    <x v="1310"/>
    <x v="1443"/>
  </r>
  <r>
    <x v="3"/>
    <x v="0"/>
    <x v="2"/>
    <x v="111"/>
    <x v="0"/>
    <x v="214"/>
    <x v="785"/>
    <x v="1444"/>
  </r>
  <r>
    <x v="0"/>
    <x v="0"/>
    <x v="2"/>
    <x v="213"/>
    <x v="13"/>
    <x v="335"/>
    <x v="1311"/>
    <x v="1445"/>
  </r>
  <r>
    <x v="2"/>
    <x v="0"/>
    <x v="2"/>
    <x v="61"/>
    <x v="11"/>
    <x v="653"/>
    <x v="1312"/>
    <x v="1446"/>
  </r>
  <r>
    <x v="0"/>
    <x v="0"/>
    <x v="0"/>
    <x v="117"/>
    <x v="6"/>
    <x v="44"/>
    <x v="1313"/>
    <x v="1447"/>
  </r>
  <r>
    <x v="1"/>
    <x v="0"/>
    <x v="1"/>
    <x v="53"/>
    <x v="23"/>
    <x v="0"/>
    <x v="1314"/>
    <x v="1448"/>
  </r>
  <r>
    <x v="3"/>
    <x v="0"/>
    <x v="2"/>
    <x v="48"/>
    <x v="2"/>
    <x v="2"/>
    <x v="60"/>
    <x v="1449"/>
  </r>
  <r>
    <x v="0"/>
    <x v="0"/>
    <x v="0"/>
    <x v="198"/>
    <x v="11"/>
    <x v="412"/>
    <x v="1315"/>
    <x v="1450"/>
  </r>
  <r>
    <x v="1"/>
    <x v="0"/>
    <x v="2"/>
    <x v="111"/>
    <x v="14"/>
    <x v="343"/>
    <x v="457"/>
    <x v="1451"/>
  </r>
  <r>
    <x v="0"/>
    <x v="0"/>
    <x v="2"/>
    <x v="20"/>
    <x v="2"/>
    <x v="2"/>
    <x v="454"/>
    <x v="1452"/>
  </r>
  <r>
    <x v="3"/>
    <x v="0"/>
    <x v="2"/>
    <x v="167"/>
    <x v="7"/>
    <x v="287"/>
    <x v="1316"/>
    <x v="1453"/>
  </r>
  <r>
    <x v="0"/>
    <x v="0"/>
    <x v="0"/>
    <x v="211"/>
    <x v="6"/>
    <x v="315"/>
    <x v="1317"/>
    <x v="1454"/>
  </r>
  <r>
    <x v="2"/>
    <x v="0"/>
    <x v="2"/>
    <x v="199"/>
    <x v="3"/>
    <x v="654"/>
    <x v="1318"/>
    <x v="1455"/>
  </r>
  <r>
    <x v="0"/>
    <x v="0"/>
    <x v="2"/>
    <x v="153"/>
    <x v="3"/>
    <x v="203"/>
    <x v="1319"/>
    <x v="1456"/>
  </r>
  <r>
    <x v="1"/>
    <x v="0"/>
    <x v="2"/>
    <x v="222"/>
    <x v="11"/>
    <x v="586"/>
    <x v="1320"/>
    <x v="1457"/>
  </r>
  <r>
    <x v="0"/>
    <x v="0"/>
    <x v="2"/>
    <x v="174"/>
    <x v="3"/>
    <x v="655"/>
    <x v="1321"/>
    <x v="1458"/>
  </r>
  <r>
    <x v="0"/>
    <x v="0"/>
    <x v="0"/>
    <x v="192"/>
    <x v="0"/>
    <x v="452"/>
    <x v="1322"/>
    <x v="1459"/>
  </r>
  <r>
    <x v="3"/>
    <x v="0"/>
    <x v="2"/>
    <x v="232"/>
    <x v="22"/>
    <x v="656"/>
    <x v="1323"/>
    <x v="1460"/>
  </r>
  <r>
    <x v="1"/>
    <x v="0"/>
    <x v="1"/>
    <x v="182"/>
    <x v="8"/>
    <x v="657"/>
    <x v="1324"/>
    <x v="1461"/>
  </r>
  <r>
    <x v="0"/>
    <x v="0"/>
    <x v="0"/>
    <x v="202"/>
    <x v="3"/>
    <x v="658"/>
    <x v="1325"/>
    <x v="1462"/>
  </r>
  <r>
    <x v="3"/>
    <x v="0"/>
    <x v="2"/>
    <x v="130"/>
    <x v="0"/>
    <x v="659"/>
    <x v="1326"/>
    <x v="1463"/>
  </r>
  <r>
    <x v="3"/>
    <x v="0"/>
    <x v="2"/>
    <x v="170"/>
    <x v="6"/>
    <x v="82"/>
    <x v="1327"/>
    <x v="1464"/>
  </r>
  <r>
    <x v="1"/>
    <x v="0"/>
    <x v="2"/>
    <x v="87"/>
    <x v="21"/>
    <x v="331"/>
    <x v="237"/>
    <x v="1465"/>
  </r>
  <r>
    <x v="2"/>
    <x v="0"/>
    <x v="2"/>
    <x v="174"/>
    <x v="2"/>
    <x v="2"/>
    <x v="1328"/>
    <x v="1466"/>
  </r>
  <r>
    <x v="0"/>
    <x v="0"/>
    <x v="0"/>
    <x v="86"/>
    <x v="10"/>
    <x v="32"/>
    <x v="1329"/>
    <x v="1467"/>
  </r>
  <r>
    <x v="2"/>
    <x v="0"/>
    <x v="2"/>
    <x v="217"/>
    <x v="24"/>
    <x v="82"/>
    <x v="1330"/>
    <x v="1468"/>
  </r>
  <r>
    <x v="1"/>
    <x v="0"/>
    <x v="1"/>
    <x v="55"/>
    <x v="6"/>
    <x v="58"/>
    <x v="1331"/>
    <x v="1469"/>
  </r>
  <r>
    <x v="1"/>
    <x v="0"/>
    <x v="1"/>
    <x v="183"/>
    <x v="7"/>
    <x v="660"/>
    <x v="1332"/>
    <x v="1470"/>
  </r>
  <r>
    <x v="2"/>
    <x v="0"/>
    <x v="2"/>
    <x v="240"/>
    <x v="0"/>
    <x v="661"/>
    <x v="1333"/>
    <x v="1471"/>
  </r>
  <r>
    <x v="1"/>
    <x v="0"/>
    <x v="2"/>
    <x v="88"/>
    <x v="23"/>
    <x v="55"/>
    <x v="329"/>
    <x v="1472"/>
  </r>
  <r>
    <x v="1"/>
    <x v="0"/>
    <x v="1"/>
    <x v="49"/>
    <x v="10"/>
    <x v="469"/>
    <x v="1334"/>
    <x v="1473"/>
  </r>
  <r>
    <x v="1"/>
    <x v="0"/>
    <x v="1"/>
    <x v="54"/>
    <x v="24"/>
    <x v="68"/>
    <x v="818"/>
    <x v="1474"/>
  </r>
  <r>
    <x v="2"/>
    <x v="0"/>
    <x v="2"/>
    <x v="100"/>
    <x v="0"/>
    <x v="529"/>
    <x v="1335"/>
    <x v="1475"/>
  </r>
  <r>
    <x v="1"/>
    <x v="0"/>
    <x v="1"/>
    <x v="182"/>
    <x v="20"/>
    <x v="662"/>
    <x v="1336"/>
    <x v="1476"/>
  </r>
  <r>
    <x v="3"/>
    <x v="0"/>
    <x v="2"/>
    <x v="217"/>
    <x v="8"/>
    <x v="663"/>
    <x v="1337"/>
    <x v="1477"/>
  </r>
  <r>
    <x v="1"/>
    <x v="0"/>
    <x v="1"/>
    <x v="121"/>
    <x v="25"/>
    <x v="145"/>
    <x v="1338"/>
    <x v="1478"/>
  </r>
  <r>
    <x v="0"/>
    <x v="0"/>
    <x v="2"/>
    <x v="110"/>
    <x v="0"/>
    <x v="227"/>
    <x v="1339"/>
    <x v="1479"/>
  </r>
  <r>
    <x v="3"/>
    <x v="0"/>
    <x v="2"/>
    <x v="215"/>
    <x v="25"/>
    <x v="338"/>
    <x v="1127"/>
    <x v="1480"/>
  </r>
  <r>
    <x v="0"/>
    <x v="0"/>
    <x v="2"/>
    <x v="1"/>
    <x v="12"/>
    <x v="645"/>
    <x v="1340"/>
    <x v="1481"/>
  </r>
  <r>
    <x v="1"/>
    <x v="0"/>
    <x v="2"/>
    <x v="146"/>
    <x v="11"/>
    <x v="425"/>
    <x v="1341"/>
    <x v="1482"/>
  </r>
  <r>
    <x v="0"/>
    <x v="0"/>
    <x v="0"/>
    <x v="193"/>
    <x v="8"/>
    <x v="595"/>
    <x v="1342"/>
    <x v="1483"/>
  </r>
  <r>
    <x v="0"/>
    <x v="0"/>
    <x v="0"/>
    <x v="223"/>
    <x v="25"/>
    <x v="664"/>
    <x v="1343"/>
    <x v="1484"/>
  </r>
  <r>
    <x v="0"/>
    <x v="0"/>
    <x v="0"/>
    <x v="157"/>
    <x v="4"/>
    <x v="444"/>
    <x v="1344"/>
    <x v="1485"/>
  </r>
  <r>
    <x v="2"/>
    <x v="0"/>
    <x v="2"/>
    <x v="149"/>
    <x v="24"/>
    <x v="142"/>
    <x v="1345"/>
    <x v="1486"/>
  </r>
  <r>
    <x v="2"/>
    <x v="0"/>
    <x v="2"/>
    <x v="220"/>
    <x v="0"/>
    <x v="410"/>
    <x v="1346"/>
    <x v="1487"/>
  </r>
  <r>
    <x v="1"/>
    <x v="0"/>
    <x v="1"/>
    <x v="135"/>
    <x v="11"/>
    <x v="665"/>
    <x v="1347"/>
    <x v="1488"/>
  </r>
  <r>
    <x v="2"/>
    <x v="0"/>
    <x v="2"/>
    <x v="36"/>
    <x v="13"/>
    <x v="319"/>
    <x v="1348"/>
    <x v="1489"/>
  </r>
  <r>
    <x v="1"/>
    <x v="0"/>
    <x v="2"/>
    <x v="238"/>
    <x v="5"/>
    <x v="546"/>
    <x v="1349"/>
    <x v="1490"/>
  </r>
  <r>
    <x v="1"/>
    <x v="0"/>
    <x v="1"/>
    <x v="5"/>
    <x v="25"/>
    <x v="33"/>
    <x v="1350"/>
    <x v="1491"/>
  </r>
  <r>
    <x v="2"/>
    <x v="0"/>
    <x v="2"/>
    <x v="188"/>
    <x v="5"/>
    <x v="339"/>
    <x v="1279"/>
    <x v="1492"/>
  </r>
  <r>
    <x v="0"/>
    <x v="0"/>
    <x v="0"/>
    <x v="145"/>
    <x v="22"/>
    <x v="404"/>
    <x v="424"/>
    <x v="1493"/>
  </r>
  <r>
    <x v="1"/>
    <x v="0"/>
    <x v="1"/>
    <x v="214"/>
    <x v="3"/>
    <x v="11"/>
    <x v="923"/>
    <x v="1494"/>
  </r>
  <r>
    <x v="0"/>
    <x v="0"/>
    <x v="2"/>
    <x v="94"/>
    <x v="15"/>
    <x v="666"/>
    <x v="1351"/>
    <x v="1495"/>
  </r>
  <r>
    <x v="1"/>
    <x v="0"/>
    <x v="2"/>
    <x v="250"/>
    <x v="0"/>
    <x v="186"/>
    <x v="308"/>
    <x v="1496"/>
  </r>
  <r>
    <x v="1"/>
    <x v="0"/>
    <x v="1"/>
    <x v="215"/>
    <x v="8"/>
    <x v="667"/>
    <x v="1352"/>
    <x v="1497"/>
  </r>
  <r>
    <x v="1"/>
    <x v="0"/>
    <x v="2"/>
    <x v="169"/>
    <x v="5"/>
    <x v="648"/>
    <x v="1353"/>
    <x v="1498"/>
  </r>
  <r>
    <x v="3"/>
    <x v="0"/>
    <x v="2"/>
    <x v="61"/>
    <x v="24"/>
    <x v="603"/>
    <x v="133"/>
    <x v="1499"/>
  </r>
  <r>
    <x v="1"/>
    <x v="0"/>
    <x v="1"/>
    <x v="21"/>
    <x v="2"/>
    <x v="2"/>
    <x v="1354"/>
    <x v="1500"/>
  </r>
  <r>
    <x v="1"/>
    <x v="0"/>
    <x v="2"/>
    <x v="159"/>
    <x v="0"/>
    <x v="499"/>
    <x v="1355"/>
    <x v="1501"/>
  </r>
  <r>
    <x v="3"/>
    <x v="0"/>
    <x v="2"/>
    <x v="161"/>
    <x v="10"/>
    <x v="668"/>
    <x v="1356"/>
    <x v="1502"/>
  </r>
  <r>
    <x v="3"/>
    <x v="0"/>
    <x v="2"/>
    <x v="179"/>
    <x v="10"/>
    <x v="517"/>
    <x v="450"/>
    <x v="1503"/>
  </r>
  <r>
    <x v="0"/>
    <x v="0"/>
    <x v="0"/>
    <x v="95"/>
    <x v="6"/>
    <x v="94"/>
    <x v="1357"/>
    <x v="1504"/>
  </r>
  <r>
    <x v="3"/>
    <x v="0"/>
    <x v="2"/>
    <x v="76"/>
    <x v="16"/>
    <x v="65"/>
    <x v="1358"/>
    <x v="1505"/>
  </r>
  <r>
    <x v="1"/>
    <x v="0"/>
    <x v="2"/>
    <x v="189"/>
    <x v="0"/>
    <x v="546"/>
    <x v="1359"/>
    <x v="1506"/>
  </r>
  <r>
    <x v="0"/>
    <x v="0"/>
    <x v="2"/>
    <x v="114"/>
    <x v="13"/>
    <x v="515"/>
    <x v="1360"/>
    <x v="1507"/>
  </r>
  <r>
    <x v="0"/>
    <x v="0"/>
    <x v="0"/>
    <x v="156"/>
    <x v="7"/>
    <x v="299"/>
    <x v="1361"/>
    <x v="1508"/>
  </r>
  <r>
    <x v="2"/>
    <x v="0"/>
    <x v="2"/>
    <x v="250"/>
    <x v="0"/>
    <x v="186"/>
    <x v="947"/>
    <x v="1509"/>
  </r>
  <r>
    <x v="0"/>
    <x v="0"/>
    <x v="0"/>
    <x v="95"/>
    <x v="8"/>
    <x v="218"/>
    <x v="1343"/>
    <x v="1510"/>
  </r>
  <r>
    <x v="3"/>
    <x v="0"/>
    <x v="2"/>
    <x v="100"/>
    <x v="5"/>
    <x v="305"/>
    <x v="1362"/>
    <x v="1511"/>
  </r>
  <r>
    <x v="0"/>
    <x v="0"/>
    <x v="2"/>
    <x v="168"/>
    <x v="26"/>
    <x v="114"/>
    <x v="42"/>
    <x v="1512"/>
  </r>
  <r>
    <x v="0"/>
    <x v="0"/>
    <x v="0"/>
    <x v="172"/>
    <x v="22"/>
    <x v="644"/>
    <x v="1363"/>
    <x v="1513"/>
  </r>
  <r>
    <x v="0"/>
    <x v="0"/>
    <x v="2"/>
    <x v="168"/>
    <x v="28"/>
    <x v="68"/>
    <x v="1364"/>
    <x v="1514"/>
  </r>
  <r>
    <x v="3"/>
    <x v="0"/>
    <x v="2"/>
    <x v="86"/>
    <x v="5"/>
    <x v="669"/>
    <x v="720"/>
    <x v="1515"/>
  </r>
  <r>
    <x v="2"/>
    <x v="0"/>
    <x v="2"/>
    <x v="191"/>
    <x v="1"/>
    <x v="248"/>
    <x v="1365"/>
    <x v="1516"/>
  </r>
  <r>
    <x v="0"/>
    <x v="0"/>
    <x v="2"/>
    <x v="124"/>
    <x v="3"/>
    <x v="383"/>
    <x v="1366"/>
    <x v="1517"/>
  </r>
  <r>
    <x v="0"/>
    <x v="0"/>
    <x v="2"/>
    <x v="53"/>
    <x v="5"/>
    <x v="414"/>
    <x v="1367"/>
    <x v="1518"/>
  </r>
  <r>
    <x v="0"/>
    <x v="0"/>
    <x v="0"/>
    <x v="216"/>
    <x v="17"/>
    <x v="410"/>
    <x v="1368"/>
    <x v="1519"/>
  </r>
  <r>
    <x v="1"/>
    <x v="0"/>
    <x v="1"/>
    <x v="146"/>
    <x v="24"/>
    <x v="262"/>
    <x v="1369"/>
    <x v="1520"/>
  </r>
  <r>
    <x v="2"/>
    <x v="0"/>
    <x v="2"/>
    <x v="75"/>
    <x v="13"/>
    <x v="443"/>
    <x v="667"/>
    <x v="1521"/>
  </r>
  <r>
    <x v="0"/>
    <x v="0"/>
    <x v="2"/>
    <x v="121"/>
    <x v="25"/>
    <x v="145"/>
    <x v="1370"/>
    <x v="1522"/>
  </r>
  <r>
    <x v="0"/>
    <x v="0"/>
    <x v="2"/>
    <x v="50"/>
    <x v="26"/>
    <x v="670"/>
    <x v="1371"/>
    <x v="1523"/>
  </r>
  <r>
    <x v="0"/>
    <x v="0"/>
    <x v="2"/>
    <x v="29"/>
    <x v="13"/>
    <x v="671"/>
    <x v="1372"/>
    <x v="1524"/>
  </r>
  <r>
    <x v="0"/>
    <x v="0"/>
    <x v="2"/>
    <x v="65"/>
    <x v="2"/>
    <x v="2"/>
    <x v="1373"/>
    <x v="1525"/>
  </r>
  <r>
    <x v="1"/>
    <x v="0"/>
    <x v="2"/>
    <x v="7"/>
    <x v="11"/>
    <x v="239"/>
    <x v="1374"/>
    <x v="1526"/>
  </r>
  <r>
    <x v="3"/>
    <x v="0"/>
    <x v="2"/>
    <x v="215"/>
    <x v="1"/>
    <x v="672"/>
    <x v="844"/>
    <x v="1527"/>
  </r>
  <r>
    <x v="0"/>
    <x v="0"/>
    <x v="0"/>
    <x v="37"/>
    <x v="15"/>
    <x v="304"/>
    <x v="1375"/>
    <x v="1528"/>
  </r>
  <r>
    <x v="0"/>
    <x v="0"/>
    <x v="0"/>
    <x v="189"/>
    <x v="16"/>
    <x v="673"/>
    <x v="1376"/>
    <x v="1529"/>
  </r>
  <r>
    <x v="3"/>
    <x v="0"/>
    <x v="2"/>
    <x v="79"/>
    <x v="5"/>
    <x v="66"/>
    <x v="1377"/>
    <x v="1530"/>
  </r>
  <r>
    <x v="2"/>
    <x v="0"/>
    <x v="2"/>
    <x v="66"/>
    <x v="5"/>
    <x v="674"/>
    <x v="1378"/>
    <x v="1531"/>
  </r>
  <r>
    <x v="0"/>
    <x v="0"/>
    <x v="0"/>
    <x v="194"/>
    <x v="11"/>
    <x v="382"/>
    <x v="1379"/>
    <x v="1532"/>
  </r>
  <r>
    <x v="1"/>
    <x v="0"/>
    <x v="1"/>
    <x v="162"/>
    <x v="11"/>
    <x v="330"/>
    <x v="1258"/>
    <x v="1533"/>
  </r>
  <r>
    <x v="2"/>
    <x v="0"/>
    <x v="2"/>
    <x v="229"/>
    <x v="16"/>
    <x v="506"/>
    <x v="1380"/>
    <x v="1534"/>
  </r>
  <r>
    <x v="2"/>
    <x v="0"/>
    <x v="2"/>
    <x v="118"/>
    <x v="5"/>
    <x v="604"/>
    <x v="1381"/>
    <x v="1535"/>
  </r>
  <r>
    <x v="1"/>
    <x v="0"/>
    <x v="2"/>
    <x v="61"/>
    <x v="1"/>
    <x v="675"/>
    <x v="1382"/>
    <x v="1536"/>
  </r>
  <r>
    <x v="0"/>
    <x v="0"/>
    <x v="2"/>
    <x v="133"/>
    <x v="2"/>
    <x v="2"/>
    <x v="33"/>
    <x v="1437"/>
  </r>
  <r>
    <x v="0"/>
    <x v="0"/>
    <x v="2"/>
    <x v="109"/>
    <x v="16"/>
    <x v="676"/>
    <x v="1383"/>
    <x v="1537"/>
  </r>
  <r>
    <x v="2"/>
    <x v="0"/>
    <x v="2"/>
    <x v="137"/>
    <x v="13"/>
    <x v="577"/>
    <x v="1049"/>
    <x v="1538"/>
  </r>
  <r>
    <x v="3"/>
    <x v="0"/>
    <x v="2"/>
    <x v="51"/>
    <x v="16"/>
    <x v="619"/>
    <x v="1384"/>
    <x v="1539"/>
  </r>
  <r>
    <x v="1"/>
    <x v="0"/>
    <x v="2"/>
    <x v="97"/>
    <x v="24"/>
    <x v="311"/>
    <x v="1385"/>
    <x v="1540"/>
  </r>
  <r>
    <x v="1"/>
    <x v="0"/>
    <x v="2"/>
    <x v="34"/>
    <x v="5"/>
    <x v="379"/>
    <x v="1386"/>
    <x v="1541"/>
  </r>
  <r>
    <x v="1"/>
    <x v="0"/>
    <x v="1"/>
    <x v="98"/>
    <x v="4"/>
    <x v="664"/>
    <x v="230"/>
    <x v="1542"/>
  </r>
  <r>
    <x v="3"/>
    <x v="0"/>
    <x v="2"/>
    <x v="145"/>
    <x v="10"/>
    <x v="677"/>
    <x v="1387"/>
    <x v="1543"/>
  </r>
  <r>
    <x v="3"/>
    <x v="0"/>
    <x v="2"/>
    <x v="229"/>
    <x v="6"/>
    <x v="402"/>
    <x v="1388"/>
    <x v="1544"/>
  </r>
  <r>
    <x v="1"/>
    <x v="0"/>
    <x v="1"/>
    <x v="45"/>
    <x v="14"/>
    <x v="563"/>
    <x v="1389"/>
    <x v="1545"/>
  </r>
  <r>
    <x v="1"/>
    <x v="0"/>
    <x v="2"/>
    <x v="52"/>
    <x v="22"/>
    <x v="305"/>
    <x v="1390"/>
    <x v="1546"/>
  </r>
  <r>
    <x v="0"/>
    <x v="0"/>
    <x v="0"/>
    <x v="92"/>
    <x v="0"/>
    <x v="354"/>
    <x v="1391"/>
    <x v="1547"/>
  </r>
  <r>
    <x v="1"/>
    <x v="0"/>
    <x v="1"/>
    <x v="180"/>
    <x v="6"/>
    <x v="578"/>
    <x v="1039"/>
    <x v="1548"/>
  </r>
  <r>
    <x v="2"/>
    <x v="0"/>
    <x v="2"/>
    <x v="201"/>
    <x v="18"/>
    <x v="678"/>
    <x v="670"/>
    <x v="1549"/>
  </r>
  <r>
    <x v="0"/>
    <x v="0"/>
    <x v="2"/>
    <x v="37"/>
    <x v="1"/>
    <x v="679"/>
    <x v="1392"/>
    <x v="1550"/>
  </r>
  <r>
    <x v="1"/>
    <x v="0"/>
    <x v="1"/>
    <x v="141"/>
    <x v="5"/>
    <x v="680"/>
    <x v="194"/>
    <x v="1551"/>
  </r>
  <r>
    <x v="2"/>
    <x v="0"/>
    <x v="2"/>
    <x v="6"/>
    <x v="0"/>
    <x v="119"/>
    <x v="1393"/>
    <x v="1552"/>
  </r>
  <r>
    <x v="1"/>
    <x v="0"/>
    <x v="2"/>
    <x v="64"/>
    <x v="5"/>
    <x v="458"/>
    <x v="1394"/>
    <x v="1553"/>
  </r>
  <r>
    <x v="1"/>
    <x v="0"/>
    <x v="1"/>
    <x v="57"/>
    <x v="2"/>
    <x v="2"/>
    <x v="1395"/>
    <x v="1554"/>
  </r>
  <r>
    <x v="2"/>
    <x v="0"/>
    <x v="2"/>
    <x v="128"/>
    <x v="11"/>
    <x v="58"/>
    <x v="409"/>
    <x v="1555"/>
  </r>
  <r>
    <x v="0"/>
    <x v="0"/>
    <x v="0"/>
    <x v="21"/>
    <x v="16"/>
    <x v="681"/>
    <x v="263"/>
    <x v="1556"/>
  </r>
  <r>
    <x v="3"/>
    <x v="0"/>
    <x v="2"/>
    <x v="128"/>
    <x v="11"/>
    <x v="58"/>
    <x v="1396"/>
    <x v="1557"/>
  </r>
  <r>
    <x v="0"/>
    <x v="0"/>
    <x v="0"/>
    <x v="248"/>
    <x v="2"/>
    <x v="2"/>
    <x v="530"/>
    <x v="1558"/>
  </r>
  <r>
    <x v="0"/>
    <x v="0"/>
    <x v="2"/>
    <x v="127"/>
    <x v="6"/>
    <x v="682"/>
    <x v="1397"/>
    <x v="1559"/>
  </r>
  <r>
    <x v="0"/>
    <x v="0"/>
    <x v="2"/>
    <x v="89"/>
    <x v="10"/>
    <x v="245"/>
    <x v="1398"/>
    <x v="1560"/>
  </r>
  <r>
    <x v="1"/>
    <x v="0"/>
    <x v="1"/>
    <x v="75"/>
    <x v="16"/>
    <x v="75"/>
    <x v="22"/>
    <x v="1561"/>
  </r>
  <r>
    <x v="0"/>
    <x v="0"/>
    <x v="2"/>
    <x v="157"/>
    <x v="9"/>
    <x v="683"/>
    <x v="1399"/>
    <x v="1562"/>
  </r>
  <r>
    <x v="0"/>
    <x v="0"/>
    <x v="2"/>
    <x v="192"/>
    <x v="5"/>
    <x v="426"/>
    <x v="1400"/>
    <x v="1563"/>
  </r>
  <r>
    <x v="0"/>
    <x v="0"/>
    <x v="0"/>
    <x v="205"/>
    <x v="4"/>
    <x v="684"/>
    <x v="1401"/>
    <x v="1564"/>
  </r>
  <r>
    <x v="1"/>
    <x v="0"/>
    <x v="1"/>
    <x v="105"/>
    <x v="13"/>
    <x v="278"/>
    <x v="1402"/>
    <x v="1565"/>
  </r>
  <r>
    <x v="0"/>
    <x v="0"/>
    <x v="0"/>
    <x v="199"/>
    <x v="16"/>
    <x v="659"/>
    <x v="925"/>
    <x v="1566"/>
  </r>
  <r>
    <x v="0"/>
    <x v="0"/>
    <x v="2"/>
    <x v="74"/>
    <x v="10"/>
    <x v="34"/>
    <x v="1403"/>
    <x v="1567"/>
  </r>
  <r>
    <x v="1"/>
    <x v="0"/>
    <x v="1"/>
    <x v="192"/>
    <x v="6"/>
    <x v="154"/>
    <x v="1404"/>
    <x v="1568"/>
  </r>
  <r>
    <x v="0"/>
    <x v="0"/>
    <x v="0"/>
    <x v="124"/>
    <x v="11"/>
    <x v="149"/>
    <x v="1405"/>
    <x v="1569"/>
  </r>
  <r>
    <x v="3"/>
    <x v="0"/>
    <x v="2"/>
    <x v="7"/>
    <x v="18"/>
    <x v="640"/>
    <x v="1406"/>
    <x v="1570"/>
  </r>
  <r>
    <x v="3"/>
    <x v="0"/>
    <x v="2"/>
    <x v="109"/>
    <x v="13"/>
    <x v="512"/>
    <x v="1178"/>
    <x v="1571"/>
  </r>
  <r>
    <x v="3"/>
    <x v="0"/>
    <x v="2"/>
    <x v="161"/>
    <x v="18"/>
    <x v="196"/>
    <x v="1407"/>
    <x v="1572"/>
  </r>
  <r>
    <x v="0"/>
    <x v="0"/>
    <x v="0"/>
    <x v="203"/>
    <x v="11"/>
    <x v="325"/>
    <x v="1408"/>
    <x v="1573"/>
  </r>
  <r>
    <x v="0"/>
    <x v="0"/>
    <x v="2"/>
    <x v="241"/>
    <x v="1"/>
    <x v="344"/>
    <x v="1409"/>
    <x v="1574"/>
  </r>
  <r>
    <x v="0"/>
    <x v="0"/>
    <x v="2"/>
    <x v="68"/>
    <x v="17"/>
    <x v="164"/>
    <x v="1410"/>
    <x v="1575"/>
  </r>
  <r>
    <x v="1"/>
    <x v="0"/>
    <x v="1"/>
    <x v="21"/>
    <x v="0"/>
    <x v="393"/>
    <x v="1411"/>
    <x v="1576"/>
  </r>
  <r>
    <x v="1"/>
    <x v="0"/>
    <x v="2"/>
    <x v="229"/>
    <x v="16"/>
    <x v="506"/>
    <x v="1412"/>
    <x v="1577"/>
  </r>
  <r>
    <x v="1"/>
    <x v="0"/>
    <x v="2"/>
    <x v="214"/>
    <x v="6"/>
    <x v="337"/>
    <x v="1413"/>
    <x v="1578"/>
  </r>
  <r>
    <x v="0"/>
    <x v="0"/>
    <x v="0"/>
    <x v="12"/>
    <x v="24"/>
    <x v="685"/>
    <x v="1414"/>
    <x v="1579"/>
  </r>
  <r>
    <x v="1"/>
    <x v="0"/>
    <x v="1"/>
    <x v="57"/>
    <x v="24"/>
    <x v="329"/>
    <x v="1415"/>
    <x v="1580"/>
  </r>
  <r>
    <x v="2"/>
    <x v="0"/>
    <x v="2"/>
    <x v="216"/>
    <x v="23"/>
    <x v="452"/>
    <x v="1416"/>
    <x v="1581"/>
  </r>
  <r>
    <x v="1"/>
    <x v="0"/>
    <x v="2"/>
    <x v="180"/>
    <x v="11"/>
    <x v="119"/>
    <x v="428"/>
    <x v="1582"/>
  </r>
  <r>
    <x v="3"/>
    <x v="0"/>
    <x v="2"/>
    <x v="212"/>
    <x v="11"/>
    <x v="335"/>
    <x v="1417"/>
    <x v="1583"/>
  </r>
  <r>
    <x v="0"/>
    <x v="0"/>
    <x v="2"/>
    <x v="115"/>
    <x v="17"/>
    <x v="308"/>
    <x v="1418"/>
    <x v="1584"/>
  </r>
  <r>
    <x v="0"/>
    <x v="0"/>
    <x v="2"/>
    <x v="167"/>
    <x v="15"/>
    <x v="686"/>
    <x v="1419"/>
    <x v="1585"/>
  </r>
  <r>
    <x v="0"/>
    <x v="0"/>
    <x v="2"/>
    <x v="76"/>
    <x v="21"/>
    <x v="48"/>
    <x v="593"/>
    <x v="1586"/>
  </r>
  <r>
    <x v="3"/>
    <x v="0"/>
    <x v="2"/>
    <x v="226"/>
    <x v="15"/>
    <x v="108"/>
    <x v="1420"/>
    <x v="1587"/>
  </r>
  <r>
    <x v="1"/>
    <x v="0"/>
    <x v="2"/>
    <x v="26"/>
    <x v="10"/>
    <x v="283"/>
    <x v="1421"/>
    <x v="1588"/>
  </r>
  <r>
    <x v="1"/>
    <x v="0"/>
    <x v="1"/>
    <x v="65"/>
    <x v="17"/>
    <x v="247"/>
    <x v="1104"/>
    <x v="1589"/>
  </r>
  <r>
    <x v="1"/>
    <x v="0"/>
    <x v="2"/>
    <x v="90"/>
    <x v="5"/>
    <x v="194"/>
    <x v="1422"/>
    <x v="1590"/>
  </r>
  <r>
    <x v="0"/>
    <x v="0"/>
    <x v="0"/>
    <x v="171"/>
    <x v="15"/>
    <x v="124"/>
    <x v="1423"/>
    <x v="1591"/>
  </r>
  <r>
    <x v="0"/>
    <x v="0"/>
    <x v="0"/>
    <x v="144"/>
    <x v="6"/>
    <x v="181"/>
    <x v="1424"/>
    <x v="1592"/>
  </r>
  <r>
    <x v="2"/>
    <x v="0"/>
    <x v="2"/>
    <x v="144"/>
    <x v="1"/>
    <x v="506"/>
    <x v="1425"/>
    <x v="1593"/>
  </r>
  <r>
    <x v="3"/>
    <x v="0"/>
    <x v="2"/>
    <x v="129"/>
    <x v="16"/>
    <x v="445"/>
    <x v="1426"/>
    <x v="1594"/>
  </r>
  <r>
    <x v="1"/>
    <x v="0"/>
    <x v="2"/>
    <x v="174"/>
    <x v="2"/>
    <x v="2"/>
    <x v="1427"/>
    <x v="1595"/>
  </r>
  <r>
    <x v="2"/>
    <x v="0"/>
    <x v="2"/>
    <x v="231"/>
    <x v="11"/>
    <x v="577"/>
    <x v="1428"/>
    <x v="1596"/>
  </r>
  <r>
    <x v="0"/>
    <x v="0"/>
    <x v="0"/>
    <x v="41"/>
    <x v="16"/>
    <x v="546"/>
    <x v="1429"/>
    <x v="1597"/>
  </r>
  <r>
    <x v="3"/>
    <x v="0"/>
    <x v="2"/>
    <x v="218"/>
    <x v="17"/>
    <x v="114"/>
    <x v="1430"/>
    <x v="1598"/>
  </r>
  <r>
    <x v="0"/>
    <x v="0"/>
    <x v="2"/>
    <x v="218"/>
    <x v="0"/>
    <x v="687"/>
    <x v="1431"/>
    <x v="1599"/>
  </r>
  <r>
    <x v="3"/>
    <x v="0"/>
    <x v="2"/>
    <x v="158"/>
    <x v="8"/>
    <x v="215"/>
    <x v="618"/>
    <x v="1600"/>
  </r>
  <r>
    <x v="2"/>
    <x v="0"/>
    <x v="2"/>
    <x v="140"/>
    <x v="14"/>
    <x v="558"/>
    <x v="1305"/>
    <x v="1601"/>
  </r>
  <r>
    <x v="0"/>
    <x v="0"/>
    <x v="0"/>
    <x v="242"/>
    <x v="1"/>
    <x v="688"/>
    <x v="1432"/>
    <x v="1602"/>
  </r>
  <r>
    <x v="1"/>
    <x v="0"/>
    <x v="2"/>
    <x v="197"/>
    <x v="10"/>
    <x v="499"/>
    <x v="587"/>
    <x v="1603"/>
  </r>
  <r>
    <x v="1"/>
    <x v="0"/>
    <x v="2"/>
    <x v="6"/>
    <x v="15"/>
    <x v="283"/>
    <x v="1433"/>
    <x v="1604"/>
  </r>
  <r>
    <x v="2"/>
    <x v="0"/>
    <x v="2"/>
    <x v="146"/>
    <x v="3"/>
    <x v="514"/>
    <x v="1434"/>
    <x v="1605"/>
  </r>
  <r>
    <x v="2"/>
    <x v="0"/>
    <x v="2"/>
    <x v="100"/>
    <x v="6"/>
    <x v="599"/>
    <x v="1435"/>
    <x v="1606"/>
  </r>
  <r>
    <x v="0"/>
    <x v="0"/>
    <x v="2"/>
    <x v="49"/>
    <x v="17"/>
    <x v="689"/>
    <x v="254"/>
    <x v="1607"/>
  </r>
  <r>
    <x v="1"/>
    <x v="0"/>
    <x v="2"/>
    <x v="229"/>
    <x v="25"/>
    <x v="408"/>
    <x v="1436"/>
    <x v="1608"/>
  </r>
  <r>
    <x v="3"/>
    <x v="0"/>
    <x v="2"/>
    <x v="247"/>
    <x v="1"/>
    <x v="187"/>
    <x v="1437"/>
    <x v="1609"/>
  </r>
  <r>
    <x v="2"/>
    <x v="0"/>
    <x v="2"/>
    <x v="190"/>
    <x v="2"/>
    <x v="2"/>
    <x v="1438"/>
    <x v="1610"/>
  </r>
  <r>
    <x v="3"/>
    <x v="0"/>
    <x v="2"/>
    <x v="51"/>
    <x v="22"/>
    <x v="690"/>
    <x v="1439"/>
    <x v="1611"/>
  </r>
  <r>
    <x v="0"/>
    <x v="0"/>
    <x v="0"/>
    <x v="107"/>
    <x v="11"/>
    <x v="508"/>
    <x v="760"/>
    <x v="1612"/>
  </r>
  <r>
    <x v="2"/>
    <x v="0"/>
    <x v="2"/>
    <x v="206"/>
    <x v="13"/>
    <x v="310"/>
    <x v="1440"/>
    <x v="1613"/>
  </r>
  <r>
    <x v="1"/>
    <x v="0"/>
    <x v="1"/>
    <x v="140"/>
    <x v="11"/>
    <x v="344"/>
    <x v="1441"/>
    <x v="1614"/>
  </r>
  <r>
    <x v="2"/>
    <x v="0"/>
    <x v="2"/>
    <x v="204"/>
    <x v="17"/>
    <x v="364"/>
    <x v="1442"/>
    <x v="1615"/>
  </r>
  <r>
    <x v="1"/>
    <x v="0"/>
    <x v="2"/>
    <x v="48"/>
    <x v="17"/>
    <x v="65"/>
    <x v="1443"/>
    <x v="1616"/>
  </r>
  <r>
    <x v="1"/>
    <x v="0"/>
    <x v="2"/>
    <x v="26"/>
    <x v="13"/>
    <x v="38"/>
    <x v="1444"/>
    <x v="1617"/>
  </r>
  <r>
    <x v="3"/>
    <x v="0"/>
    <x v="2"/>
    <x v="97"/>
    <x v="14"/>
    <x v="122"/>
    <x v="187"/>
    <x v="1618"/>
  </r>
  <r>
    <x v="0"/>
    <x v="0"/>
    <x v="0"/>
    <x v="9"/>
    <x v="17"/>
    <x v="101"/>
    <x v="1445"/>
    <x v="1619"/>
  </r>
  <r>
    <x v="0"/>
    <x v="0"/>
    <x v="2"/>
    <x v="78"/>
    <x v="2"/>
    <x v="2"/>
    <x v="1446"/>
    <x v="1620"/>
  </r>
  <r>
    <x v="0"/>
    <x v="0"/>
    <x v="0"/>
    <x v="57"/>
    <x v="10"/>
    <x v="622"/>
    <x v="1447"/>
    <x v="1621"/>
  </r>
  <r>
    <x v="2"/>
    <x v="0"/>
    <x v="2"/>
    <x v="221"/>
    <x v="25"/>
    <x v="449"/>
    <x v="1448"/>
    <x v="1622"/>
  </r>
  <r>
    <x v="0"/>
    <x v="0"/>
    <x v="2"/>
    <x v="97"/>
    <x v="2"/>
    <x v="2"/>
    <x v="700"/>
    <x v="1623"/>
  </r>
  <r>
    <x v="2"/>
    <x v="0"/>
    <x v="2"/>
    <x v="104"/>
    <x v="2"/>
    <x v="2"/>
    <x v="284"/>
    <x v="1624"/>
  </r>
  <r>
    <x v="1"/>
    <x v="0"/>
    <x v="2"/>
    <x v="24"/>
    <x v="7"/>
    <x v="691"/>
    <x v="1449"/>
    <x v="1625"/>
  </r>
  <r>
    <x v="1"/>
    <x v="0"/>
    <x v="2"/>
    <x v="54"/>
    <x v="0"/>
    <x v="692"/>
    <x v="1450"/>
    <x v="228"/>
  </r>
  <r>
    <x v="0"/>
    <x v="0"/>
    <x v="2"/>
    <x v="101"/>
    <x v="14"/>
    <x v="0"/>
    <x v="1451"/>
    <x v="1626"/>
  </r>
  <r>
    <x v="0"/>
    <x v="0"/>
    <x v="2"/>
    <x v="10"/>
    <x v="0"/>
    <x v="258"/>
    <x v="1452"/>
    <x v="1627"/>
  </r>
  <r>
    <x v="3"/>
    <x v="0"/>
    <x v="2"/>
    <x v="86"/>
    <x v="13"/>
    <x v="384"/>
    <x v="1453"/>
    <x v="1628"/>
  </r>
  <r>
    <x v="1"/>
    <x v="0"/>
    <x v="1"/>
    <x v="104"/>
    <x v="3"/>
    <x v="39"/>
    <x v="1454"/>
    <x v="1629"/>
  </r>
  <r>
    <x v="0"/>
    <x v="0"/>
    <x v="0"/>
    <x v="215"/>
    <x v="14"/>
    <x v="576"/>
    <x v="1455"/>
    <x v="1630"/>
  </r>
  <r>
    <x v="0"/>
    <x v="0"/>
    <x v="2"/>
    <x v="161"/>
    <x v="14"/>
    <x v="693"/>
    <x v="1456"/>
    <x v="1631"/>
  </r>
  <r>
    <x v="0"/>
    <x v="0"/>
    <x v="2"/>
    <x v="185"/>
    <x v="13"/>
    <x v="253"/>
    <x v="1457"/>
    <x v="1632"/>
  </r>
  <r>
    <x v="0"/>
    <x v="0"/>
    <x v="0"/>
    <x v="199"/>
    <x v="18"/>
    <x v="277"/>
    <x v="1458"/>
    <x v="1633"/>
  </r>
  <r>
    <x v="0"/>
    <x v="0"/>
    <x v="2"/>
    <x v="18"/>
    <x v="7"/>
    <x v="694"/>
    <x v="1459"/>
    <x v="1634"/>
  </r>
  <r>
    <x v="0"/>
    <x v="0"/>
    <x v="2"/>
    <x v="230"/>
    <x v="2"/>
    <x v="2"/>
    <x v="1460"/>
    <x v="1635"/>
  </r>
  <r>
    <x v="0"/>
    <x v="0"/>
    <x v="2"/>
    <x v="249"/>
    <x v="10"/>
    <x v="454"/>
    <x v="1461"/>
    <x v="1636"/>
  </r>
  <r>
    <x v="0"/>
    <x v="0"/>
    <x v="2"/>
    <x v="66"/>
    <x v="10"/>
    <x v="114"/>
    <x v="1462"/>
    <x v="1637"/>
  </r>
  <r>
    <x v="1"/>
    <x v="0"/>
    <x v="2"/>
    <x v="234"/>
    <x v="0"/>
    <x v="142"/>
    <x v="1039"/>
    <x v="1638"/>
  </r>
  <r>
    <x v="0"/>
    <x v="0"/>
    <x v="0"/>
    <x v="133"/>
    <x v="11"/>
    <x v="695"/>
    <x v="1463"/>
    <x v="1639"/>
  </r>
  <r>
    <x v="2"/>
    <x v="0"/>
    <x v="2"/>
    <x v="66"/>
    <x v="11"/>
    <x v="279"/>
    <x v="1464"/>
    <x v="1640"/>
  </r>
  <r>
    <x v="3"/>
    <x v="0"/>
    <x v="2"/>
    <x v="132"/>
    <x v="18"/>
    <x v="131"/>
    <x v="1064"/>
    <x v="1641"/>
  </r>
  <r>
    <x v="1"/>
    <x v="0"/>
    <x v="2"/>
    <x v="179"/>
    <x v="1"/>
    <x v="696"/>
    <x v="644"/>
    <x v="1642"/>
  </r>
  <r>
    <x v="3"/>
    <x v="0"/>
    <x v="2"/>
    <x v="112"/>
    <x v="3"/>
    <x v="697"/>
    <x v="1465"/>
    <x v="1643"/>
  </r>
  <r>
    <x v="2"/>
    <x v="0"/>
    <x v="2"/>
    <x v="17"/>
    <x v="0"/>
    <x v="698"/>
    <x v="1466"/>
    <x v="1644"/>
  </r>
  <r>
    <x v="2"/>
    <x v="0"/>
    <x v="2"/>
    <x v="243"/>
    <x v="14"/>
    <x v="65"/>
    <x v="620"/>
    <x v="1645"/>
  </r>
  <r>
    <x v="1"/>
    <x v="0"/>
    <x v="2"/>
    <x v="81"/>
    <x v="0"/>
    <x v="131"/>
    <x v="1467"/>
    <x v="1646"/>
  </r>
  <r>
    <x v="1"/>
    <x v="0"/>
    <x v="1"/>
    <x v="165"/>
    <x v="6"/>
    <x v="21"/>
    <x v="1468"/>
    <x v="1647"/>
  </r>
  <r>
    <x v="3"/>
    <x v="0"/>
    <x v="2"/>
    <x v="204"/>
    <x v="15"/>
    <x v="699"/>
    <x v="1469"/>
    <x v="1648"/>
  </r>
  <r>
    <x v="0"/>
    <x v="0"/>
    <x v="2"/>
    <x v="157"/>
    <x v="4"/>
    <x v="444"/>
    <x v="1399"/>
    <x v="1562"/>
  </r>
  <r>
    <x v="1"/>
    <x v="0"/>
    <x v="2"/>
    <x v="183"/>
    <x v="10"/>
    <x v="700"/>
    <x v="1470"/>
    <x v="1649"/>
  </r>
  <r>
    <x v="1"/>
    <x v="0"/>
    <x v="1"/>
    <x v="111"/>
    <x v="17"/>
    <x v="648"/>
    <x v="1471"/>
    <x v="1650"/>
  </r>
  <r>
    <x v="1"/>
    <x v="0"/>
    <x v="2"/>
    <x v="74"/>
    <x v="11"/>
    <x v="387"/>
    <x v="1472"/>
    <x v="1651"/>
  </r>
  <r>
    <x v="0"/>
    <x v="0"/>
    <x v="0"/>
    <x v="42"/>
    <x v="17"/>
    <x v="358"/>
    <x v="1473"/>
    <x v="1652"/>
  </r>
  <r>
    <x v="1"/>
    <x v="0"/>
    <x v="1"/>
    <x v="138"/>
    <x v="25"/>
    <x v="701"/>
    <x v="90"/>
    <x v="1653"/>
  </r>
  <r>
    <x v="1"/>
    <x v="0"/>
    <x v="2"/>
    <x v="133"/>
    <x v="17"/>
    <x v="142"/>
    <x v="1474"/>
    <x v="1654"/>
  </r>
  <r>
    <x v="1"/>
    <x v="0"/>
    <x v="1"/>
    <x v="64"/>
    <x v="16"/>
    <x v="287"/>
    <x v="1475"/>
    <x v="1655"/>
  </r>
  <r>
    <x v="3"/>
    <x v="0"/>
    <x v="2"/>
    <x v="49"/>
    <x v="11"/>
    <x v="132"/>
    <x v="1476"/>
    <x v="1656"/>
  </r>
  <r>
    <x v="1"/>
    <x v="0"/>
    <x v="1"/>
    <x v="206"/>
    <x v="0"/>
    <x v="299"/>
    <x v="1477"/>
    <x v="1657"/>
  </r>
  <r>
    <x v="0"/>
    <x v="0"/>
    <x v="2"/>
    <x v="197"/>
    <x v="23"/>
    <x v="449"/>
    <x v="1478"/>
    <x v="1658"/>
  </r>
  <r>
    <x v="3"/>
    <x v="0"/>
    <x v="2"/>
    <x v="230"/>
    <x v="16"/>
    <x v="189"/>
    <x v="1479"/>
    <x v="1659"/>
  </r>
  <r>
    <x v="3"/>
    <x v="0"/>
    <x v="2"/>
    <x v="246"/>
    <x v="1"/>
    <x v="425"/>
    <x v="462"/>
    <x v="1660"/>
  </r>
  <r>
    <x v="1"/>
    <x v="0"/>
    <x v="2"/>
    <x v="5"/>
    <x v="11"/>
    <x v="307"/>
    <x v="1480"/>
    <x v="1661"/>
  </r>
  <r>
    <x v="0"/>
    <x v="0"/>
    <x v="2"/>
    <x v="152"/>
    <x v="5"/>
    <x v="153"/>
    <x v="663"/>
    <x v="1662"/>
  </r>
  <r>
    <x v="0"/>
    <x v="0"/>
    <x v="2"/>
    <x v="102"/>
    <x v="12"/>
    <x v="439"/>
    <x v="927"/>
    <x v="1663"/>
  </r>
  <r>
    <x v="0"/>
    <x v="0"/>
    <x v="0"/>
    <x v="193"/>
    <x v="28"/>
    <x v="47"/>
    <x v="558"/>
    <x v="1664"/>
  </r>
  <r>
    <x v="1"/>
    <x v="0"/>
    <x v="2"/>
    <x v="51"/>
    <x v="13"/>
    <x v="702"/>
    <x v="1481"/>
    <x v="1665"/>
  </r>
  <r>
    <x v="1"/>
    <x v="0"/>
    <x v="2"/>
    <x v="140"/>
    <x v="15"/>
    <x v="703"/>
    <x v="1482"/>
    <x v="1666"/>
  </r>
  <r>
    <x v="3"/>
    <x v="0"/>
    <x v="2"/>
    <x v="70"/>
    <x v="3"/>
    <x v="704"/>
    <x v="1483"/>
    <x v="1667"/>
  </r>
  <r>
    <x v="3"/>
    <x v="0"/>
    <x v="2"/>
    <x v="36"/>
    <x v="2"/>
    <x v="2"/>
    <x v="1484"/>
    <x v="1668"/>
  </r>
  <r>
    <x v="1"/>
    <x v="0"/>
    <x v="1"/>
    <x v="243"/>
    <x v="13"/>
    <x v="702"/>
    <x v="1015"/>
    <x v="1669"/>
  </r>
  <r>
    <x v="0"/>
    <x v="0"/>
    <x v="2"/>
    <x v="60"/>
    <x v="15"/>
    <x v="61"/>
    <x v="1485"/>
    <x v="1670"/>
  </r>
  <r>
    <x v="3"/>
    <x v="0"/>
    <x v="2"/>
    <x v="187"/>
    <x v="9"/>
    <x v="305"/>
    <x v="1180"/>
    <x v="1671"/>
  </r>
  <r>
    <x v="3"/>
    <x v="0"/>
    <x v="2"/>
    <x v="112"/>
    <x v="23"/>
    <x v="666"/>
    <x v="1486"/>
    <x v="1672"/>
  </r>
  <r>
    <x v="2"/>
    <x v="0"/>
    <x v="2"/>
    <x v="44"/>
    <x v="13"/>
    <x v="171"/>
    <x v="988"/>
    <x v="1673"/>
  </r>
  <r>
    <x v="1"/>
    <x v="0"/>
    <x v="2"/>
    <x v="138"/>
    <x v="22"/>
    <x v="705"/>
    <x v="1487"/>
    <x v="1674"/>
  </r>
  <r>
    <x v="0"/>
    <x v="0"/>
    <x v="2"/>
    <x v="188"/>
    <x v="10"/>
    <x v="273"/>
    <x v="1488"/>
    <x v="1675"/>
  </r>
  <r>
    <x v="1"/>
    <x v="0"/>
    <x v="1"/>
    <x v="241"/>
    <x v="11"/>
    <x v="384"/>
    <x v="1489"/>
    <x v="1676"/>
  </r>
  <r>
    <x v="1"/>
    <x v="0"/>
    <x v="1"/>
    <x v="201"/>
    <x v="25"/>
    <x v="647"/>
    <x v="1490"/>
    <x v="1677"/>
  </r>
  <r>
    <x v="1"/>
    <x v="0"/>
    <x v="1"/>
    <x v="9"/>
    <x v="13"/>
    <x v="600"/>
    <x v="1491"/>
    <x v="1678"/>
  </r>
  <r>
    <x v="3"/>
    <x v="0"/>
    <x v="2"/>
    <x v="197"/>
    <x v="22"/>
    <x v="706"/>
    <x v="1492"/>
    <x v="1679"/>
  </r>
  <r>
    <x v="1"/>
    <x v="0"/>
    <x v="1"/>
    <x v="65"/>
    <x v="3"/>
    <x v="634"/>
    <x v="1493"/>
    <x v="1680"/>
  </r>
  <r>
    <x v="2"/>
    <x v="0"/>
    <x v="2"/>
    <x v="229"/>
    <x v="15"/>
    <x v="60"/>
    <x v="1494"/>
    <x v="1681"/>
  </r>
  <r>
    <x v="0"/>
    <x v="0"/>
    <x v="2"/>
    <x v="174"/>
    <x v="10"/>
    <x v="372"/>
    <x v="1495"/>
    <x v="1682"/>
  </r>
  <r>
    <x v="0"/>
    <x v="0"/>
    <x v="0"/>
    <x v="173"/>
    <x v="1"/>
    <x v="695"/>
    <x v="1496"/>
    <x v="1683"/>
  </r>
  <r>
    <x v="1"/>
    <x v="0"/>
    <x v="1"/>
    <x v="55"/>
    <x v="0"/>
    <x v="61"/>
    <x v="901"/>
    <x v="1684"/>
  </r>
  <r>
    <x v="0"/>
    <x v="0"/>
    <x v="0"/>
    <x v="75"/>
    <x v="13"/>
    <x v="443"/>
    <x v="1497"/>
    <x v="1685"/>
  </r>
  <r>
    <x v="0"/>
    <x v="0"/>
    <x v="2"/>
    <x v="80"/>
    <x v="7"/>
    <x v="553"/>
    <x v="1498"/>
    <x v="1686"/>
  </r>
  <r>
    <x v="2"/>
    <x v="0"/>
    <x v="2"/>
    <x v="240"/>
    <x v="16"/>
    <x v="96"/>
    <x v="199"/>
    <x v="1687"/>
  </r>
  <r>
    <x v="0"/>
    <x v="0"/>
    <x v="0"/>
    <x v="123"/>
    <x v="6"/>
    <x v="403"/>
    <x v="1499"/>
    <x v="1688"/>
  </r>
  <r>
    <x v="1"/>
    <x v="0"/>
    <x v="1"/>
    <x v="118"/>
    <x v="2"/>
    <x v="2"/>
    <x v="1500"/>
    <x v="1689"/>
  </r>
  <r>
    <x v="1"/>
    <x v="0"/>
    <x v="1"/>
    <x v="27"/>
    <x v="0"/>
    <x v="314"/>
    <x v="1501"/>
    <x v="1690"/>
  </r>
  <r>
    <x v="0"/>
    <x v="0"/>
    <x v="0"/>
    <x v="65"/>
    <x v="11"/>
    <x v="516"/>
    <x v="216"/>
    <x v="1691"/>
  </r>
  <r>
    <x v="1"/>
    <x v="0"/>
    <x v="1"/>
    <x v="204"/>
    <x v="24"/>
    <x v="707"/>
    <x v="497"/>
    <x v="1692"/>
  </r>
  <r>
    <x v="1"/>
    <x v="0"/>
    <x v="2"/>
    <x v="237"/>
    <x v="10"/>
    <x v="484"/>
    <x v="1357"/>
    <x v="1693"/>
  </r>
  <r>
    <x v="3"/>
    <x v="0"/>
    <x v="2"/>
    <x v="178"/>
    <x v="26"/>
    <x v="385"/>
    <x v="1469"/>
    <x v="1694"/>
  </r>
  <r>
    <x v="1"/>
    <x v="0"/>
    <x v="1"/>
    <x v="70"/>
    <x v="0"/>
    <x v="337"/>
    <x v="1502"/>
    <x v="1695"/>
  </r>
  <r>
    <x v="3"/>
    <x v="0"/>
    <x v="2"/>
    <x v="42"/>
    <x v="1"/>
    <x v="557"/>
    <x v="1503"/>
    <x v="1696"/>
  </r>
  <r>
    <x v="1"/>
    <x v="0"/>
    <x v="2"/>
    <x v="186"/>
    <x v="22"/>
    <x v="389"/>
    <x v="1504"/>
    <x v="1697"/>
  </r>
  <r>
    <x v="2"/>
    <x v="0"/>
    <x v="2"/>
    <x v="123"/>
    <x v="1"/>
    <x v="551"/>
    <x v="343"/>
    <x v="1698"/>
  </r>
  <r>
    <x v="0"/>
    <x v="0"/>
    <x v="2"/>
    <x v="121"/>
    <x v="8"/>
    <x v="457"/>
    <x v="836"/>
    <x v="1699"/>
  </r>
  <r>
    <x v="2"/>
    <x v="0"/>
    <x v="2"/>
    <x v="81"/>
    <x v="10"/>
    <x v="142"/>
    <x v="964"/>
    <x v="1700"/>
  </r>
  <r>
    <x v="1"/>
    <x v="0"/>
    <x v="1"/>
    <x v="155"/>
    <x v="22"/>
    <x v="708"/>
    <x v="1505"/>
    <x v="1701"/>
  </r>
  <r>
    <x v="1"/>
    <x v="0"/>
    <x v="1"/>
    <x v="35"/>
    <x v="19"/>
    <x v="199"/>
    <x v="1454"/>
    <x v="1702"/>
  </r>
  <r>
    <x v="3"/>
    <x v="0"/>
    <x v="2"/>
    <x v="33"/>
    <x v="11"/>
    <x v="709"/>
    <x v="1348"/>
    <x v="1703"/>
  </r>
  <r>
    <x v="1"/>
    <x v="0"/>
    <x v="2"/>
    <x v="143"/>
    <x v="10"/>
    <x v="646"/>
    <x v="1269"/>
    <x v="1704"/>
  </r>
  <r>
    <x v="1"/>
    <x v="0"/>
    <x v="1"/>
    <x v="220"/>
    <x v="14"/>
    <x v="383"/>
    <x v="385"/>
    <x v="1705"/>
  </r>
  <r>
    <x v="0"/>
    <x v="0"/>
    <x v="2"/>
    <x v="82"/>
    <x v="5"/>
    <x v="410"/>
    <x v="1506"/>
    <x v="1706"/>
  </r>
  <r>
    <x v="0"/>
    <x v="0"/>
    <x v="2"/>
    <x v="30"/>
    <x v="14"/>
    <x v="208"/>
    <x v="1507"/>
    <x v="1707"/>
  </r>
  <r>
    <x v="1"/>
    <x v="0"/>
    <x v="2"/>
    <x v="164"/>
    <x v="1"/>
    <x v="100"/>
    <x v="1508"/>
    <x v="1708"/>
  </r>
  <r>
    <x v="1"/>
    <x v="0"/>
    <x v="2"/>
    <x v="106"/>
    <x v="23"/>
    <x v="111"/>
    <x v="1509"/>
    <x v="1709"/>
  </r>
  <r>
    <x v="1"/>
    <x v="0"/>
    <x v="1"/>
    <x v="137"/>
    <x v="5"/>
    <x v="135"/>
    <x v="1510"/>
    <x v="1710"/>
  </r>
  <r>
    <x v="2"/>
    <x v="0"/>
    <x v="2"/>
    <x v="41"/>
    <x v="25"/>
    <x v="90"/>
    <x v="1293"/>
    <x v="1711"/>
  </r>
  <r>
    <x v="1"/>
    <x v="0"/>
    <x v="2"/>
    <x v="231"/>
    <x v="15"/>
    <x v="409"/>
    <x v="1511"/>
    <x v="1712"/>
  </r>
  <r>
    <x v="1"/>
    <x v="0"/>
    <x v="2"/>
    <x v="161"/>
    <x v="13"/>
    <x v="710"/>
    <x v="1512"/>
    <x v="1713"/>
  </r>
  <r>
    <x v="1"/>
    <x v="0"/>
    <x v="2"/>
    <x v="76"/>
    <x v="17"/>
    <x v="711"/>
    <x v="1513"/>
    <x v="1714"/>
  </r>
  <r>
    <x v="0"/>
    <x v="0"/>
    <x v="2"/>
    <x v="42"/>
    <x v="3"/>
    <x v="712"/>
    <x v="1514"/>
    <x v="1715"/>
  </r>
  <r>
    <x v="1"/>
    <x v="0"/>
    <x v="2"/>
    <x v="78"/>
    <x v="7"/>
    <x v="78"/>
    <x v="1515"/>
    <x v="1716"/>
  </r>
  <r>
    <x v="1"/>
    <x v="0"/>
    <x v="1"/>
    <x v="39"/>
    <x v="11"/>
    <x v="45"/>
    <x v="347"/>
    <x v="1717"/>
  </r>
  <r>
    <x v="0"/>
    <x v="0"/>
    <x v="0"/>
    <x v="130"/>
    <x v="15"/>
    <x v="713"/>
    <x v="1516"/>
    <x v="1718"/>
  </r>
  <r>
    <x v="1"/>
    <x v="0"/>
    <x v="2"/>
    <x v="21"/>
    <x v="17"/>
    <x v="714"/>
    <x v="1517"/>
    <x v="1719"/>
  </r>
  <r>
    <x v="0"/>
    <x v="0"/>
    <x v="2"/>
    <x v="42"/>
    <x v="6"/>
    <x v="233"/>
    <x v="326"/>
    <x v="1720"/>
  </r>
  <r>
    <x v="0"/>
    <x v="0"/>
    <x v="2"/>
    <x v="195"/>
    <x v="15"/>
    <x v="112"/>
    <x v="1518"/>
    <x v="1721"/>
  </r>
  <r>
    <x v="1"/>
    <x v="0"/>
    <x v="1"/>
    <x v="194"/>
    <x v="22"/>
    <x v="518"/>
    <x v="1519"/>
    <x v="1722"/>
  </r>
  <r>
    <x v="0"/>
    <x v="0"/>
    <x v="0"/>
    <x v="172"/>
    <x v="17"/>
    <x v="445"/>
    <x v="1520"/>
    <x v="1723"/>
  </r>
  <r>
    <x v="0"/>
    <x v="0"/>
    <x v="2"/>
    <x v="73"/>
    <x v="11"/>
    <x v="73"/>
    <x v="1521"/>
    <x v="1724"/>
  </r>
  <r>
    <x v="1"/>
    <x v="0"/>
    <x v="1"/>
    <x v="70"/>
    <x v="14"/>
    <x v="95"/>
    <x v="1522"/>
    <x v="1725"/>
  </r>
  <r>
    <x v="0"/>
    <x v="0"/>
    <x v="0"/>
    <x v="226"/>
    <x v="6"/>
    <x v="637"/>
    <x v="1523"/>
    <x v="1726"/>
  </r>
  <r>
    <x v="0"/>
    <x v="0"/>
    <x v="2"/>
    <x v="98"/>
    <x v="15"/>
    <x v="419"/>
    <x v="1524"/>
    <x v="1727"/>
  </r>
  <r>
    <x v="3"/>
    <x v="0"/>
    <x v="2"/>
    <x v="43"/>
    <x v="6"/>
    <x v="715"/>
    <x v="1525"/>
    <x v="1728"/>
  </r>
  <r>
    <x v="1"/>
    <x v="0"/>
    <x v="1"/>
    <x v="77"/>
    <x v="6"/>
    <x v="73"/>
    <x v="1526"/>
    <x v="1729"/>
  </r>
  <r>
    <x v="3"/>
    <x v="0"/>
    <x v="2"/>
    <x v="96"/>
    <x v="8"/>
    <x v="131"/>
    <x v="1527"/>
    <x v="1730"/>
  </r>
  <r>
    <x v="0"/>
    <x v="0"/>
    <x v="0"/>
    <x v="147"/>
    <x v="2"/>
    <x v="2"/>
    <x v="1528"/>
    <x v="1731"/>
  </r>
  <r>
    <x v="0"/>
    <x v="0"/>
    <x v="2"/>
    <x v="185"/>
    <x v="13"/>
    <x v="253"/>
    <x v="103"/>
    <x v="1732"/>
  </r>
  <r>
    <x v="0"/>
    <x v="0"/>
    <x v="2"/>
    <x v="193"/>
    <x v="7"/>
    <x v="31"/>
    <x v="1529"/>
    <x v="1733"/>
  </r>
  <r>
    <x v="1"/>
    <x v="0"/>
    <x v="1"/>
    <x v="220"/>
    <x v="7"/>
    <x v="192"/>
    <x v="1530"/>
    <x v="1734"/>
  </r>
  <r>
    <x v="2"/>
    <x v="0"/>
    <x v="2"/>
    <x v="196"/>
    <x v="11"/>
    <x v="347"/>
    <x v="211"/>
    <x v="1735"/>
  </r>
  <r>
    <x v="1"/>
    <x v="0"/>
    <x v="2"/>
    <x v="102"/>
    <x v="10"/>
    <x v="420"/>
    <x v="1070"/>
    <x v="1736"/>
  </r>
  <r>
    <x v="0"/>
    <x v="0"/>
    <x v="0"/>
    <x v="183"/>
    <x v="10"/>
    <x v="700"/>
    <x v="1239"/>
    <x v="1737"/>
  </r>
  <r>
    <x v="3"/>
    <x v="0"/>
    <x v="2"/>
    <x v="74"/>
    <x v="8"/>
    <x v="716"/>
    <x v="1531"/>
    <x v="1738"/>
  </r>
  <r>
    <x v="0"/>
    <x v="0"/>
    <x v="0"/>
    <x v="57"/>
    <x v="25"/>
    <x v="29"/>
    <x v="1532"/>
    <x v="1739"/>
  </r>
  <r>
    <x v="1"/>
    <x v="0"/>
    <x v="1"/>
    <x v="183"/>
    <x v="5"/>
    <x v="251"/>
    <x v="1533"/>
    <x v="1740"/>
  </r>
  <r>
    <x v="1"/>
    <x v="0"/>
    <x v="2"/>
    <x v="94"/>
    <x v="7"/>
    <x v="142"/>
    <x v="1534"/>
    <x v="1741"/>
  </r>
  <r>
    <x v="3"/>
    <x v="0"/>
    <x v="2"/>
    <x v="108"/>
    <x v="1"/>
    <x v="524"/>
    <x v="1535"/>
    <x v="1742"/>
  </r>
  <r>
    <x v="3"/>
    <x v="0"/>
    <x v="2"/>
    <x v="204"/>
    <x v="6"/>
    <x v="373"/>
    <x v="1536"/>
    <x v="1743"/>
  </r>
  <r>
    <x v="1"/>
    <x v="0"/>
    <x v="2"/>
    <x v="248"/>
    <x v="7"/>
    <x v="564"/>
    <x v="1537"/>
    <x v="1744"/>
  </r>
  <r>
    <x v="3"/>
    <x v="0"/>
    <x v="2"/>
    <x v="241"/>
    <x v="26"/>
    <x v="717"/>
    <x v="1538"/>
    <x v="1745"/>
  </r>
  <r>
    <x v="3"/>
    <x v="0"/>
    <x v="2"/>
    <x v="167"/>
    <x v="3"/>
    <x v="142"/>
    <x v="1539"/>
    <x v="1746"/>
  </r>
  <r>
    <x v="0"/>
    <x v="0"/>
    <x v="2"/>
    <x v="88"/>
    <x v="15"/>
    <x v="241"/>
    <x v="1540"/>
    <x v="1747"/>
  </r>
  <r>
    <x v="2"/>
    <x v="0"/>
    <x v="2"/>
    <x v="44"/>
    <x v="0"/>
    <x v="242"/>
    <x v="1541"/>
    <x v="1748"/>
  </r>
  <r>
    <x v="1"/>
    <x v="0"/>
    <x v="1"/>
    <x v="4"/>
    <x v="16"/>
    <x v="641"/>
    <x v="1542"/>
    <x v="1749"/>
  </r>
  <r>
    <x v="1"/>
    <x v="0"/>
    <x v="2"/>
    <x v="104"/>
    <x v="7"/>
    <x v="527"/>
    <x v="807"/>
    <x v="1750"/>
  </r>
  <r>
    <x v="3"/>
    <x v="0"/>
    <x v="2"/>
    <x v="235"/>
    <x v="11"/>
    <x v="718"/>
    <x v="1543"/>
    <x v="1751"/>
  </r>
  <r>
    <x v="0"/>
    <x v="0"/>
    <x v="2"/>
    <x v="154"/>
    <x v="8"/>
    <x v="54"/>
    <x v="1544"/>
    <x v="1752"/>
  </r>
  <r>
    <x v="0"/>
    <x v="0"/>
    <x v="2"/>
    <x v="49"/>
    <x v="11"/>
    <x v="132"/>
    <x v="1545"/>
    <x v="1753"/>
  </r>
  <r>
    <x v="1"/>
    <x v="0"/>
    <x v="2"/>
    <x v="147"/>
    <x v="13"/>
    <x v="255"/>
    <x v="1546"/>
    <x v="1754"/>
  </r>
  <r>
    <x v="1"/>
    <x v="0"/>
    <x v="1"/>
    <x v="133"/>
    <x v="3"/>
    <x v="277"/>
    <x v="1547"/>
    <x v="1755"/>
  </r>
  <r>
    <x v="1"/>
    <x v="0"/>
    <x v="2"/>
    <x v="208"/>
    <x v="23"/>
    <x v="564"/>
    <x v="1548"/>
    <x v="1756"/>
  </r>
  <r>
    <x v="1"/>
    <x v="0"/>
    <x v="1"/>
    <x v="70"/>
    <x v="13"/>
    <x v="719"/>
    <x v="1549"/>
    <x v="1757"/>
  </r>
  <r>
    <x v="1"/>
    <x v="0"/>
    <x v="1"/>
    <x v="25"/>
    <x v="13"/>
    <x v="99"/>
    <x v="1550"/>
    <x v="1758"/>
  </r>
  <r>
    <x v="3"/>
    <x v="0"/>
    <x v="2"/>
    <x v="190"/>
    <x v="5"/>
    <x v="433"/>
    <x v="1551"/>
    <x v="1759"/>
  </r>
  <r>
    <x v="1"/>
    <x v="0"/>
    <x v="2"/>
    <x v="138"/>
    <x v="6"/>
    <x v="620"/>
    <x v="1552"/>
    <x v="1760"/>
  </r>
  <r>
    <x v="3"/>
    <x v="0"/>
    <x v="2"/>
    <x v="46"/>
    <x v="19"/>
    <x v="195"/>
    <x v="1553"/>
    <x v="1761"/>
  </r>
  <r>
    <x v="2"/>
    <x v="0"/>
    <x v="2"/>
    <x v="87"/>
    <x v="23"/>
    <x v="459"/>
    <x v="1554"/>
    <x v="1762"/>
  </r>
  <r>
    <x v="0"/>
    <x v="0"/>
    <x v="2"/>
    <x v="116"/>
    <x v="11"/>
    <x v="99"/>
    <x v="1555"/>
    <x v="1763"/>
  </r>
  <r>
    <x v="2"/>
    <x v="0"/>
    <x v="2"/>
    <x v="33"/>
    <x v="1"/>
    <x v="97"/>
    <x v="1439"/>
    <x v="1764"/>
  </r>
  <r>
    <x v="2"/>
    <x v="0"/>
    <x v="2"/>
    <x v="15"/>
    <x v="15"/>
    <x v="142"/>
    <x v="1556"/>
    <x v="1765"/>
  </r>
  <r>
    <x v="0"/>
    <x v="0"/>
    <x v="2"/>
    <x v="31"/>
    <x v="12"/>
    <x v="283"/>
    <x v="1557"/>
    <x v="1766"/>
  </r>
  <r>
    <x v="2"/>
    <x v="0"/>
    <x v="2"/>
    <x v="105"/>
    <x v="5"/>
    <x v="238"/>
    <x v="1558"/>
    <x v="1767"/>
  </r>
  <r>
    <x v="0"/>
    <x v="0"/>
    <x v="0"/>
    <x v="38"/>
    <x v="1"/>
    <x v="538"/>
    <x v="1559"/>
    <x v="1768"/>
  </r>
  <r>
    <x v="2"/>
    <x v="0"/>
    <x v="2"/>
    <x v="65"/>
    <x v="6"/>
    <x v="720"/>
    <x v="1560"/>
    <x v="1769"/>
  </r>
  <r>
    <x v="2"/>
    <x v="0"/>
    <x v="2"/>
    <x v="213"/>
    <x v="6"/>
    <x v="26"/>
    <x v="1561"/>
    <x v="1770"/>
  </r>
  <r>
    <x v="0"/>
    <x v="0"/>
    <x v="0"/>
    <x v="37"/>
    <x v="6"/>
    <x v="49"/>
    <x v="1562"/>
    <x v="1771"/>
  </r>
  <r>
    <x v="1"/>
    <x v="0"/>
    <x v="1"/>
    <x v="5"/>
    <x v="13"/>
    <x v="210"/>
    <x v="1563"/>
    <x v="1772"/>
  </r>
  <r>
    <x v="2"/>
    <x v="0"/>
    <x v="2"/>
    <x v="54"/>
    <x v="6"/>
    <x v="363"/>
    <x v="1564"/>
    <x v="1773"/>
  </r>
  <r>
    <x v="1"/>
    <x v="0"/>
    <x v="2"/>
    <x v="112"/>
    <x v="18"/>
    <x v="128"/>
    <x v="1327"/>
    <x v="1774"/>
  </r>
  <r>
    <x v="3"/>
    <x v="0"/>
    <x v="2"/>
    <x v="168"/>
    <x v="24"/>
    <x v="541"/>
    <x v="1565"/>
    <x v="1775"/>
  </r>
  <r>
    <x v="0"/>
    <x v="0"/>
    <x v="2"/>
    <x v="106"/>
    <x v="24"/>
    <x v="527"/>
    <x v="31"/>
    <x v="1776"/>
  </r>
  <r>
    <x v="0"/>
    <x v="0"/>
    <x v="0"/>
    <x v="172"/>
    <x v="10"/>
    <x v="221"/>
    <x v="1566"/>
    <x v="1777"/>
  </r>
  <r>
    <x v="2"/>
    <x v="0"/>
    <x v="2"/>
    <x v="51"/>
    <x v="5"/>
    <x v="315"/>
    <x v="1567"/>
    <x v="1778"/>
  </r>
  <r>
    <x v="3"/>
    <x v="0"/>
    <x v="2"/>
    <x v="176"/>
    <x v="15"/>
    <x v="462"/>
    <x v="1568"/>
    <x v="1779"/>
  </r>
  <r>
    <x v="0"/>
    <x v="0"/>
    <x v="0"/>
    <x v="234"/>
    <x v="5"/>
    <x v="483"/>
    <x v="1569"/>
    <x v="1780"/>
  </r>
  <r>
    <x v="1"/>
    <x v="0"/>
    <x v="2"/>
    <x v="40"/>
    <x v="15"/>
    <x v="256"/>
    <x v="1416"/>
    <x v="1781"/>
  </r>
  <r>
    <x v="1"/>
    <x v="0"/>
    <x v="1"/>
    <x v="73"/>
    <x v="2"/>
    <x v="2"/>
    <x v="500"/>
    <x v="1782"/>
  </r>
  <r>
    <x v="0"/>
    <x v="0"/>
    <x v="2"/>
    <x v="230"/>
    <x v="3"/>
    <x v="572"/>
    <x v="1570"/>
    <x v="1783"/>
  </r>
  <r>
    <x v="0"/>
    <x v="0"/>
    <x v="2"/>
    <x v="62"/>
    <x v="2"/>
    <x v="2"/>
    <x v="1571"/>
    <x v="1784"/>
  </r>
  <r>
    <x v="0"/>
    <x v="0"/>
    <x v="0"/>
    <x v="101"/>
    <x v="15"/>
    <x v="472"/>
    <x v="1572"/>
    <x v="1785"/>
  </r>
  <r>
    <x v="0"/>
    <x v="0"/>
    <x v="2"/>
    <x v="144"/>
    <x v="2"/>
    <x v="2"/>
    <x v="1573"/>
    <x v="1786"/>
  </r>
  <r>
    <x v="1"/>
    <x v="0"/>
    <x v="1"/>
    <x v="172"/>
    <x v="14"/>
    <x v="110"/>
    <x v="1574"/>
    <x v="1787"/>
  </r>
  <r>
    <x v="1"/>
    <x v="0"/>
    <x v="2"/>
    <x v="123"/>
    <x v="1"/>
    <x v="551"/>
    <x v="1575"/>
    <x v="1788"/>
  </r>
  <r>
    <x v="2"/>
    <x v="0"/>
    <x v="2"/>
    <x v="212"/>
    <x v="16"/>
    <x v="666"/>
    <x v="1576"/>
    <x v="1789"/>
  </r>
  <r>
    <x v="0"/>
    <x v="0"/>
    <x v="0"/>
    <x v="178"/>
    <x v="24"/>
    <x v="270"/>
    <x v="1577"/>
    <x v="1790"/>
  </r>
  <r>
    <x v="2"/>
    <x v="0"/>
    <x v="2"/>
    <x v="209"/>
    <x v="16"/>
    <x v="196"/>
    <x v="1578"/>
    <x v="1791"/>
  </r>
  <r>
    <x v="0"/>
    <x v="0"/>
    <x v="2"/>
    <x v="96"/>
    <x v="2"/>
    <x v="2"/>
    <x v="976"/>
    <x v="1792"/>
  </r>
  <r>
    <x v="3"/>
    <x v="0"/>
    <x v="2"/>
    <x v="114"/>
    <x v="20"/>
    <x v="721"/>
    <x v="335"/>
    <x v="1793"/>
  </r>
  <r>
    <x v="2"/>
    <x v="0"/>
    <x v="2"/>
    <x v="67"/>
    <x v="6"/>
    <x v="207"/>
    <x v="1061"/>
    <x v="1794"/>
  </r>
  <r>
    <x v="0"/>
    <x v="0"/>
    <x v="0"/>
    <x v="137"/>
    <x v="5"/>
    <x v="135"/>
    <x v="1579"/>
    <x v="1795"/>
  </r>
  <r>
    <x v="0"/>
    <x v="0"/>
    <x v="0"/>
    <x v="243"/>
    <x v="20"/>
    <x v="329"/>
    <x v="1580"/>
    <x v="1796"/>
  </r>
  <r>
    <x v="1"/>
    <x v="0"/>
    <x v="2"/>
    <x v="137"/>
    <x v="5"/>
    <x v="135"/>
    <x v="1581"/>
    <x v="1797"/>
  </r>
  <r>
    <x v="3"/>
    <x v="0"/>
    <x v="2"/>
    <x v="217"/>
    <x v="6"/>
    <x v="545"/>
    <x v="1582"/>
    <x v="1798"/>
  </r>
  <r>
    <x v="0"/>
    <x v="0"/>
    <x v="0"/>
    <x v="231"/>
    <x v="1"/>
    <x v="722"/>
    <x v="1583"/>
    <x v="1799"/>
  </r>
  <r>
    <x v="2"/>
    <x v="0"/>
    <x v="2"/>
    <x v="113"/>
    <x v="1"/>
    <x v="579"/>
    <x v="1584"/>
    <x v="1800"/>
  </r>
  <r>
    <x v="1"/>
    <x v="0"/>
    <x v="1"/>
    <x v="192"/>
    <x v="0"/>
    <x v="452"/>
    <x v="1585"/>
    <x v="1801"/>
  </r>
  <r>
    <x v="1"/>
    <x v="0"/>
    <x v="2"/>
    <x v="238"/>
    <x v="10"/>
    <x v="193"/>
    <x v="1586"/>
    <x v="1802"/>
  </r>
  <r>
    <x v="0"/>
    <x v="0"/>
    <x v="0"/>
    <x v="187"/>
    <x v="6"/>
    <x v="182"/>
    <x v="1587"/>
    <x v="1803"/>
  </r>
  <r>
    <x v="1"/>
    <x v="0"/>
    <x v="1"/>
    <x v="123"/>
    <x v="6"/>
    <x v="403"/>
    <x v="1588"/>
    <x v="1804"/>
  </r>
  <r>
    <x v="2"/>
    <x v="0"/>
    <x v="2"/>
    <x v="81"/>
    <x v="10"/>
    <x v="142"/>
    <x v="1589"/>
    <x v="1805"/>
  </r>
  <r>
    <x v="3"/>
    <x v="0"/>
    <x v="2"/>
    <x v="117"/>
    <x v="15"/>
    <x v="723"/>
    <x v="1590"/>
    <x v="1806"/>
  </r>
  <r>
    <x v="2"/>
    <x v="0"/>
    <x v="2"/>
    <x v="21"/>
    <x v="14"/>
    <x v="724"/>
    <x v="1591"/>
    <x v="1807"/>
  </r>
  <r>
    <x v="1"/>
    <x v="0"/>
    <x v="1"/>
    <x v="147"/>
    <x v="5"/>
    <x v="500"/>
    <x v="1592"/>
    <x v="1808"/>
  </r>
  <r>
    <x v="1"/>
    <x v="0"/>
    <x v="1"/>
    <x v="200"/>
    <x v="5"/>
    <x v="197"/>
    <x v="1593"/>
    <x v="1809"/>
  </r>
  <r>
    <x v="0"/>
    <x v="0"/>
    <x v="0"/>
    <x v="184"/>
    <x v="7"/>
    <x v="475"/>
    <x v="1121"/>
    <x v="1810"/>
  </r>
  <r>
    <x v="1"/>
    <x v="0"/>
    <x v="2"/>
    <x v="23"/>
    <x v="24"/>
    <x v="725"/>
    <x v="1594"/>
    <x v="1811"/>
  </r>
  <r>
    <x v="3"/>
    <x v="0"/>
    <x v="2"/>
    <x v="136"/>
    <x v="7"/>
    <x v="124"/>
    <x v="1202"/>
    <x v="1812"/>
  </r>
  <r>
    <x v="2"/>
    <x v="0"/>
    <x v="2"/>
    <x v="139"/>
    <x v="25"/>
    <x v="25"/>
    <x v="1595"/>
    <x v="1813"/>
  </r>
  <r>
    <x v="1"/>
    <x v="0"/>
    <x v="1"/>
    <x v="103"/>
    <x v="13"/>
    <x v="726"/>
    <x v="1596"/>
    <x v="1814"/>
  </r>
  <r>
    <x v="0"/>
    <x v="0"/>
    <x v="0"/>
    <x v="239"/>
    <x v="1"/>
    <x v="296"/>
    <x v="1597"/>
    <x v="1815"/>
  </r>
  <r>
    <x v="1"/>
    <x v="0"/>
    <x v="1"/>
    <x v="57"/>
    <x v="6"/>
    <x v="253"/>
    <x v="1598"/>
    <x v="1816"/>
  </r>
  <r>
    <x v="1"/>
    <x v="0"/>
    <x v="1"/>
    <x v="242"/>
    <x v="1"/>
    <x v="688"/>
    <x v="662"/>
    <x v="1817"/>
  </r>
  <r>
    <x v="0"/>
    <x v="0"/>
    <x v="2"/>
    <x v="49"/>
    <x v="10"/>
    <x v="469"/>
    <x v="1599"/>
    <x v="1818"/>
  </r>
  <r>
    <x v="2"/>
    <x v="0"/>
    <x v="2"/>
    <x v="178"/>
    <x v="17"/>
    <x v="51"/>
    <x v="1600"/>
    <x v="1819"/>
  </r>
  <r>
    <x v="1"/>
    <x v="0"/>
    <x v="2"/>
    <x v="56"/>
    <x v="10"/>
    <x v="119"/>
    <x v="880"/>
    <x v="1820"/>
  </r>
  <r>
    <x v="2"/>
    <x v="0"/>
    <x v="2"/>
    <x v="9"/>
    <x v="5"/>
    <x v="213"/>
    <x v="952"/>
    <x v="1821"/>
  </r>
  <r>
    <x v="2"/>
    <x v="0"/>
    <x v="2"/>
    <x v="221"/>
    <x v="25"/>
    <x v="449"/>
    <x v="1579"/>
    <x v="1822"/>
  </r>
  <r>
    <x v="1"/>
    <x v="0"/>
    <x v="2"/>
    <x v="27"/>
    <x v="17"/>
    <x v="252"/>
    <x v="1601"/>
    <x v="1823"/>
  </r>
  <r>
    <x v="0"/>
    <x v="0"/>
    <x v="2"/>
    <x v="86"/>
    <x v="3"/>
    <x v="727"/>
    <x v="1602"/>
    <x v="1824"/>
  </r>
  <r>
    <x v="1"/>
    <x v="0"/>
    <x v="2"/>
    <x v="209"/>
    <x v="0"/>
    <x v="45"/>
    <x v="1603"/>
    <x v="1825"/>
  </r>
  <r>
    <x v="0"/>
    <x v="0"/>
    <x v="0"/>
    <x v="141"/>
    <x v="9"/>
    <x v="624"/>
    <x v="1604"/>
    <x v="1826"/>
  </r>
  <r>
    <x v="3"/>
    <x v="0"/>
    <x v="2"/>
    <x v="216"/>
    <x v="6"/>
    <x v="272"/>
    <x v="1505"/>
    <x v="1827"/>
  </r>
  <r>
    <x v="0"/>
    <x v="0"/>
    <x v="0"/>
    <x v="171"/>
    <x v="8"/>
    <x v="292"/>
    <x v="1605"/>
    <x v="1828"/>
  </r>
  <r>
    <x v="3"/>
    <x v="0"/>
    <x v="2"/>
    <x v="26"/>
    <x v="1"/>
    <x v="259"/>
    <x v="1606"/>
    <x v="1829"/>
  </r>
  <r>
    <x v="1"/>
    <x v="0"/>
    <x v="1"/>
    <x v="225"/>
    <x v="13"/>
    <x v="728"/>
    <x v="788"/>
    <x v="1830"/>
  </r>
  <r>
    <x v="2"/>
    <x v="0"/>
    <x v="2"/>
    <x v="129"/>
    <x v="20"/>
    <x v="729"/>
    <x v="1607"/>
    <x v="1831"/>
  </r>
  <r>
    <x v="2"/>
    <x v="0"/>
    <x v="2"/>
    <x v="37"/>
    <x v="6"/>
    <x v="49"/>
    <x v="1114"/>
    <x v="1832"/>
  </r>
  <r>
    <x v="2"/>
    <x v="0"/>
    <x v="2"/>
    <x v="180"/>
    <x v="5"/>
    <x v="615"/>
    <x v="1608"/>
    <x v="1833"/>
  </r>
  <r>
    <x v="2"/>
    <x v="0"/>
    <x v="2"/>
    <x v="203"/>
    <x v="13"/>
    <x v="730"/>
    <x v="1609"/>
    <x v="1834"/>
  </r>
  <r>
    <x v="1"/>
    <x v="0"/>
    <x v="1"/>
    <x v="234"/>
    <x v="11"/>
    <x v="731"/>
    <x v="1610"/>
    <x v="1835"/>
  </r>
  <r>
    <x v="2"/>
    <x v="0"/>
    <x v="2"/>
    <x v="132"/>
    <x v="11"/>
    <x v="732"/>
    <x v="620"/>
    <x v="1836"/>
  </r>
  <r>
    <x v="1"/>
    <x v="0"/>
    <x v="1"/>
    <x v="161"/>
    <x v="3"/>
    <x v="496"/>
    <x v="1611"/>
    <x v="1837"/>
  </r>
  <r>
    <x v="1"/>
    <x v="0"/>
    <x v="2"/>
    <x v="14"/>
    <x v="5"/>
    <x v="733"/>
    <x v="1612"/>
    <x v="1838"/>
  </r>
  <r>
    <x v="3"/>
    <x v="0"/>
    <x v="2"/>
    <x v="1"/>
    <x v="17"/>
    <x v="734"/>
    <x v="1613"/>
    <x v="1839"/>
  </r>
  <r>
    <x v="1"/>
    <x v="0"/>
    <x v="1"/>
    <x v="29"/>
    <x v="11"/>
    <x v="330"/>
    <x v="1614"/>
    <x v="1840"/>
  </r>
  <r>
    <x v="3"/>
    <x v="0"/>
    <x v="2"/>
    <x v="154"/>
    <x v="18"/>
    <x v="36"/>
    <x v="1615"/>
    <x v="1841"/>
  </r>
  <r>
    <x v="2"/>
    <x v="0"/>
    <x v="2"/>
    <x v="217"/>
    <x v="8"/>
    <x v="663"/>
    <x v="1616"/>
    <x v="1842"/>
  </r>
  <r>
    <x v="1"/>
    <x v="0"/>
    <x v="1"/>
    <x v="56"/>
    <x v="3"/>
    <x v="735"/>
    <x v="1617"/>
    <x v="1843"/>
  </r>
  <r>
    <x v="0"/>
    <x v="0"/>
    <x v="2"/>
    <x v="91"/>
    <x v="2"/>
    <x v="2"/>
    <x v="1618"/>
    <x v="1844"/>
  </r>
  <r>
    <x v="1"/>
    <x v="0"/>
    <x v="2"/>
    <x v="192"/>
    <x v="2"/>
    <x v="2"/>
    <x v="1619"/>
    <x v="1845"/>
  </r>
  <r>
    <x v="0"/>
    <x v="0"/>
    <x v="0"/>
    <x v="197"/>
    <x v="22"/>
    <x v="706"/>
    <x v="1620"/>
    <x v="1846"/>
  </r>
  <r>
    <x v="0"/>
    <x v="0"/>
    <x v="2"/>
    <x v="100"/>
    <x v="13"/>
    <x v="625"/>
    <x v="1621"/>
    <x v="1847"/>
  </r>
  <r>
    <x v="0"/>
    <x v="0"/>
    <x v="0"/>
    <x v="72"/>
    <x v="18"/>
    <x v="466"/>
    <x v="1622"/>
    <x v="1848"/>
  </r>
  <r>
    <x v="1"/>
    <x v="0"/>
    <x v="1"/>
    <x v="95"/>
    <x v="25"/>
    <x v="736"/>
    <x v="1623"/>
    <x v="1849"/>
  </r>
  <r>
    <x v="1"/>
    <x v="0"/>
    <x v="1"/>
    <x v="142"/>
    <x v="6"/>
    <x v="412"/>
    <x v="1624"/>
    <x v="1850"/>
  </r>
  <r>
    <x v="1"/>
    <x v="0"/>
    <x v="1"/>
    <x v="73"/>
    <x v="13"/>
    <x v="344"/>
    <x v="1625"/>
    <x v="1851"/>
  </r>
  <r>
    <x v="1"/>
    <x v="0"/>
    <x v="2"/>
    <x v="76"/>
    <x v="24"/>
    <x v="644"/>
    <x v="1626"/>
    <x v="1852"/>
  </r>
  <r>
    <x v="3"/>
    <x v="0"/>
    <x v="2"/>
    <x v="141"/>
    <x v="24"/>
    <x v="212"/>
    <x v="1627"/>
    <x v="1853"/>
  </r>
  <r>
    <x v="0"/>
    <x v="0"/>
    <x v="2"/>
    <x v="83"/>
    <x v="15"/>
    <x v="573"/>
    <x v="1628"/>
    <x v="1854"/>
  </r>
  <r>
    <x v="3"/>
    <x v="0"/>
    <x v="2"/>
    <x v="165"/>
    <x v="11"/>
    <x v="737"/>
    <x v="1629"/>
    <x v="1855"/>
  </r>
  <r>
    <x v="0"/>
    <x v="0"/>
    <x v="0"/>
    <x v="61"/>
    <x v="22"/>
    <x v="466"/>
    <x v="1088"/>
    <x v="1856"/>
  </r>
  <r>
    <x v="0"/>
    <x v="0"/>
    <x v="0"/>
    <x v="41"/>
    <x v="8"/>
    <x v="408"/>
    <x v="1630"/>
    <x v="1857"/>
  </r>
  <r>
    <x v="0"/>
    <x v="0"/>
    <x v="0"/>
    <x v="125"/>
    <x v="16"/>
    <x v="151"/>
    <x v="1631"/>
    <x v="1858"/>
  </r>
  <r>
    <x v="1"/>
    <x v="0"/>
    <x v="1"/>
    <x v="69"/>
    <x v="28"/>
    <x v="624"/>
    <x v="797"/>
    <x v="1859"/>
  </r>
  <r>
    <x v="1"/>
    <x v="0"/>
    <x v="1"/>
    <x v="108"/>
    <x v="14"/>
    <x v="531"/>
    <x v="1632"/>
    <x v="1860"/>
  </r>
  <r>
    <x v="0"/>
    <x v="0"/>
    <x v="0"/>
    <x v="104"/>
    <x v="5"/>
    <x v="336"/>
    <x v="1633"/>
    <x v="1861"/>
  </r>
  <r>
    <x v="1"/>
    <x v="0"/>
    <x v="1"/>
    <x v="18"/>
    <x v="5"/>
    <x v="479"/>
    <x v="1634"/>
    <x v="1862"/>
  </r>
  <r>
    <x v="0"/>
    <x v="0"/>
    <x v="2"/>
    <x v="74"/>
    <x v="13"/>
    <x v="250"/>
    <x v="1635"/>
    <x v="1863"/>
  </r>
  <r>
    <x v="1"/>
    <x v="0"/>
    <x v="2"/>
    <x v="249"/>
    <x v="5"/>
    <x v="290"/>
    <x v="1636"/>
    <x v="1864"/>
  </r>
  <r>
    <x v="1"/>
    <x v="0"/>
    <x v="2"/>
    <x v="65"/>
    <x v="15"/>
    <x v="473"/>
    <x v="1637"/>
    <x v="1865"/>
  </r>
  <r>
    <x v="3"/>
    <x v="0"/>
    <x v="2"/>
    <x v="177"/>
    <x v="16"/>
    <x v="611"/>
    <x v="1638"/>
    <x v="1866"/>
  </r>
  <r>
    <x v="1"/>
    <x v="0"/>
    <x v="2"/>
    <x v="208"/>
    <x v="25"/>
    <x v="738"/>
    <x v="1639"/>
    <x v="1867"/>
  </r>
  <r>
    <x v="3"/>
    <x v="0"/>
    <x v="2"/>
    <x v="81"/>
    <x v="5"/>
    <x v="739"/>
    <x v="1640"/>
    <x v="1868"/>
  </r>
  <r>
    <x v="0"/>
    <x v="0"/>
    <x v="2"/>
    <x v="242"/>
    <x v="25"/>
    <x v="610"/>
    <x v="1641"/>
    <x v="1869"/>
  </r>
  <r>
    <x v="0"/>
    <x v="0"/>
    <x v="2"/>
    <x v="194"/>
    <x v="2"/>
    <x v="2"/>
    <x v="1131"/>
    <x v="1870"/>
  </r>
  <r>
    <x v="3"/>
    <x v="0"/>
    <x v="2"/>
    <x v="152"/>
    <x v="10"/>
    <x v="190"/>
    <x v="1599"/>
    <x v="1871"/>
  </r>
  <r>
    <x v="3"/>
    <x v="0"/>
    <x v="2"/>
    <x v="1"/>
    <x v="10"/>
    <x v="619"/>
    <x v="1642"/>
    <x v="1872"/>
  </r>
  <r>
    <x v="2"/>
    <x v="0"/>
    <x v="2"/>
    <x v="101"/>
    <x v="0"/>
    <x v="100"/>
    <x v="1643"/>
    <x v="1873"/>
  </r>
  <r>
    <x v="3"/>
    <x v="0"/>
    <x v="2"/>
    <x v="168"/>
    <x v="25"/>
    <x v="368"/>
    <x v="1644"/>
    <x v="1874"/>
  </r>
  <r>
    <x v="0"/>
    <x v="0"/>
    <x v="2"/>
    <x v="201"/>
    <x v="12"/>
    <x v="723"/>
    <x v="1645"/>
    <x v="1875"/>
  </r>
  <r>
    <x v="1"/>
    <x v="0"/>
    <x v="2"/>
    <x v="126"/>
    <x v="20"/>
    <x v="740"/>
    <x v="1646"/>
    <x v="1876"/>
  </r>
  <r>
    <x v="2"/>
    <x v="0"/>
    <x v="2"/>
    <x v="195"/>
    <x v="17"/>
    <x v="290"/>
    <x v="1647"/>
    <x v="1877"/>
  </r>
  <r>
    <x v="2"/>
    <x v="0"/>
    <x v="2"/>
    <x v="186"/>
    <x v="24"/>
    <x v="481"/>
    <x v="1648"/>
    <x v="1878"/>
  </r>
  <r>
    <x v="0"/>
    <x v="0"/>
    <x v="2"/>
    <x v="170"/>
    <x v="13"/>
    <x v="545"/>
    <x v="1649"/>
    <x v="1879"/>
  </r>
  <r>
    <x v="2"/>
    <x v="0"/>
    <x v="2"/>
    <x v="39"/>
    <x v="6"/>
    <x v="196"/>
    <x v="1650"/>
    <x v="1880"/>
  </r>
  <r>
    <x v="0"/>
    <x v="0"/>
    <x v="0"/>
    <x v="122"/>
    <x v="12"/>
    <x v="175"/>
    <x v="1651"/>
    <x v="1881"/>
  </r>
  <r>
    <x v="3"/>
    <x v="0"/>
    <x v="2"/>
    <x v="50"/>
    <x v="26"/>
    <x v="670"/>
    <x v="1652"/>
    <x v="1882"/>
  </r>
  <r>
    <x v="2"/>
    <x v="0"/>
    <x v="2"/>
    <x v="83"/>
    <x v="18"/>
    <x v="82"/>
    <x v="1653"/>
    <x v="1883"/>
  </r>
  <r>
    <x v="0"/>
    <x v="0"/>
    <x v="2"/>
    <x v="222"/>
    <x v="0"/>
    <x v="741"/>
    <x v="1654"/>
    <x v="1884"/>
  </r>
  <r>
    <x v="0"/>
    <x v="0"/>
    <x v="2"/>
    <x v="24"/>
    <x v="0"/>
    <x v="742"/>
    <x v="416"/>
    <x v="1885"/>
  </r>
  <r>
    <x v="1"/>
    <x v="0"/>
    <x v="2"/>
    <x v="109"/>
    <x v="8"/>
    <x v="114"/>
    <x v="668"/>
    <x v="1886"/>
  </r>
  <r>
    <x v="1"/>
    <x v="0"/>
    <x v="2"/>
    <x v="16"/>
    <x v="0"/>
    <x v="300"/>
    <x v="1655"/>
    <x v="1887"/>
  </r>
  <r>
    <x v="0"/>
    <x v="0"/>
    <x v="2"/>
    <x v="49"/>
    <x v="17"/>
    <x v="689"/>
    <x v="1656"/>
    <x v="1888"/>
  </r>
  <r>
    <x v="3"/>
    <x v="0"/>
    <x v="2"/>
    <x v="146"/>
    <x v="16"/>
    <x v="16"/>
    <x v="1657"/>
    <x v="1889"/>
  </r>
  <r>
    <x v="3"/>
    <x v="0"/>
    <x v="2"/>
    <x v="136"/>
    <x v="14"/>
    <x v="743"/>
    <x v="443"/>
    <x v="1890"/>
  </r>
  <r>
    <x v="3"/>
    <x v="0"/>
    <x v="2"/>
    <x v="160"/>
    <x v="24"/>
    <x v="744"/>
    <x v="1658"/>
    <x v="1891"/>
  </r>
  <r>
    <x v="3"/>
    <x v="0"/>
    <x v="2"/>
    <x v="5"/>
    <x v="14"/>
    <x v="745"/>
    <x v="1659"/>
    <x v="1892"/>
  </r>
  <r>
    <x v="0"/>
    <x v="0"/>
    <x v="0"/>
    <x v="58"/>
    <x v="2"/>
    <x v="2"/>
    <x v="1137"/>
    <x v="1893"/>
  </r>
  <r>
    <x v="0"/>
    <x v="0"/>
    <x v="2"/>
    <x v="36"/>
    <x v="25"/>
    <x v="746"/>
    <x v="1660"/>
    <x v="1894"/>
  </r>
  <r>
    <x v="2"/>
    <x v="0"/>
    <x v="2"/>
    <x v="133"/>
    <x v="5"/>
    <x v="436"/>
    <x v="1661"/>
    <x v="1895"/>
  </r>
  <r>
    <x v="0"/>
    <x v="0"/>
    <x v="2"/>
    <x v="72"/>
    <x v="24"/>
    <x v="173"/>
    <x v="1136"/>
    <x v="1896"/>
  </r>
  <r>
    <x v="0"/>
    <x v="0"/>
    <x v="2"/>
    <x v="135"/>
    <x v="5"/>
    <x v="747"/>
    <x v="1662"/>
    <x v="1897"/>
  </r>
  <r>
    <x v="1"/>
    <x v="0"/>
    <x v="2"/>
    <x v="73"/>
    <x v="0"/>
    <x v="154"/>
    <x v="1663"/>
    <x v="1898"/>
  </r>
  <r>
    <x v="0"/>
    <x v="0"/>
    <x v="2"/>
    <x v="125"/>
    <x v="10"/>
    <x v="748"/>
    <x v="264"/>
    <x v="1899"/>
  </r>
  <r>
    <x v="0"/>
    <x v="0"/>
    <x v="2"/>
    <x v="36"/>
    <x v="11"/>
    <x v="384"/>
    <x v="1664"/>
    <x v="1900"/>
  </r>
  <r>
    <x v="3"/>
    <x v="0"/>
    <x v="2"/>
    <x v="1"/>
    <x v="7"/>
    <x v="96"/>
    <x v="1665"/>
    <x v="1901"/>
  </r>
  <r>
    <x v="3"/>
    <x v="0"/>
    <x v="2"/>
    <x v="165"/>
    <x v="1"/>
    <x v="7"/>
    <x v="1666"/>
    <x v="1902"/>
  </r>
  <r>
    <x v="0"/>
    <x v="0"/>
    <x v="2"/>
    <x v="27"/>
    <x v="7"/>
    <x v="131"/>
    <x v="1667"/>
    <x v="1903"/>
  </r>
  <r>
    <x v="2"/>
    <x v="0"/>
    <x v="2"/>
    <x v="232"/>
    <x v="3"/>
    <x v="749"/>
    <x v="1642"/>
    <x v="1904"/>
  </r>
  <r>
    <x v="0"/>
    <x v="0"/>
    <x v="2"/>
    <x v="107"/>
    <x v="2"/>
    <x v="2"/>
    <x v="1668"/>
    <x v="1905"/>
  </r>
  <r>
    <x v="1"/>
    <x v="0"/>
    <x v="1"/>
    <x v="177"/>
    <x v="28"/>
    <x v="231"/>
    <x v="1083"/>
    <x v="1906"/>
  </r>
  <r>
    <x v="0"/>
    <x v="0"/>
    <x v="0"/>
    <x v="99"/>
    <x v="10"/>
    <x v="508"/>
    <x v="1669"/>
    <x v="1907"/>
  </r>
  <r>
    <x v="0"/>
    <x v="0"/>
    <x v="0"/>
    <x v="76"/>
    <x v="20"/>
    <x v="453"/>
    <x v="1670"/>
    <x v="1908"/>
  </r>
  <r>
    <x v="0"/>
    <x v="0"/>
    <x v="0"/>
    <x v="141"/>
    <x v="1"/>
    <x v="28"/>
    <x v="1671"/>
    <x v="1909"/>
  </r>
  <r>
    <x v="2"/>
    <x v="0"/>
    <x v="2"/>
    <x v="111"/>
    <x v="1"/>
    <x v="750"/>
    <x v="1672"/>
    <x v="1910"/>
  </r>
  <r>
    <x v="0"/>
    <x v="0"/>
    <x v="2"/>
    <x v="15"/>
    <x v="13"/>
    <x v="387"/>
    <x v="1198"/>
    <x v="1911"/>
  </r>
  <r>
    <x v="0"/>
    <x v="0"/>
    <x v="0"/>
    <x v="202"/>
    <x v="12"/>
    <x v="70"/>
    <x v="165"/>
    <x v="1912"/>
  </r>
  <r>
    <x v="2"/>
    <x v="0"/>
    <x v="2"/>
    <x v="73"/>
    <x v="13"/>
    <x v="344"/>
    <x v="1673"/>
    <x v="1913"/>
  </r>
  <r>
    <x v="1"/>
    <x v="0"/>
    <x v="1"/>
    <x v="22"/>
    <x v="1"/>
    <x v="602"/>
    <x v="1674"/>
    <x v="1914"/>
  </r>
  <r>
    <x v="1"/>
    <x v="0"/>
    <x v="1"/>
    <x v="166"/>
    <x v="1"/>
    <x v="93"/>
    <x v="1675"/>
    <x v="1915"/>
  </r>
  <r>
    <x v="2"/>
    <x v="0"/>
    <x v="2"/>
    <x v="116"/>
    <x v="9"/>
    <x v="585"/>
    <x v="1676"/>
    <x v="1916"/>
  </r>
  <r>
    <x v="0"/>
    <x v="0"/>
    <x v="0"/>
    <x v="24"/>
    <x v="13"/>
    <x v="432"/>
    <x v="1677"/>
    <x v="1917"/>
  </r>
  <r>
    <x v="1"/>
    <x v="0"/>
    <x v="1"/>
    <x v="175"/>
    <x v="13"/>
    <x v="57"/>
    <x v="1678"/>
    <x v="1918"/>
  </r>
  <r>
    <x v="1"/>
    <x v="0"/>
    <x v="2"/>
    <x v="144"/>
    <x v="11"/>
    <x v="637"/>
    <x v="1679"/>
    <x v="1919"/>
  </r>
  <r>
    <x v="3"/>
    <x v="0"/>
    <x v="2"/>
    <x v="59"/>
    <x v="24"/>
    <x v="413"/>
    <x v="1680"/>
    <x v="1920"/>
  </r>
  <r>
    <x v="1"/>
    <x v="0"/>
    <x v="2"/>
    <x v="74"/>
    <x v="24"/>
    <x v="578"/>
    <x v="1681"/>
    <x v="1921"/>
  </r>
  <r>
    <x v="3"/>
    <x v="0"/>
    <x v="2"/>
    <x v="106"/>
    <x v="1"/>
    <x v="93"/>
    <x v="1682"/>
    <x v="1922"/>
  </r>
  <r>
    <x v="0"/>
    <x v="0"/>
    <x v="0"/>
    <x v="3"/>
    <x v="16"/>
    <x v="224"/>
    <x v="1683"/>
    <x v="1923"/>
  </r>
  <r>
    <x v="1"/>
    <x v="0"/>
    <x v="1"/>
    <x v="245"/>
    <x v="13"/>
    <x v="750"/>
    <x v="1684"/>
    <x v="1924"/>
  </r>
  <r>
    <x v="0"/>
    <x v="0"/>
    <x v="2"/>
    <x v="208"/>
    <x v="11"/>
    <x v="430"/>
    <x v="1685"/>
    <x v="1925"/>
  </r>
  <r>
    <x v="2"/>
    <x v="0"/>
    <x v="2"/>
    <x v="8"/>
    <x v="0"/>
    <x v="8"/>
    <x v="1260"/>
    <x v="1926"/>
  </r>
  <r>
    <x v="3"/>
    <x v="0"/>
    <x v="2"/>
    <x v="134"/>
    <x v="3"/>
    <x v="131"/>
    <x v="1151"/>
    <x v="1927"/>
  </r>
  <r>
    <x v="1"/>
    <x v="0"/>
    <x v="1"/>
    <x v="15"/>
    <x v="10"/>
    <x v="183"/>
    <x v="1686"/>
    <x v="1928"/>
  </r>
  <r>
    <x v="3"/>
    <x v="0"/>
    <x v="2"/>
    <x v="90"/>
    <x v="2"/>
    <x v="2"/>
    <x v="701"/>
    <x v="1929"/>
  </r>
  <r>
    <x v="1"/>
    <x v="0"/>
    <x v="1"/>
    <x v="32"/>
    <x v="11"/>
    <x v="60"/>
    <x v="1574"/>
    <x v="1930"/>
  </r>
  <r>
    <x v="1"/>
    <x v="0"/>
    <x v="1"/>
    <x v="202"/>
    <x v="5"/>
    <x v="751"/>
    <x v="1687"/>
    <x v="1931"/>
  </r>
  <r>
    <x v="2"/>
    <x v="0"/>
    <x v="2"/>
    <x v="169"/>
    <x v="7"/>
    <x v="752"/>
    <x v="1688"/>
    <x v="1932"/>
  </r>
  <r>
    <x v="0"/>
    <x v="0"/>
    <x v="0"/>
    <x v="16"/>
    <x v="6"/>
    <x v="557"/>
    <x v="1689"/>
    <x v="1933"/>
  </r>
  <r>
    <x v="1"/>
    <x v="0"/>
    <x v="1"/>
    <x v="129"/>
    <x v="12"/>
    <x v="37"/>
    <x v="1690"/>
    <x v="1934"/>
  </r>
  <r>
    <x v="3"/>
    <x v="0"/>
    <x v="2"/>
    <x v="250"/>
    <x v="5"/>
    <x v="510"/>
    <x v="1691"/>
    <x v="1935"/>
  </r>
  <r>
    <x v="3"/>
    <x v="0"/>
    <x v="2"/>
    <x v="97"/>
    <x v="11"/>
    <x v="93"/>
    <x v="1692"/>
    <x v="1936"/>
  </r>
  <r>
    <x v="1"/>
    <x v="0"/>
    <x v="2"/>
    <x v="223"/>
    <x v="7"/>
    <x v="27"/>
    <x v="436"/>
    <x v="1937"/>
  </r>
  <r>
    <x v="0"/>
    <x v="0"/>
    <x v="0"/>
    <x v="147"/>
    <x v="6"/>
    <x v="646"/>
    <x v="1693"/>
    <x v="1938"/>
  </r>
  <r>
    <x v="0"/>
    <x v="0"/>
    <x v="2"/>
    <x v="140"/>
    <x v="8"/>
    <x v="328"/>
    <x v="1694"/>
    <x v="1939"/>
  </r>
  <r>
    <x v="1"/>
    <x v="0"/>
    <x v="2"/>
    <x v="152"/>
    <x v="11"/>
    <x v="753"/>
    <x v="1686"/>
    <x v="1940"/>
  </r>
  <r>
    <x v="3"/>
    <x v="0"/>
    <x v="2"/>
    <x v="127"/>
    <x v="16"/>
    <x v="754"/>
    <x v="1695"/>
    <x v="1941"/>
  </r>
  <r>
    <x v="0"/>
    <x v="0"/>
    <x v="2"/>
    <x v="198"/>
    <x v="17"/>
    <x v="351"/>
    <x v="1696"/>
    <x v="1942"/>
  </r>
  <r>
    <x v="2"/>
    <x v="0"/>
    <x v="2"/>
    <x v="138"/>
    <x v="16"/>
    <x v="37"/>
    <x v="1697"/>
    <x v="1943"/>
  </r>
  <r>
    <x v="1"/>
    <x v="0"/>
    <x v="2"/>
    <x v="248"/>
    <x v="11"/>
    <x v="649"/>
    <x v="56"/>
    <x v="1944"/>
  </r>
  <r>
    <x v="0"/>
    <x v="0"/>
    <x v="0"/>
    <x v="122"/>
    <x v="13"/>
    <x v="710"/>
    <x v="1698"/>
    <x v="1945"/>
  </r>
  <r>
    <x v="0"/>
    <x v="0"/>
    <x v="0"/>
    <x v="94"/>
    <x v="2"/>
    <x v="2"/>
    <x v="1699"/>
    <x v="1946"/>
  </r>
  <r>
    <x v="0"/>
    <x v="0"/>
    <x v="2"/>
    <x v="25"/>
    <x v="0"/>
    <x v="755"/>
    <x v="1700"/>
    <x v="1947"/>
  </r>
  <r>
    <x v="0"/>
    <x v="0"/>
    <x v="2"/>
    <x v="226"/>
    <x v="16"/>
    <x v="376"/>
    <x v="1701"/>
    <x v="1948"/>
  </r>
  <r>
    <x v="1"/>
    <x v="0"/>
    <x v="2"/>
    <x v="38"/>
    <x v="11"/>
    <x v="35"/>
    <x v="1702"/>
    <x v="1949"/>
  </r>
  <r>
    <x v="0"/>
    <x v="0"/>
    <x v="0"/>
    <x v="180"/>
    <x v="11"/>
    <x v="119"/>
    <x v="379"/>
    <x v="1950"/>
  </r>
  <r>
    <x v="3"/>
    <x v="0"/>
    <x v="2"/>
    <x v="12"/>
    <x v="3"/>
    <x v="593"/>
    <x v="1703"/>
    <x v="1951"/>
  </r>
  <r>
    <x v="2"/>
    <x v="0"/>
    <x v="2"/>
    <x v="25"/>
    <x v="1"/>
    <x v="373"/>
    <x v="1704"/>
    <x v="1952"/>
  </r>
  <r>
    <x v="1"/>
    <x v="0"/>
    <x v="2"/>
    <x v="222"/>
    <x v="7"/>
    <x v="462"/>
    <x v="1705"/>
    <x v="1953"/>
  </r>
  <r>
    <x v="3"/>
    <x v="0"/>
    <x v="2"/>
    <x v="183"/>
    <x v="5"/>
    <x v="251"/>
    <x v="1706"/>
    <x v="1954"/>
  </r>
  <r>
    <x v="0"/>
    <x v="0"/>
    <x v="2"/>
    <x v="4"/>
    <x v="30"/>
    <x v="756"/>
    <x v="1707"/>
    <x v="1955"/>
  </r>
  <r>
    <x v="0"/>
    <x v="0"/>
    <x v="0"/>
    <x v="109"/>
    <x v="17"/>
    <x v="235"/>
    <x v="1708"/>
    <x v="1956"/>
  </r>
  <r>
    <x v="1"/>
    <x v="0"/>
    <x v="2"/>
    <x v="62"/>
    <x v="1"/>
    <x v="200"/>
    <x v="1709"/>
    <x v="1957"/>
  </r>
  <r>
    <x v="3"/>
    <x v="0"/>
    <x v="2"/>
    <x v="44"/>
    <x v="6"/>
    <x v="694"/>
    <x v="1710"/>
    <x v="1958"/>
  </r>
  <r>
    <x v="2"/>
    <x v="0"/>
    <x v="2"/>
    <x v="158"/>
    <x v="1"/>
    <x v="757"/>
    <x v="1711"/>
    <x v="1959"/>
  </r>
  <r>
    <x v="1"/>
    <x v="0"/>
    <x v="1"/>
    <x v="27"/>
    <x v="7"/>
    <x v="131"/>
    <x v="1712"/>
    <x v="1960"/>
  </r>
  <r>
    <x v="1"/>
    <x v="0"/>
    <x v="1"/>
    <x v="204"/>
    <x v="16"/>
    <x v="110"/>
    <x v="1713"/>
    <x v="1961"/>
  </r>
  <r>
    <x v="1"/>
    <x v="0"/>
    <x v="1"/>
    <x v="141"/>
    <x v="0"/>
    <x v="237"/>
    <x v="739"/>
    <x v="1962"/>
  </r>
  <r>
    <x v="1"/>
    <x v="0"/>
    <x v="1"/>
    <x v="163"/>
    <x v="20"/>
    <x v="572"/>
    <x v="1103"/>
    <x v="1963"/>
  </r>
  <r>
    <x v="0"/>
    <x v="0"/>
    <x v="2"/>
    <x v="181"/>
    <x v="18"/>
    <x v="475"/>
    <x v="1714"/>
    <x v="1964"/>
  </r>
  <r>
    <x v="3"/>
    <x v="0"/>
    <x v="2"/>
    <x v="95"/>
    <x v="2"/>
    <x v="2"/>
    <x v="1715"/>
    <x v="1965"/>
  </r>
  <r>
    <x v="0"/>
    <x v="0"/>
    <x v="2"/>
    <x v="182"/>
    <x v="19"/>
    <x v="349"/>
    <x v="1716"/>
    <x v="1966"/>
  </r>
  <r>
    <x v="2"/>
    <x v="0"/>
    <x v="2"/>
    <x v="87"/>
    <x v="22"/>
    <x v="699"/>
    <x v="522"/>
    <x v="1967"/>
  </r>
  <r>
    <x v="1"/>
    <x v="0"/>
    <x v="1"/>
    <x v="77"/>
    <x v="15"/>
    <x v="81"/>
    <x v="405"/>
    <x v="1968"/>
  </r>
  <r>
    <x v="0"/>
    <x v="0"/>
    <x v="2"/>
    <x v="205"/>
    <x v="21"/>
    <x v="758"/>
    <x v="1717"/>
    <x v="1969"/>
  </r>
  <r>
    <x v="0"/>
    <x v="0"/>
    <x v="2"/>
    <x v="244"/>
    <x v="13"/>
    <x v="363"/>
    <x v="707"/>
    <x v="1970"/>
  </r>
  <r>
    <x v="2"/>
    <x v="0"/>
    <x v="2"/>
    <x v="196"/>
    <x v="6"/>
    <x v="201"/>
    <x v="1718"/>
    <x v="1971"/>
  </r>
  <r>
    <x v="2"/>
    <x v="0"/>
    <x v="2"/>
    <x v="52"/>
    <x v="17"/>
    <x v="185"/>
    <x v="1719"/>
    <x v="1972"/>
  </r>
  <r>
    <x v="0"/>
    <x v="0"/>
    <x v="2"/>
    <x v="84"/>
    <x v="0"/>
    <x v="759"/>
    <x v="1720"/>
    <x v="1973"/>
  </r>
  <r>
    <x v="0"/>
    <x v="0"/>
    <x v="2"/>
    <x v="100"/>
    <x v="6"/>
    <x v="599"/>
    <x v="1721"/>
    <x v="1974"/>
  </r>
  <r>
    <x v="2"/>
    <x v="0"/>
    <x v="2"/>
    <x v="62"/>
    <x v="7"/>
    <x v="481"/>
    <x v="506"/>
    <x v="1975"/>
  </r>
  <r>
    <x v="1"/>
    <x v="0"/>
    <x v="2"/>
    <x v="42"/>
    <x v="17"/>
    <x v="358"/>
    <x v="844"/>
    <x v="1976"/>
  </r>
  <r>
    <x v="1"/>
    <x v="0"/>
    <x v="2"/>
    <x v="38"/>
    <x v="2"/>
    <x v="2"/>
    <x v="1722"/>
    <x v="1977"/>
  </r>
  <r>
    <x v="2"/>
    <x v="0"/>
    <x v="2"/>
    <x v="9"/>
    <x v="13"/>
    <x v="600"/>
    <x v="1723"/>
    <x v="1978"/>
  </r>
  <r>
    <x v="3"/>
    <x v="0"/>
    <x v="2"/>
    <x v="48"/>
    <x v="24"/>
    <x v="487"/>
    <x v="1724"/>
    <x v="1979"/>
  </r>
  <r>
    <x v="3"/>
    <x v="0"/>
    <x v="2"/>
    <x v="48"/>
    <x v="3"/>
    <x v="211"/>
    <x v="1725"/>
    <x v="1980"/>
  </r>
  <r>
    <x v="1"/>
    <x v="0"/>
    <x v="1"/>
    <x v="169"/>
    <x v="15"/>
    <x v="511"/>
    <x v="1726"/>
    <x v="1981"/>
  </r>
  <r>
    <x v="3"/>
    <x v="0"/>
    <x v="2"/>
    <x v="200"/>
    <x v="13"/>
    <x v="552"/>
    <x v="415"/>
    <x v="1982"/>
  </r>
  <r>
    <x v="0"/>
    <x v="0"/>
    <x v="2"/>
    <x v="143"/>
    <x v="17"/>
    <x v="194"/>
    <x v="1122"/>
    <x v="1983"/>
  </r>
  <r>
    <x v="0"/>
    <x v="0"/>
    <x v="2"/>
    <x v="0"/>
    <x v="6"/>
    <x v="101"/>
    <x v="1727"/>
    <x v="1984"/>
  </r>
  <r>
    <x v="0"/>
    <x v="0"/>
    <x v="2"/>
    <x v="217"/>
    <x v="16"/>
    <x v="687"/>
    <x v="1728"/>
    <x v="1985"/>
  </r>
  <r>
    <x v="2"/>
    <x v="0"/>
    <x v="2"/>
    <x v="165"/>
    <x v="0"/>
    <x v="138"/>
    <x v="1729"/>
    <x v="1986"/>
  </r>
  <r>
    <x v="0"/>
    <x v="0"/>
    <x v="0"/>
    <x v="174"/>
    <x v="17"/>
    <x v="760"/>
    <x v="1730"/>
    <x v="1987"/>
  </r>
  <r>
    <x v="1"/>
    <x v="0"/>
    <x v="2"/>
    <x v="102"/>
    <x v="24"/>
    <x v="299"/>
    <x v="1731"/>
    <x v="1988"/>
  </r>
  <r>
    <x v="1"/>
    <x v="0"/>
    <x v="2"/>
    <x v="221"/>
    <x v="1"/>
    <x v="330"/>
    <x v="1732"/>
    <x v="1989"/>
  </r>
  <r>
    <x v="1"/>
    <x v="0"/>
    <x v="1"/>
    <x v="44"/>
    <x v="10"/>
    <x v="670"/>
    <x v="266"/>
    <x v="1990"/>
  </r>
  <r>
    <x v="2"/>
    <x v="0"/>
    <x v="2"/>
    <x v="250"/>
    <x v="6"/>
    <x v="61"/>
    <x v="1168"/>
    <x v="1991"/>
  </r>
  <r>
    <x v="1"/>
    <x v="0"/>
    <x v="2"/>
    <x v="69"/>
    <x v="20"/>
    <x v="614"/>
    <x v="256"/>
    <x v="1992"/>
  </r>
  <r>
    <x v="0"/>
    <x v="0"/>
    <x v="2"/>
    <x v="14"/>
    <x v="7"/>
    <x v="257"/>
    <x v="844"/>
    <x v="1993"/>
  </r>
  <r>
    <x v="2"/>
    <x v="0"/>
    <x v="2"/>
    <x v="27"/>
    <x v="15"/>
    <x v="761"/>
    <x v="1733"/>
    <x v="1994"/>
  </r>
  <r>
    <x v="3"/>
    <x v="0"/>
    <x v="2"/>
    <x v="120"/>
    <x v="11"/>
    <x v="112"/>
    <x v="1734"/>
    <x v="1995"/>
  </r>
  <r>
    <x v="1"/>
    <x v="0"/>
    <x v="2"/>
    <x v="204"/>
    <x v="0"/>
    <x v="221"/>
    <x v="1735"/>
    <x v="1996"/>
  </r>
  <r>
    <x v="1"/>
    <x v="0"/>
    <x v="1"/>
    <x v="25"/>
    <x v="17"/>
    <x v="80"/>
    <x v="195"/>
    <x v="1997"/>
  </r>
  <r>
    <x v="2"/>
    <x v="0"/>
    <x v="2"/>
    <x v="232"/>
    <x v="10"/>
    <x v="436"/>
    <x v="1109"/>
    <x v="1998"/>
  </r>
  <r>
    <x v="1"/>
    <x v="0"/>
    <x v="1"/>
    <x v="17"/>
    <x v="17"/>
    <x v="496"/>
    <x v="1736"/>
    <x v="1999"/>
  </r>
  <r>
    <x v="0"/>
    <x v="0"/>
    <x v="2"/>
    <x v="189"/>
    <x v="2"/>
    <x v="2"/>
    <x v="729"/>
    <x v="2000"/>
  </r>
  <r>
    <x v="1"/>
    <x v="0"/>
    <x v="2"/>
    <x v="181"/>
    <x v="28"/>
    <x v="199"/>
    <x v="1737"/>
    <x v="2001"/>
  </r>
  <r>
    <x v="1"/>
    <x v="0"/>
    <x v="2"/>
    <x v="224"/>
    <x v="1"/>
    <x v="56"/>
    <x v="896"/>
    <x v="2002"/>
  </r>
  <r>
    <x v="3"/>
    <x v="0"/>
    <x v="2"/>
    <x v="86"/>
    <x v="0"/>
    <x v="357"/>
    <x v="1738"/>
    <x v="2003"/>
  </r>
  <r>
    <x v="1"/>
    <x v="0"/>
    <x v="1"/>
    <x v="171"/>
    <x v="25"/>
    <x v="444"/>
    <x v="1739"/>
    <x v="2004"/>
  </r>
  <r>
    <x v="1"/>
    <x v="0"/>
    <x v="1"/>
    <x v="176"/>
    <x v="22"/>
    <x v="229"/>
    <x v="1595"/>
    <x v="2005"/>
  </r>
  <r>
    <x v="0"/>
    <x v="0"/>
    <x v="2"/>
    <x v="138"/>
    <x v="25"/>
    <x v="701"/>
    <x v="1740"/>
    <x v="2006"/>
  </r>
  <r>
    <x v="0"/>
    <x v="0"/>
    <x v="2"/>
    <x v="231"/>
    <x v="15"/>
    <x v="409"/>
    <x v="1741"/>
    <x v="2007"/>
  </r>
  <r>
    <x v="0"/>
    <x v="0"/>
    <x v="0"/>
    <x v="99"/>
    <x v="1"/>
    <x v="429"/>
    <x v="1742"/>
    <x v="2008"/>
  </r>
  <r>
    <x v="2"/>
    <x v="0"/>
    <x v="2"/>
    <x v="132"/>
    <x v="14"/>
    <x v="52"/>
    <x v="1670"/>
    <x v="2009"/>
  </r>
  <r>
    <x v="0"/>
    <x v="0"/>
    <x v="0"/>
    <x v="131"/>
    <x v="8"/>
    <x v="721"/>
    <x v="1743"/>
    <x v="2010"/>
  </r>
  <r>
    <x v="3"/>
    <x v="0"/>
    <x v="2"/>
    <x v="212"/>
    <x v="6"/>
    <x v="762"/>
    <x v="1187"/>
    <x v="2011"/>
  </r>
  <r>
    <x v="1"/>
    <x v="0"/>
    <x v="2"/>
    <x v="173"/>
    <x v="0"/>
    <x v="213"/>
    <x v="1744"/>
    <x v="2012"/>
  </r>
  <r>
    <x v="2"/>
    <x v="0"/>
    <x v="2"/>
    <x v="96"/>
    <x v="0"/>
    <x v="504"/>
    <x v="1745"/>
    <x v="2013"/>
  </r>
  <r>
    <x v="3"/>
    <x v="0"/>
    <x v="2"/>
    <x v="190"/>
    <x v="8"/>
    <x v="41"/>
    <x v="287"/>
    <x v="2014"/>
  </r>
  <r>
    <x v="2"/>
    <x v="0"/>
    <x v="2"/>
    <x v="43"/>
    <x v="22"/>
    <x v="145"/>
    <x v="1746"/>
    <x v="2015"/>
  </r>
  <r>
    <x v="3"/>
    <x v="0"/>
    <x v="2"/>
    <x v="153"/>
    <x v="5"/>
    <x v="269"/>
    <x v="1747"/>
    <x v="2016"/>
  </r>
  <r>
    <x v="0"/>
    <x v="0"/>
    <x v="0"/>
    <x v="65"/>
    <x v="7"/>
    <x v="760"/>
    <x v="1748"/>
    <x v="2017"/>
  </r>
  <r>
    <x v="3"/>
    <x v="0"/>
    <x v="2"/>
    <x v="26"/>
    <x v="1"/>
    <x v="259"/>
    <x v="1749"/>
    <x v="2018"/>
  </r>
  <r>
    <x v="0"/>
    <x v="0"/>
    <x v="2"/>
    <x v="44"/>
    <x v="11"/>
    <x v="134"/>
    <x v="1750"/>
    <x v="2019"/>
  </r>
  <r>
    <x v="0"/>
    <x v="0"/>
    <x v="2"/>
    <x v="193"/>
    <x v="16"/>
    <x v="107"/>
    <x v="1751"/>
    <x v="2020"/>
  </r>
  <r>
    <x v="1"/>
    <x v="0"/>
    <x v="1"/>
    <x v="214"/>
    <x v="10"/>
    <x v="380"/>
    <x v="1752"/>
    <x v="2021"/>
  </r>
  <r>
    <x v="1"/>
    <x v="0"/>
    <x v="2"/>
    <x v="210"/>
    <x v="13"/>
    <x v="400"/>
    <x v="1753"/>
    <x v="2022"/>
  </r>
  <r>
    <x v="0"/>
    <x v="0"/>
    <x v="0"/>
    <x v="2"/>
    <x v="5"/>
    <x v="68"/>
    <x v="1754"/>
    <x v="2023"/>
  </r>
  <r>
    <x v="2"/>
    <x v="0"/>
    <x v="2"/>
    <x v="60"/>
    <x v="17"/>
    <x v="312"/>
    <x v="1755"/>
    <x v="2024"/>
  </r>
  <r>
    <x v="1"/>
    <x v="0"/>
    <x v="2"/>
    <x v="138"/>
    <x v="14"/>
    <x v="131"/>
    <x v="1756"/>
    <x v="2025"/>
  </r>
  <r>
    <x v="0"/>
    <x v="0"/>
    <x v="2"/>
    <x v="92"/>
    <x v="1"/>
    <x v="244"/>
    <x v="1757"/>
    <x v="2026"/>
  </r>
  <r>
    <x v="0"/>
    <x v="0"/>
    <x v="0"/>
    <x v="141"/>
    <x v="24"/>
    <x v="212"/>
    <x v="1758"/>
    <x v="2027"/>
  </r>
  <r>
    <x v="0"/>
    <x v="0"/>
    <x v="0"/>
    <x v="159"/>
    <x v="4"/>
    <x v="39"/>
    <x v="1759"/>
    <x v="2028"/>
  </r>
  <r>
    <x v="3"/>
    <x v="0"/>
    <x v="2"/>
    <x v="129"/>
    <x v="6"/>
    <x v="265"/>
    <x v="1760"/>
    <x v="2029"/>
  </r>
  <r>
    <x v="1"/>
    <x v="0"/>
    <x v="1"/>
    <x v="14"/>
    <x v="10"/>
    <x v="13"/>
    <x v="1761"/>
    <x v="2030"/>
  </r>
  <r>
    <x v="0"/>
    <x v="0"/>
    <x v="0"/>
    <x v="176"/>
    <x v="5"/>
    <x v="596"/>
    <x v="746"/>
    <x v="2031"/>
  </r>
  <r>
    <x v="3"/>
    <x v="0"/>
    <x v="2"/>
    <x v="98"/>
    <x v="14"/>
    <x v="103"/>
    <x v="1762"/>
    <x v="2032"/>
  </r>
  <r>
    <x v="0"/>
    <x v="0"/>
    <x v="2"/>
    <x v="79"/>
    <x v="2"/>
    <x v="2"/>
    <x v="1763"/>
    <x v="2033"/>
  </r>
  <r>
    <x v="0"/>
    <x v="0"/>
    <x v="0"/>
    <x v="49"/>
    <x v="7"/>
    <x v="137"/>
    <x v="1764"/>
    <x v="2034"/>
  </r>
  <r>
    <x v="2"/>
    <x v="0"/>
    <x v="2"/>
    <x v="219"/>
    <x v="11"/>
    <x v="537"/>
    <x v="1765"/>
    <x v="2035"/>
  </r>
  <r>
    <x v="0"/>
    <x v="0"/>
    <x v="2"/>
    <x v="174"/>
    <x v="16"/>
    <x v="705"/>
    <x v="1766"/>
    <x v="2036"/>
  </r>
  <r>
    <x v="1"/>
    <x v="0"/>
    <x v="2"/>
    <x v="119"/>
    <x v="12"/>
    <x v="699"/>
    <x v="139"/>
    <x v="268"/>
  </r>
  <r>
    <x v="1"/>
    <x v="0"/>
    <x v="1"/>
    <x v="96"/>
    <x v="12"/>
    <x v="763"/>
    <x v="656"/>
    <x v="2037"/>
  </r>
  <r>
    <x v="2"/>
    <x v="0"/>
    <x v="2"/>
    <x v="210"/>
    <x v="2"/>
    <x v="2"/>
    <x v="271"/>
    <x v="2038"/>
  </r>
  <r>
    <x v="1"/>
    <x v="0"/>
    <x v="2"/>
    <x v="208"/>
    <x v="16"/>
    <x v="764"/>
    <x v="547"/>
    <x v="2039"/>
  </r>
  <r>
    <x v="0"/>
    <x v="0"/>
    <x v="2"/>
    <x v="16"/>
    <x v="24"/>
    <x v="575"/>
    <x v="1767"/>
    <x v="2040"/>
  </r>
  <r>
    <x v="0"/>
    <x v="0"/>
    <x v="0"/>
    <x v="137"/>
    <x v="5"/>
    <x v="135"/>
    <x v="1768"/>
    <x v="2041"/>
  </r>
  <r>
    <x v="0"/>
    <x v="0"/>
    <x v="0"/>
    <x v="196"/>
    <x v="0"/>
    <x v="364"/>
    <x v="1769"/>
    <x v="2042"/>
  </r>
  <r>
    <x v="3"/>
    <x v="0"/>
    <x v="2"/>
    <x v="246"/>
    <x v="26"/>
    <x v="195"/>
    <x v="1770"/>
    <x v="2043"/>
  </r>
  <r>
    <x v="2"/>
    <x v="0"/>
    <x v="2"/>
    <x v="235"/>
    <x v="10"/>
    <x v="60"/>
    <x v="1771"/>
    <x v="2044"/>
  </r>
  <r>
    <x v="0"/>
    <x v="0"/>
    <x v="0"/>
    <x v="20"/>
    <x v="17"/>
    <x v="578"/>
    <x v="1772"/>
    <x v="2045"/>
  </r>
  <r>
    <x v="1"/>
    <x v="0"/>
    <x v="1"/>
    <x v="91"/>
    <x v="13"/>
    <x v="387"/>
    <x v="1773"/>
    <x v="2046"/>
  </r>
  <r>
    <x v="0"/>
    <x v="0"/>
    <x v="2"/>
    <x v="156"/>
    <x v="10"/>
    <x v="143"/>
    <x v="1774"/>
    <x v="2047"/>
  </r>
  <r>
    <x v="0"/>
    <x v="0"/>
    <x v="2"/>
    <x v="23"/>
    <x v="20"/>
    <x v="587"/>
    <x v="1775"/>
    <x v="2048"/>
  </r>
  <r>
    <x v="0"/>
    <x v="0"/>
    <x v="2"/>
    <x v="201"/>
    <x v="26"/>
    <x v="225"/>
    <x v="1776"/>
    <x v="2049"/>
  </r>
  <r>
    <x v="0"/>
    <x v="0"/>
    <x v="0"/>
    <x v="119"/>
    <x v="0"/>
    <x v="17"/>
    <x v="971"/>
    <x v="2050"/>
  </r>
  <r>
    <x v="1"/>
    <x v="0"/>
    <x v="2"/>
    <x v="223"/>
    <x v="24"/>
    <x v="247"/>
    <x v="1777"/>
    <x v="2051"/>
  </r>
  <r>
    <x v="2"/>
    <x v="0"/>
    <x v="2"/>
    <x v="154"/>
    <x v="16"/>
    <x v="535"/>
    <x v="1778"/>
    <x v="2052"/>
  </r>
  <r>
    <x v="1"/>
    <x v="0"/>
    <x v="2"/>
    <x v="22"/>
    <x v="17"/>
    <x v="647"/>
    <x v="1779"/>
    <x v="2053"/>
  </r>
  <r>
    <x v="2"/>
    <x v="0"/>
    <x v="2"/>
    <x v="165"/>
    <x v="3"/>
    <x v="114"/>
    <x v="1780"/>
    <x v="2054"/>
  </r>
  <r>
    <x v="1"/>
    <x v="0"/>
    <x v="1"/>
    <x v="57"/>
    <x v="17"/>
    <x v="56"/>
    <x v="1781"/>
    <x v="2055"/>
  </r>
  <r>
    <x v="3"/>
    <x v="0"/>
    <x v="2"/>
    <x v="31"/>
    <x v="26"/>
    <x v="117"/>
    <x v="1782"/>
    <x v="2056"/>
  </r>
  <r>
    <x v="2"/>
    <x v="0"/>
    <x v="2"/>
    <x v="12"/>
    <x v="11"/>
    <x v="765"/>
    <x v="1783"/>
    <x v="2057"/>
  </r>
  <r>
    <x v="2"/>
    <x v="0"/>
    <x v="2"/>
    <x v="219"/>
    <x v="14"/>
    <x v="26"/>
    <x v="1660"/>
    <x v="2058"/>
  </r>
  <r>
    <x v="0"/>
    <x v="0"/>
    <x v="0"/>
    <x v="7"/>
    <x v="14"/>
    <x v="517"/>
    <x v="1627"/>
    <x v="2059"/>
  </r>
  <r>
    <x v="0"/>
    <x v="0"/>
    <x v="0"/>
    <x v="81"/>
    <x v="13"/>
    <x v="498"/>
    <x v="1784"/>
    <x v="2060"/>
  </r>
  <r>
    <x v="1"/>
    <x v="0"/>
    <x v="1"/>
    <x v="26"/>
    <x v="2"/>
    <x v="2"/>
    <x v="1785"/>
    <x v="2061"/>
  </r>
  <r>
    <x v="0"/>
    <x v="0"/>
    <x v="0"/>
    <x v="207"/>
    <x v="14"/>
    <x v="413"/>
    <x v="1786"/>
    <x v="2062"/>
  </r>
  <r>
    <x v="1"/>
    <x v="0"/>
    <x v="2"/>
    <x v="87"/>
    <x v="11"/>
    <x v="38"/>
    <x v="944"/>
    <x v="2063"/>
  </r>
  <r>
    <x v="1"/>
    <x v="0"/>
    <x v="1"/>
    <x v="39"/>
    <x v="13"/>
    <x v="356"/>
    <x v="1787"/>
    <x v="2064"/>
  </r>
  <r>
    <x v="3"/>
    <x v="0"/>
    <x v="2"/>
    <x v="109"/>
    <x v="11"/>
    <x v="254"/>
    <x v="1788"/>
    <x v="2065"/>
  </r>
  <r>
    <x v="1"/>
    <x v="0"/>
    <x v="2"/>
    <x v="153"/>
    <x v="24"/>
    <x v="423"/>
    <x v="1789"/>
    <x v="2066"/>
  </r>
  <r>
    <x v="0"/>
    <x v="0"/>
    <x v="2"/>
    <x v="173"/>
    <x v="22"/>
    <x v="245"/>
    <x v="1790"/>
    <x v="2067"/>
  </r>
  <r>
    <x v="1"/>
    <x v="0"/>
    <x v="1"/>
    <x v="158"/>
    <x v="17"/>
    <x v="175"/>
    <x v="1791"/>
    <x v="2068"/>
  </r>
  <r>
    <x v="3"/>
    <x v="0"/>
    <x v="2"/>
    <x v="244"/>
    <x v="13"/>
    <x v="363"/>
    <x v="1792"/>
    <x v="2069"/>
  </r>
  <r>
    <x v="2"/>
    <x v="0"/>
    <x v="2"/>
    <x v="195"/>
    <x v="17"/>
    <x v="290"/>
    <x v="1793"/>
    <x v="2070"/>
  </r>
  <r>
    <x v="0"/>
    <x v="0"/>
    <x v="2"/>
    <x v="167"/>
    <x v="5"/>
    <x v="766"/>
    <x v="1794"/>
    <x v="2071"/>
  </r>
  <r>
    <x v="3"/>
    <x v="0"/>
    <x v="2"/>
    <x v="43"/>
    <x v="13"/>
    <x v="396"/>
    <x v="1795"/>
    <x v="2072"/>
  </r>
  <r>
    <x v="0"/>
    <x v="0"/>
    <x v="2"/>
    <x v="58"/>
    <x v="0"/>
    <x v="259"/>
    <x v="1605"/>
    <x v="2073"/>
  </r>
  <r>
    <x v="0"/>
    <x v="0"/>
    <x v="2"/>
    <x v="141"/>
    <x v="13"/>
    <x v="178"/>
    <x v="1796"/>
    <x v="2074"/>
  </r>
  <r>
    <x v="2"/>
    <x v="0"/>
    <x v="2"/>
    <x v="50"/>
    <x v="15"/>
    <x v="285"/>
    <x v="1797"/>
    <x v="2075"/>
  </r>
  <r>
    <x v="1"/>
    <x v="0"/>
    <x v="1"/>
    <x v="239"/>
    <x v="2"/>
    <x v="2"/>
    <x v="1798"/>
    <x v="2076"/>
  </r>
  <r>
    <x v="1"/>
    <x v="0"/>
    <x v="1"/>
    <x v="137"/>
    <x v="13"/>
    <x v="577"/>
    <x v="1799"/>
    <x v="2077"/>
  </r>
  <r>
    <x v="2"/>
    <x v="0"/>
    <x v="2"/>
    <x v="217"/>
    <x v="24"/>
    <x v="82"/>
    <x v="1800"/>
    <x v="2078"/>
  </r>
  <r>
    <x v="3"/>
    <x v="0"/>
    <x v="2"/>
    <x v="156"/>
    <x v="2"/>
    <x v="2"/>
    <x v="1801"/>
    <x v="2079"/>
  </r>
  <r>
    <x v="0"/>
    <x v="0"/>
    <x v="2"/>
    <x v="57"/>
    <x v="8"/>
    <x v="744"/>
    <x v="1546"/>
    <x v="2080"/>
  </r>
  <r>
    <x v="3"/>
    <x v="0"/>
    <x v="2"/>
    <x v="209"/>
    <x v="13"/>
    <x v="767"/>
    <x v="1391"/>
    <x v="2081"/>
  </r>
  <r>
    <x v="1"/>
    <x v="0"/>
    <x v="1"/>
    <x v="109"/>
    <x v="2"/>
    <x v="2"/>
    <x v="1802"/>
    <x v="2082"/>
  </r>
  <r>
    <x v="2"/>
    <x v="0"/>
    <x v="2"/>
    <x v="161"/>
    <x v="2"/>
    <x v="2"/>
    <x v="1803"/>
    <x v="2083"/>
  </r>
  <r>
    <x v="1"/>
    <x v="0"/>
    <x v="2"/>
    <x v="5"/>
    <x v="22"/>
    <x v="203"/>
    <x v="1804"/>
    <x v="2084"/>
  </r>
  <r>
    <x v="1"/>
    <x v="0"/>
    <x v="2"/>
    <x v="133"/>
    <x v="5"/>
    <x v="436"/>
    <x v="1149"/>
    <x v="2085"/>
  </r>
  <r>
    <x v="3"/>
    <x v="0"/>
    <x v="2"/>
    <x v="226"/>
    <x v="22"/>
    <x v="392"/>
    <x v="1805"/>
    <x v="2086"/>
  </r>
  <r>
    <x v="1"/>
    <x v="0"/>
    <x v="1"/>
    <x v="105"/>
    <x v="2"/>
    <x v="2"/>
    <x v="290"/>
    <x v="2087"/>
  </r>
  <r>
    <x v="3"/>
    <x v="0"/>
    <x v="2"/>
    <x v="131"/>
    <x v="9"/>
    <x v="362"/>
    <x v="1806"/>
    <x v="2088"/>
  </r>
  <r>
    <x v="3"/>
    <x v="0"/>
    <x v="2"/>
    <x v="246"/>
    <x v="18"/>
    <x v="316"/>
    <x v="1807"/>
    <x v="2089"/>
  </r>
  <r>
    <x v="1"/>
    <x v="0"/>
    <x v="1"/>
    <x v="104"/>
    <x v="2"/>
    <x v="2"/>
    <x v="1808"/>
    <x v="2090"/>
  </r>
  <r>
    <x v="1"/>
    <x v="0"/>
    <x v="1"/>
    <x v="139"/>
    <x v="10"/>
    <x v="768"/>
    <x v="1809"/>
    <x v="2091"/>
  </r>
  <r>
    <x v="0"/>
    <x v="0"/>
    <x v="0"/>
    <x v="29"/>
    <x v="10"/>
    <x v="407"/>
    <x v="781"/>
    <x v="2092"/>
  </r>
  <r>
    <x v="0"/>
    <x v="0"/>
    <x v="0"/>
    <x v="142"/>
    <x v="14"/>
    <x v="41"/>
    <x v="1810"/>
    <x v="2093"/>
  </r>
  <r>
    <x v="1"/>
    <x v="0"/>
    <x v="2"/>
    <x v="0"/>
    <x v="2"/>
    <x v="2"/>
    <x v="116"/>
    <x v="2094"/>
  </r>
  <r>
    <x v="1"/>
    <x v="0"/>
    <x v="2"/>
    <x v="235"/>
    <x v="10"/>
    <x v="60"/>
    <x v="1811"/>
    <x v="2095"/>
  </r>
  <r>
    <x v="0"/>
    <x v="0"/>
    <x v="0"/>
    <x v="91"/>
    <x v="15"/>
    <x v="157"/>
    <x v="790"/>
    <x v="2096"/>
  </r>
  <r>
    <x v="2"/>
    <x v="0"/>
    <x v="2"/>
    <x v="227"/>
    <x v="5"/>
    <x v="643"/>
    <x v="1812"/>
    <x v="2097"/>
  </r>
  <r>
    <x v="3"/>
    <x v="0"/>
    <x v="2"/>
    <x v="218"/>
    <x v="15"/>
    <x v="309"/>
    <x v="1761"/>
    <x v="2098"/>
  </r>
  <r>
    <x v="1"/>
    <x v="0"/>
    <x v="1"/>
    <x v="194"/>
    <x v="11"/>
    <x v="382"/>
    <x v="1813"/>
    <x v="2099"/>
  </r>
  <r>
    <x v="0"/>
    <x v="0"/>
    <x v="0"/>
    <x v="148"/>
    <x v="13"/>
    <x v="297"/>
    <x v="1814"/>
    <x v="2100"/>
  </r>
  <r>
    <x v="1"/>
    <x v="0"/>
    <x v="2"/>
    <x v="154"/>
    <x v="2"/>
    <x v="2"/>
    <x v="241"/>
    <x v="2101"/>
  </r>
  <r>
    <x v="0"/>
    <x v="0"/>
    <x v="0"/>
    <x v="173"/>
    <x v="12"/>
    <x v="142"/>
    <x v="1815"/>
    <x v="2102"/>
  </r>
  <r>
    <x v="0"/>
    <x v="0"/>
    <x v="0"/>
    <x v="142"/>
    <x v="14"/>
    <x v="41"/>
    <x v="1816"/>
    <x v="2103"/>
  </r>
  <r>
    <x v="0"/>
    <x v="0"/>
    <x v="2"/>
    <x v="191"/>
    <x v="2"/>
    <x v="2"/>
    <x v="155"/>
    <x v="2104"/>
  </r>
  <r>
    <x v="2"/>
    <x v="0"/>
    <x v="2"/>
    <x v="111"/>
    <x v="1"/>
    <x v="750"/>
    <x v="1817"/>
    <x v="2105"/>
  </r>
  <r>
    <x v="0"/>
    <x v="0"/>
    <x v="2"/>
    <x v="189"/>
    <x v="0"/>
    <x v="546"/>
    <x v="1818"/>
    <x v="2106"/>
  </r>
  <r>
    <x v="1"/>
    <x v="0"/>
    <x v="2"/>
    <x v="234"/>
    <x v="2"/>
    <x v="2"/>
    <x v="285"/>
    <x v="2107"/>
  </r>
  <r>
    <x v="1"/>
    <x v="0"/>
    <x v="1"/>
    <x v="138"/>
    <x v="15"/>
    <x v="327"/>
    <x v="1819"/>
    <x v="2108"/>
  </r>
  <r>
    <x v="1"/>
    <x v="0"/>
    <x v="1"/>
    <x v="200"/>
    <x v="5"/>
    <x v="197"/>
    <x v="1820"/>
    <x v="2109"/>
  </r>
  <r>
    <x v="3"/>
    <x v="0"/>
    <x v="2"/>
    <x v="32"/>
    <x v="5"/>
    <x v="292"/>
    <x v="1821"/>
    <x v="2110"/>
  </r>
  <r>
    <x v="1"/>
    <x v="0"/>
    <x v="1"/>
    <x v="205"/>
    <x v="10"/>
    <x v="279"/>
    <x v="875"/>
    <x v="2111"/>
  </r>
  <r>
    <x v="1"/>
    <x v="0"/>
    <x v="2"/>
    <x v="45"/>
    <x v="16"/>
    <x v="258"/>
    <x v="1822"/>
    <x v="2112"/>
  </r>
  <r>
    <x v="0"/>
    <x v="0"/>
    <x v="0"/>
    <x v="92"/>
    <x v="0"/>
    <x v="354"/>
    <x v="1823"/>
    <x v="2113"/>
  </r>
  <r>
    <x v="0"/>
    <x v="0"/>
    <x v="0"/>
    <x v="205"/>
    <x v="15"/>
    <x v="559"/>
    <x v="1824"/>
    <x v="2114"/>
  </r>
  <r>
    <x v="3"/>
    <x v="0"/>
    <x v="2"/>
    <x v="17"/>
    <x v="3"/>
    <x v="769"/>
    <x v="1825"/>
    <x v="2115"/>
  </r>
  <r>
    <x v="2"/>
    <x v="0"/>
    <x v="2"/>
    <x v="59"/>
    <x v="22"/>
    <x v="484"/>
    <x v="1826"/>
    <x v="2116"/>
  </r>
  <r>
    <x v="1"/>
    <x v="0"/>
    <x v="1"/>
    <x v="238"/>
    <x v="0"/>
    <x v="535"/>
    <x v="1827"/>
    <x v="2117"/>
  </r>
  <r>
    <x v="1"/>
    <x v="0"/>
    <x v="2"/>
    <x v="5"/>
    <x v="18"/>
    <x v="630"/>
    <x v="1828"/>
    <x v="2118"/>
  </r>
  <r>
    <x v="2"/>
    <x v="0"/>
    <x v="2"/>
    <x v="18"/>
    <x v="7"/>
    <x v="694"/>
    <x v="1829"/>
    <x v="2119"/>
  </r>
  <r>
    <x v="0"/>
    <x v="0"/>
    <x v="2"/>
    <x v="116"/>
    <x v="10"/>
    <x v="751"/>
    <x v="1830"/>
    <x v="2120"/>
  </r>
  <r>
    <x v="1"/>
    <x v="0"/>
    <x v="2"/>
    <x v="219"/>
    <x v="18"/>
    <x v="252"/>
    <x v="115"/>
    <x v="2121"/>
  </r>
  <r>
    <x v="1"/>
    <x v="0"/>
    <x v="2"/>
    <x v="128"/>
    <x v="1"/>
    <x v="61"/>
    <x v="1831"/>
    <x v="2122"/>
  </r>
  <r>
    <x v="1"/>
    <x v="0"/>
    <x v="2"/>
    <x v="53"/>
    <x v="17"/>
    <x v="436"/>
    <x v="1832"/>
    <x v="2123"/>
  </r>
  <r>
    <x v="2"/>
    <x v="0"/>
    <x v="2"/>
    <x v="125"/>
    <x v="10"/>
    <x v="748"/>
    <x v="1288"/>
    <x v="2124"/>
  </r>
  <r>
    <x v="2"/>
    <x v="0"/>
    <x v="2"/>
    <x v="170"/>
    <x v="11"/>
    <x v="169"/>
    <x v="1350"/>
    <x v="2125"/>
  </r>
  <r>
    <x v="1"/>
    <x v="0"/>
    <x v="1"/>
    <x v="245"/>
    <x v="6"/>
    <x v="246"/>
    <x v="1833"/>
    <x v="2126"/>
  </r>
  <r>
    <x v="1"/>
    <x v="0"/>
    <x v="1"/>
    <x v="25"/>
    <x v="16"/>
    <x v="355"/>
    <x v="58"/>
    <x v="2127"/>
  </r>
  <r>
    <x v="1"/>
    <x v="0"/>
    <x v="1"/>
    <x v="221"/>
    <x v="18"/>
    <x v="271"/>
    <x v="216"/>
    <x v="2128"/>
  </r>
  <r>
    <x v="1"/>
    <x v="0"/>
    <x v="2"/>
    <x v="156"/>
    <x v="15"/>
    <x v="195"/>
    <x v="1834"/>
    <x v="2129"/>
  </r>
  <r>
    <x v="1"/>
    <x v="0"/>
    <x v="1"/>
    <x v="115"/>
    <x v="16"/>
    <x v="694"/>
    <x v="1835"/>
    <x v="2130"/>
  </r>
  <r>
    <x v="2"/>
    <x v="0"/>
    <x v="2"/>
    <x v="19"/>
    <x v="17"/>
    <x v="238"/>
    <x v="1836"/>
    <x v="2131"/>
  </r>
  <r>
    <x v="0"/>
    <x v="0"/>
    <x v="2"/>
    <x v="188"/>
    <x v="7"/>
    <x v="547"/>
    <x v="1837"/>
    <x v="2132"/>
  </r>
  <r>
    <x v="0"/>
    <x v="0"/>
    <x v="0"/>
    <x v="167"/>
    <x v="6"/>
    <x v="628"/>
    <x v="1838"/>
    <x v="2133"/>
  </r>
  <r>
    <x v="2"/>
    <x v="0"/>
    <x v="2"/>
    <x v="112"/>
    <x v="28"/>
    <x v="122"/>
    <x v="1839"/>
    <x v="2134"/>
  </r>
  <r>
    <x v="3"/>
    <x v="0"/>
    <x v="2"/>
    <x v="53"/>
    <x v="2"/>
    <x v="2"/>
    <x v="1840"/>
    <x v="2135"/>
  </r>
  <r>
    <x v="3"/>
    <x v="0"/>
    <x v="2"/>
    <x v="225"/>
    <x v="0"/>
    <x v="413"/>
    <x v="1841"/>
    <x v="2136"/>
  </r>
  <r>
    <x v="0"/>
    <x v="0"/>
    <x v="0"/>
    <x v="97"/>
    <x v="12"/>
    <x v="564"/>
    <x v="1448"/>
    <x v="2137"/>
  </r>
  <r>
    <x v="2"/>
    <x v="0"/>
    <x v="2"/>
    <x v="95"/>
    <x v="13"/>
    <x v="250"/>
    <x v="1842"/>
    <x v="2138"/>
  </r>
  <r>
    <x v="3"/>
    <x v="0"/>
    <x v="2"/>
    <x v="66"/>
    <x v="1"/>
    <x v="691"/>
    <x v="746"/>
    <x v="2139"/>
  </r>
  <r>
    <x v="3"/>
    <x v="0"/>
    <x v="2"/>
    <x v="151"/>
    <x v="11"/>
    <x v="625"/>
    <x v="1843"/>
    <x v="2140"/>
  </r>
  <r>
    <x v="2"/>
    <x v="0"/>
    <x v="2"/>
    <x v="197"/>
    <x v="12"/>
    <x v="770"/>
    <x v="1844"/>
    <x v="2141"/>
  </r>
  <r>
    <x v="2"/>
    <x v="0"/>
    <x v="2"/>
    <x v="249"/>
    <x v="0"/>
    <x v="591"/>
    <x v="1655"/>
    <x v="2142"/>
  </r>
  <r>
    <x v="1"/>
    <x v="0"/>
    <x v="2"/>
    <x v="159"/>
    <x v="0"/>
    <x v="499"/>
    <x v="1845"/>
    <x v="2143"/>
  </r>
  <r>
    <x v="0"/>
    <x v="0"/>
    <x v="2"/>
    <x v="163"/>
    <x v="5"/>
    <x v="317"/>
    <x v="1846"/>
    <x v="2144"/>
  </r>
  <r>
    <x v="2"/>
    <x v="0"/>
    <x v="2"/>
    <x v="217"/>
    <x v="24"/>
    <x v="82"/>
    <x v="1847"/>
    <x v="2145"/>
  </r>
  <r>
    <x v="0"/>
    <x v="0"/>
    <x v="0"/>
    <x v="65"/>
    <x v="17"/>
    <x v="247"/>
    <x v="1848"/>
    <x v="2146"/>
  </r>
  <r>
    <x v="2"/>
    <x v="0"/>
    <x v="2"/>
    <x v="243"/>
    <x v="1"/>
    <x v="530"/>
    <x v="1849"/>
    <x v="2147"/>
  </r>
  <r>
    <x v="0"/>
    <x v="0"/>
    <x v="2"/>
    <x v="60"/>
    <x v="12"/>
    <x v="482"/>
    <x v="1850"/>
    <x v="2148"/>
  </r>
  <r>
    <x v="2"/>
    <x v="0"/>
    <x v="2"/>
    <x v="138"/>
    <x v="5"/>
    <x v="771"/>
    <x v="1851"/>
    <x v="2149"/>
  </r>
  <r>
    <x v="0"/>
    <x v="0"/>
    <x v="0"/>
    <x v="58"/>
    <x v="4"/>
    <x v="275"/>
    <x v="1852"/>
    <x v="2150"/>
  </r>
  <r>
    <x v="1"/>
    <x v="0"/>
    <x v="2"/>
    <x v="53"/>
    <x v="24"/>
    <x v="101"/>
    <x v="1853"/>
    <x v="2151"/>
  </r>
  <r>
    <x v="0"/>
    <x v="0"/>
    <x v="2"/>
    <x v="139"/>
    <x v="1"/>
    <x v="765"/>
    <x v="1854"/>
    <x v="2152"/>
  </r>
  <r>
    <x v="0"/>
    <x v="0"/>
    <x v="2"/>
    <x v="184"/>
    <x v="13"/>
    <x v="772"/>
    <x v="1855"/>
    <x v="2153"/>
  </r>
  <r>
    <x v="2"/>
    <x v="0"/>
    <x v="2"/>
    <x v="80"/>
    <x v="1"/>
    <x v="269"/>
    <x v="1856"/>
    <x v="2154"/>
  </r>
  <r>
    <x v="1"/>
    <x v="0"/>
    <x v="1"/>
    <x v="57"/>
    <x v="12"/>
    <x v="321"/>
    <x v="479"/>
    <x v="2155"/>
  </r>
  <r>
    <x v="1"/>
    <x v="0"/>
    <x v="1"/>
    <x v="180"/>
    <x v="13"/>
    <x v="14"/>
    <x v="1857"/>
    <x v="2156"/>
  </r>
  <r>
    <x v="0"/>
    <x v="0"/>
    <x v="2"/>
    <x v="22"/>
    <x v="1"/>
    <x v="602"/>
    <x v="1858"/>
    <x v="2157"/>
  </r>
  <r>
    <x v="1"/>
    <x v="0"/>
    <x v="2"/>
    <x v="180"/>
    <x v="13"/>
    <x v="14"/>
    <x v="1859"/>
    <x v="2158"/>
  </r>
  <r>
    <x v="1"/>
    <x v="0"/>
    <x v="1"/>
    <x v="2"/>
    <x v="11"/>
    <x v="337"/>
    <x v="1860"/>
    <x v="2159"/>
  </r>
  <r>
    <x v="0"/>
    <x v="0"/>
    <x v="2"/>
    <x v="127"/>
    <x v="9"/>
    <x v="294"/>
    <x v="1861"/>
    <x v="2160"/>
  </r>
  <r>
    <x v="1"/>
    <x v="0"/>
    <x v="1"/>
    <x v="3"/>
    <x v="3"/>
    <x v="3"/>
    <x v="1862"/>
    <x v="2161"/>
  </r>
  <r>
    <x v="1"/>
    <x v="0"/>
    <x v="1"/>
    <x v="162"/>
    <x v="6"/>
    <x v="458"/>
    <x v="1863"/>
    <x v="2162"/>
  </r>
  <r>
    <x v="0"/>
    <x v="0"/>
    <x v="2"/>
    <x v="165"/>
    <x v="7"/>
    <x v="635"/>
    <x v="290"/>
    <x v="2163"/>
  </r>
  <r>
    <x v="0"/>
    <x v="0"/>
    <x v="0"/>
    <x v="43"/>
    <x v="6"/>
    <x v="715"/>
    <x v="1864"/>
    <x v="2164"/>
  </r>
  <r>
    <x v="0"/>
    <x v="0"/>
    <x v="2"/>
    <x v="138"/>
    <x v="3"/>
    <x v="490"/>
    <x v="1865"/>
    <x v="2165"/>
  </r>
  <r>
    <x v="1"/>
    <x v="0"/>
    <x v="2"/>
    <x v="32"/>
    <x v="2"/>
    <x v="2"/>
    <x v="1866"/>
    <x v="2166"/>
  </r>
  <r>
    <x v="1"/>
    <x v="0"/>
    <x v="1"/>
    <x v="5"/>
    <x v="25"/>
    <x v="33"/>
    <x v="1867"/>
    <x v="2167"/>
  </r>
  <r>
    <x v="1"/>
    <x v="0"/>
    <x v="2"/>
    <x v="132"/>
    <x v="26"/>
    <x v="758"/>
    <x v="1868"/>
    <x v="2168"/>
  </r>
  <r>
    <x v="0"/>
    <x v="0"/>
    <x v="0"/>
    <x v="171"/>
    <x v="2"/>
    <x v="2"/>
    <x v="53"/>
    <x v="2169"/>
  </r>
  <r>
    <x v="3"/>
    <x v="0"/>
    <x v="2"/>
    <x v="207"/>
    <x v="14"/>
    <x v="413"/>
    <x v="1177"/>
    <x v="2170"/>
  </r>
  <r>
    <x v="1"/>
    <x v="0"/>
    <x v="2"/>
    <x v="132"/>
    <x v="10"/>
    <x v="395"/>
    <x v="1869"/>
    <x v="2171"/>
  </r>
  <r>
    <x v="1"/>
    <x v="0"/>
    <x v="1"/>
    <x v="217"/>
    <x v="6"/>
    <x v="545"/>
    <x v="1870"/>
    <x v="2172"/>
  </r>
  <r>
    <x v="1"/>
    <x v="0"/>
    <x v="1"/>
    <x v="88"/>
    <x v="4"/>
    <x v="464"/>
    <x v="340"/>
    <x v="2173"/>
  </r>
  <r>
    <x v="1"/>
    <x v="0"/>
    <x v="2"/>
    <x v="64"/>
    <x v="22"/>
    <x v="365"/>
    <x v="1871"/>
    <x v="2174"/>
  </r>
  <r>
    <x v="2"/>
    <x v="0"/>
    <x v="2"/>
    <x v="25"/>
    <x v="0"/>
    <x v="755"/>
    <x v="954"/>
    <x v="2175"/>
  </r>
  <r>
    <x v="0"/>
    <x v="0"/>
    <x v="0"/>
    <x v="68"/>
    <x v="9"/>
    <x v="647"/>
    <x v="1872"/>
    <x v="2176"/>
  </r>
  <r>
    <x v="2"/>
    <x v="0"/>
    <x v="2"/>
    <x v="130"/>
    <x v="10"/>
    <x v="676"/>
    <x v="1873"/>
    <x v="2177"/>
  </r>
  <r>
    <x v="0"/>
    <x v="0"/>
    <x v="2"/>
    <x v="226"/>
    <x v="10"/>
    <x v="155"/>
    <x v="778"/>
    <x v="2178"/>
  </r>
  <r>
    <x v="3"/>
    <x v="0"/>
    <x v="2"/>
    <x v="179"/>
    <x v="2"/>
    <x v="2"/>
    <x v="1874"/>
    <x v="2179"/>
  </r>
  <r>
    <x v="3"/>
    <x v="0"/>
    <x v="2"/>
    <x v="40"/>
    <x v="13"/>
    <x v="530"/>
    <x v="1875"/>
    <x v="2180"/>
  </r>
  <r>
    <x v="3"/>
    <x v="0"/>
    <x v="2"/>
    <x v="2"/>
    <x v="11"/>
    <x v="337"/>
    <x v="1876"/>
    <x v="2181"/>
  </r>
  <r>
    <x v="2"/>
    <x v="0"/>
    <x v="2"/>
    <x v="41"/>
    <x v="3"/>
    <x v="773"/>
    <x v="1200"/>
    <x v="2182"/>
  </r>
  <r>
    <x v="2"/>
    <x v="0"/>
    <x v="2"/>
    <x v="157"/>
    <x v="10"/>
    <x v="214"/>
    <x v="1650"/>
    <x v="2183"/>
  </r>
  <r>
    <x v="1"/>
    <x v="0"/>
    <x v="2"/>
    <x v="174"/>
    <x v="1"/>
    <x v="542"/>
    <x v="1877"/>
    <x v="2184"/>
  </r>
  <r>
    <x v="1"/>
    <x v="0"/>
    <x v="2"/>
    <x v="15"/>
    <x v="10"/>
    <x v="183"/>
    <x v="1878"/>
    <x v="2185"/>
  </r>
  <r>
    <x v="2"/>
    <x v="0"/>
    <x v="2"/>
    <x v="222"/>
    <x v="6"/>
    <x v="447"/>
    <x v="1803"/>
    <x v="2186"/>
  </r>
  <r>
    <x v="1"/>
    <x v="0"/>
    <x v="2"/>
    <x v="185"/>
    <x v="11"/>
    <x v="440"/>
    <x v="1879"/>
    <x v="2187"/>
  </r>
  <r>
    <x v="0"/>
    <x v="0"/>
    <x v="2"/>
    <x v="243"/>
    <x v="24"/>
    <x v="774"/>
    <x v="1880"/>
    <x v="2188"/>
  </r>
  <r>
    <x v="0"/>
    <x v="0"/>
    <x v="0"/>
    <x v="8"/>
    <x v="1"/>
    <x v="775"/>
    <x v="1492"/>
    <x v="2189"/>
  </r>
  <r>
    <x v="2"/>
    <x v="0"/>
    <x v="2"/>
    <x v="123"/>
    <x v="2"/>
    <x v="2"/>
    <x v="416"/>
    <x v="2190"/>
  </r>
  <r>
    <x v="3"/>
    <x v="0"/>
    <x v="2"/>
    <x v="188"/>
    <x v="24"/>
    <x v="663"/>
    <x v="467"/>
    <x v="2191"/>
  </r>
  <r>
    <x v="1"/>
    <x v="0"/>
    <x v="1"/>
    <x v="119"/>
    <x v="0"/>
    <x v="17"/>
    <x v="1881"/>
    <x v="2192"/>
  </r>
  <r>
    <x v="3"/>
    <x v="0"/>
    <x v="2"/>
    <x v="190"/>
    <x v="6"/>
    <x v="325"/>
    <x v="1882"/>
    <x v="2193"/>
  </r>
  <r>
    <x v="0"/>
    <x v="0"/>
    <x v="2"/>
    <x v="244"/>
    <x v="5"/>
    <x v="105"/>
    <x v="1148"/>
    <x v="2194"/>
  </r>
  <r>
    <x v="0"/>
    <x v="0"/>
    <x v="0"/>
    <x v="59"/>
    <x v="14"/>
    <x v="205"/>
    <x v="1883"/>
    <x v="2195"/>
  </r>
  <r>
    <x v="0"/>
    <x v="0"/>
    <x v="0"/>
    <x v="25"/>
    <x v="6"/>
    <x v="10"/>
    <x v="1884"/>
    <x v="2196"/>
  </r>
  <r>
    <x v="0"/>
    <x v="0"/>
    <x v="2"/>
    <x v="151"/>
    <x v="16"/>
    <x v="529"/>
    <x v="1885"/>
    <x v="2197"/>
  </r>
  <r>
    <x v="1"/>
    <x v="0"/>
    <x v="1"/>
    <x v="174"/>
    <x v="15"/>
    <x v="776"/>
    <x v="1886"/>
    <x v="2198"/>
  </r>
  <r>
    <x v="1"/>
    <x v="0"/>
    <x v="1"/>
    <x v="230"/>
    <x v="7"/>
    <x v="539"/>
    <x v="1887"/>
    <x v="2199"/>
  </r>
  <r>
    <x v="1"/>
    <x v="0"/>
    <x v="1"/>
    <x v="6"/>
    <x v="12"/>
    <x v="615"/>
    <x v="1106"/>
    <x v="2200"/>
  </r>
  <r>
    <x v="0"/>
    <x v="0"/>
    <x v="2"/>
    <x v="224"/>
    <x v="1"/>
    <x v="56"/>
    <x v="1888"/>
    <x v="2201"/>
  </r>
  <r>
    <x v="1"/>
    <x v="0"/>
    <x v="2"/>
    <x v="41"/>
    <x v="22"/>
    <x v="777"/>
    <x v="1085"/>
    <x v="2202"/>
  </r>
  <r>
    <x v="0"/>
    <x v="0"/>
    <x v="2"/>
    <x v="231"/>
    <x v="6"/>
    <x v="27"/>
    <x v="1889"/>
    <x v="2203"/>
  </r>
  <r>
    <x v="1"/>
    <x v="0"/>
    <x v="2"/>
    <x v="108"/>
    <x v="10"/>
    <x v="448"/>
    <x v="1890"/>
    <x v="2204"/>
  </r>
  <r>
    <x v="0"/>
    <x v="0"/>
    <x v="0"/>
    <x v="215"/>
    <x v="16"/>
    <x v="778"/>
    <x v="1744"/>
    <x v="2205"/>
  </r>
  <r>
    <x v="0"/>
    <x v="0"/>
    <x v="0"/>
    <x v="244"/>
    <x v="2"/>
    <x v="2"/>
    <x v="1891"/>
    <x v="2206"/>
  </r>
  <r>
    <x v="0"/>
    <x v="0"/>
    <x v="0"/>
    <x v="0"/>
    <x v="1"/>
    <x v="52"/>
    <x v="1892"/>
    <x v="2207"/>
  </r>
  <r>
    <x v="3"/>
    <x v="0"/>
    <x v="2"/>
    <x v="139"/>
    <x v="12"/>
    <x v="779"/>
    <x v="1893"/>
    <x v="2208"/>
  </r>
  <r>
    <x v="0"/>
    <x v="0"/>
    <x v="0"/>
    <x v="165"/>
    <x v="1"/>
    <x v="7"/>
    <x v="1894"/>
    <x v="2209"/>
  </r>
  <r>
    <x v="0"/>
    <x v="0"/>
    <x v="2"/>
    <x v="127"/>
    <x v="0"/>
    <x v="780"/>
    <x v="1895"/>
    <x v="2210"/>
  </r>
  <r>
    <x v="3"/>
    <x v="0"/>
    <x v="2"/>
    <x v="17"/>
    <x v="18"/>
    <x v="598"/>
    <x v="443"/>
    <x v="2211"/>
  </r>
  <r>
    <x v="1"/>
    <x v="0"/>
    <x v="2"/>
    <x v="243"/>
    <x v="28"/>
    <x v="781"/>
    <x v="940"/>
    <x v="2212"/>
  </r>
  <r>
    <x v="0"/>
    <x v="0"/>
    <x v="0"/>
    <x v="129"/>
    <x v="23"/>
    <x v="482"/>
    <x v="1896"/>
    <x v="2213"/>
  </r>
  <r>
    <x v="2"/>
    <x v="0"/>
    <x v="2"/>
    <x v="66"/>
    <x v="10"/>
    <x v="114"/>
    <x v="1890"/>
    <x v="2214"/>
  </r>
  <r>
    <x v="1"/>
    <x v="0"/>
    <x v="2"/>
    <x v="202"/>
    <x v="6"/>
    <x v="317"/>
    <x v="239"/>
    <x v="2215"/>
  </r>
  <r>
    <x v="2"/>
    <x v="0"/>
    <x v="2"/>
    <x v="175"/>
    <x v="18"/>
    <x v="176"/>
    <x v="1015"/>
    <x v="2216"/>
  </r>
  <r>
    <x v="3"/>
    <x v="0"/>
    <x v="2"/>
    <x v="23"/>
    <x v="13"/>
    <x v="782"/>
    <x v="1897"/>
    <x v="2217"/>
  </r>
  <r>
    <x v="0"/>
    <x v="0"/>
    <x v="2"/>
    <x v="174"/>
    <x v="24"/>
    <x v="145"/>
    <x v="1898"/>
    <x v="2218"/>
  </r>
  <r>
    <x v="1"/>
    <x v="0"/>
    <x v="2"/>
    <x v="196"/>
    <x v="15"/>
    <x v="729"/>
    <x v="1899"/>
    <x v="2219"/>
  </r>
  <r>
    <x v="0"/>
    <x v="0"/>
    <x v="2"/>
    <x v="48"/>
    <x v="15"/>
    <x v="129"/>
    <x v="1900"/>
    <x v="2220"/>
  </r>
  <r>
    <x v="1"/>
    <x v="0"/>
    <x v="1"/>
    <x v="22"/>
    <x v="12"/>
    <x v="208"/>
    <x v="61"/>
    <x v="2221"/>
  </r>
  <r>
    <x v="2"/>
    <x v="0"/>
    <x v="2"/>
    <x v="158"/>
    <x v="14"/>
    <x v="609"/>
    <x v="1901"/>
    <x v="2222"/>
  </r>
  <r>
    <x v="0"/>
    <x v="0"/>
    <x v="2"/>
    <x v="103"/>
    <x v="0"/>
    <x v="169"/>
    <x v="1902"/>
    <x v="2223"/>
  </r>
  <r>
    <x v="2"/>
    <x v="0"/>
    <x v="2"/>
    <x v="215"/>
    <x v="27"/>
    <x v="36"/>
    <x v="1903"/>
    <x v="2224"/>
  </r>
  <r>
    <x v="1"/>
    <x v="0"/>
    <x v="1"/>
    <x v="132"/>
    <x v="6"/>
    <x v="207"/>
    <x v="1904"/>
    <x v="2225"/>
  </r>
  <r>
    <x v="1"/>
    <x v="0"/>
    <x v="1"/>
    <x v="124"/>
    <x v="15"/>
    <x v="68"/>
    <x v="1905"/>
    <x v="2226"/>
  </r>
  <r>
    <x v="3"/>
    <x v="0"/>
    <x v="2"/>
    <x v="246"/>
    <x v="20"/>
    <x v="82"/>
    <x v="1906"/>
    <x v="2227"/>
  </r>
  <r>
    <x v="0"/>
    <x v="0"/>
    <x v="0"/>
    <x v="215"/>
    <x v="19"/>
    <x v="114"/>
    <x v="1907"/>
    <x v="2228"/>
  </r>
  <r>
    <x v="0"/>
    <x v="0"/>
    <x v="0"/>
    <x v="115"/>
    <x v="1"/>
    <x v="171"/>
    <x v="1202"/>
    <x v="2229"/>
  </r>
  <r>
    <x v="1"/>
    <x v="0"/>
    <x v="1"/>
    <x v="123"/>
    <x v="6"/>
    <x v="403"/>
    <x v="1908"/>
    <x v="2230"/>
  </r>
  <r>
    <x v="0"/>
    <x v="0"/>
    <x v="0"/>
    <x v="30"/>
    <x v="16"/>
    <x v="326"/>
    <x v="1888"/>
    <x v="2231"/>
  </r>
  <r>
    <x v="1"/>
    <x v="0"/>
    <x v="1"/>
    <x v="113"/>
    <x v="1"/>
    <x v="579"/>
    <x v="1909"/>
    <x v="2232"/>
  </r>
  <r>
    <x v="1"/>
    <x v="0"/>
    <x v="1"/>
    <x v="238"/>
    <x v="15"/>
    <x v="198"/>
    <x v="1910"/>
    <x v="2233"/>
  </r>
  <r>
    <x v="0"/>
    <x v="0"/>
    <x v="0"/>
    <x v="75"/>
    <x v="1"/>
    <x v="44"/>
    <x v="1911"/>
    <x v="2234"/>
  </r>
  <r>
    <x v="0"/>
    <x v="0"/>
    <x v="2"/>
    <x v="35"/>
    <x v="19"/>
    <x v="199"/>
    <x v="1912"/>
    <x v="2235"/>
  </r>
  <r>
    <x v="1"/>
    <x v="0"/>
    <x v="1"/>
    <x v="153"/>
    <x v="7"/>
    <x v="783"/>
    <x v="1913"/>
    <x v="2236"/>
  </r>
  <r>
    <x v="1"/>
    <x v="0"/>
    <x v="1"/>
    <x v="134"/>
    <x v="2"/>
    <x v="2"/>
    <x v="1914"/>
    <x v="2237"/>
  </r>
  <r>
    <x v="1"/>
    <x v="0"/>
    <x v="1"/>
    <x v="195"/>
    <x v="7"/>
    <x v="636"/>
    <x v="1915"/>
    <x v="2238"/>
  </r>
  <r>
    <x v="3"/>
    <x v="0"/>
    <x v="2"/>
    <x v="113"/>
    <x v="15"/>
    <x v="465"/>
    <x v="1663"/>
    <x v="2239"/>
  </r>
  <r>
    <x v="3"/>
    <x v="0"/>
    <x v="2"/>
    <x v="47"/>
    <x v="1"/>
    <x v="737"/>
    <x v="1043"/>
    <x v="2240"/>
  </r>
  <r>
    <x v="0"/>
    <x v="0"/>
    <x v="0"/>
    <x v="128"/>
    <x v="2"/>
    <x v="2"/>
    <x v="1916"/>
    <x v="2241"/>
  </r>
  <r>
    <x v="1"/>
    <x v="0"/>
    <x v="1"/>
    <x v="16"/>
    <x v="1"/>
    <x v="315"/>
    <x v="1917"/>
    <x v="2242"/>
  </r>
  <r>
    <x v="1"/>
    <x v="0"/>
    <x v="2"/>
    <x v="141"/>
    <x v="12"/>
    <x v="784"/>
    <x v="621"/>
    <x v="2243"/>
  </r>
  <r>
    <x v="2"/>
    <x v="0"/>
    <x v="2"/>
    <x v="14"/>
    <x v="2"/>
    <x v="2"/>
    <x v="1918"/>
    <x v="2244"/>
  </r>
  <r>
    <x v="1"/>
    <x v="0"/>
    <x v="1"/>
    <x v="159"/>
    <x v="2"/>
    <x v="2"/>
    <x v="1919"/>
    <x v="2245"/>
  </r>
  <r>
    <x v="0"/>
    <x v="0"/>
    <x v="0"/>
    <x v="63"/>
    <x v="1"/>
    <x v="425"/>
    <x v="1920"/>
    <x v="2246"/>
  </r>
  <r>
    <x v="3"/>
    <x v="0"/>
    <x v="2"/>
    <x v="209"/>
    <x v="2"/>
    <x v="2"/>
    <x v="1921"/>
    <x v="2247"/>
  </r>
  <r>
    <x v="3"/>
    <x v="0"/>
    <x v="2"/>
    <x v="160"/>
    <x v="20"/>
    <x v="0"/>
    <x v="1922"/>
    <x v="2248"/>
  </r>
  <r>
    <x v="0"/>
    <x v="0"/>
    <x v="0"/>
    <x v="29"/>
    <x v="11"/>
    <x v="330"/>
    <x v="1923"/>
    <x v="2249"/>
  </r>
  <r>
    <x v="0"/>
    <x v="0"/>
    <x v="0"/>
    <x v="18"/>
    <x v="3"/>
    <x v="140"/>
    <x v="1924"/>
    <x v="2250"/>
  </r>
  <r>
    <x v="1"/>
    <x v="0"/>
    <x v="1"/>
    <x v="183"/>
    <x v="1"/>
    <x v="412"/>
    <x v="1170"/>
    <x v="2251"/>
  </r>
  <r>
    <x v="1"/>
    <x v="0"/>
    <x v="1"/>
    <x v="40"/>
    <x v="13"/>
    <x v="530"/>
    <x v="1925"/>
    <x v="2252"/>
  </r>
  <r>
    <x v="1"/>
    <x v="0"/>
    <x v="1"/>
    <x v="206"/>
    <x v="5"/>
    <x v="101"/>
    <x v="1926"/>
    <x v="2253"/>
  </r>
  <r>
    <x v="1"/>
    <x v="0"/>
    <x v="2"/>
    <x v="19"/>
    <x v="13"/>
    <x v="543"/>
    <x v="1927"/>
    <x v="2254"/>
  </r>
  <r>
    <x v="1"/>
    <x v="0"/>
    <x v="1"/>
    <x v="70"/>
    <x v="13"/>
    <x v="719"/>
    <x v="1928"/>
    <x v="2255"/>
  </r>
  <r>
    <x v="2"/>
    <x v="0"/>
    <x v="2"/>
    <x v="225"/>
    <x v="6"/>
    <x v="85"/>
    <x v="1929"/>
    <x v="2256"/>
  </r>
  <r>
    <x v="0"/>
    <x v="0"/>
    <x v="0"/>
    <x v="73"/>
    <x v="15"/>
    <x v="452"/>
    <x v="1930"/>
    <x v="2257"/>
  </r>
  <r>
    <x v="2"/>
    <x v="0"/>
    <x v="2"/>
    <x v="89"/>
    <x v="11"/>
    <x v="446"/>
    <x v="1212"/>
    <x v="2258"/>
  </r>
  <r>
    <x v="2"/>
    <x v="0"/>
    <x v="2"/>
    <x v="154"/>
    <x v="0"/>
    <x v="785"/>
    <x v="1931"/>
    <x v="2259"/>
  </r>
  <r>
    <x v="1"/>
    <x v="0"/>
    <x v="1"/>
    <x v="123"/>
    <x v="5"/>
    <x v="175"/>
    <x v="1932"/>
    <x v="2260"/>
  </r>
  <r>
    <x v="1"/>
    <x v="0"/>
    <x v="1"/>
    <x v="28"/>
    <x v="6"/>
    <x v="649"/>
    <x v="1933"/>
    <x v="2261"/>
  </r>
  <r>
    <x v="2"/>
    <x v="0"/>
    <x v="2"/>
    <x v="66"/>
    <x v="10"/>
    <x v="114"/>
    <x v="1934"/>
    <x v="2262"/>
  </r>
  <r>
    <x v="0"/>
    <x v="0"/>
    <x v="2"/>
    <x v="159"/>
    <x v="0"/>
    <x v="499"/>
    <x v="1935"/>
    <x v="2263"/>
  </r>
  <r>
    <x v="3"/>
    <x v="0"/>
    <x v="2"/>
    <x v="190"/>
    <x v="22"/>
    <x v="202"/>
    <x v="1936"/>
    <x v="2264"/>
  </r>
  <r>
    <x v="2"/>
    <x v="0"/>
    <x v="2"/>
    <x v="135"/>
    <x v="13"/>
    <x v="57"/>
    <x v="1937"/>
    <x v="2265"/>
  </r>
  <r>
    <x v="1"/>
    <x v="0"/>
    <x v="2"/>
    <x v="67"/>
    <x v="5"/>
    <x v="253"/>
    <x v="23"/>
    <x v="2266"/>
  </r>
  <r>
    <x v="0"/>
    <x v="0"/>
    <x v="2"/>
    <x v="137"/>
    <x v="13"/>
    <x v="577"/>
    <x v="1852"/>
    <x v="2267"/>
  </r>
  <r>
    <x v="0"/>
    <x v="0"/>
    <x v="0"/>
    <x v="235"/>
    <x v="3"/>
    <x v="103"/>
    <x v="394"/>
    <x v="2268"/>
  </r>
  <r>
    <x v="0"/>
    <x v="0"/>
    <x v="2"/>
    <x v="64"/>
    <x v="10"/>
    <x v="786"/>
    <x v="1938"/>
    <x v="2269"/>
  </r>
  <r>
    <x v="0"/>
    <x v="0"/>
    <x v="0"/>
    <x v="63"/>
    <x v="1"/>
    <x v="425"/>
    <x v="1939"/>
    <x v="2270"/>
  </r>
  <r>
    <x v="3"/>
    <x v="0"/>
    <x v="2"/>
    <x v="133"/>
    <x v="13"/>
    <x v="234"/>
    <x v="1940"/>
    <x v="2271"/>
  </r>
  <r>
    <x v="1"/>
    <x v="0"/>
    <x v="1"/>
    <x v="228"/>
    <x v="6"/>
    <x v="214"/>
    <x v="582"/>
    <x v="2272"/>
  </r>
  <r>
    <x v="1"/>
    <x v="0"/>
    <x v="1"/>
    <x v="191"/>
    <x v="11"/>
    <x v="300"/>
    <x v="1941"/>
    <x v="2273"/>
  </r>
  <r>
    <x v="0"/>
    <x v="0"/>
    <x v="2"/>
    <x v="136"/>
    <x v="5"/>
    <x v="399"/>
    <x v="1224"/>
    <x v="2274"/>
  </r>
  <r>
    <x v="1"/>
    <x v="0"/>
    <x v="2"/>
    <x v="201"/>
    <x v="2"/>
    <x v="2"/>
    <x v="212"/>
    <x v="2275"/>
  </r>
  <r>
    <x v="0"/>
    <x v="0"/>
    <x v="2"/>
    <x v="155"/>
    <x v="0"/>
    <x v="317"/>
    <x v="16"/>
    <x v="2276"/>
  </r>
  <r>
    <x v="3"/>
    <x v="0"/>
    <x v="2"/>
    <x v="66"/>
    <x v="5"/>
    <x v="674"/>
    <x v="1942"/>
    <x v="2277"/>
  </r>
  <r>
    <x v="2"/>
    <x v="0"/>
    <x v="2"/>
    <x v="32"/>
    <x v="11"/>
    <x v="60"/>
    <x v="983"/>
    <x v="2278"/>
  </r>
  <r>
    <x v="2"/>
    <x v="0"/>
    <x v="2"/>
    <x v="239"/>
    <x v="15"/>
    <x v="441"/>
    <x v="583"/>
    <x v="2279"/>
  </r>
  <r>
    <x v="3"/>
    <x v="0"/>
    <x v="2"/>
    <x v="244"/>
    <x v="5"/>
    <x v="105"/>
    <x v="1943"/>
    <x v="2280"/>
  </r>
  <r>
    <x v="2"/>
    <x v="0"/>
    <x v="2"/>
    <x v="117"/>
    <x v="0"/>
    <x v="787"/>
    <x v="1944"/>
    <x v="2281"/>
  </r>
  <r>
    <x v="1"/>
    <x v="0"/>
    <x v="1"/>
    <x v="238"/>
    <x v="11"/>
    <x v="356"/>
    <x v="589"/>
    <x v="2282"/>
  </r>
  <r>
    <x v="0"/>
    <x v="0"/>
    <x v="2"/>
    <x v="28"/>
    <x v="10"/>
    <x v="623"/>
    <x v="1945"/>
    <x v="2283"/>
  </r>
  <r>
    <x v="1"/>
    <x v="0"/>
    <x v="2"/>
    <x v="15"/>
    <x v="11"/>
    <x v="14"/>
    <x v="1946"/>
    <x v="2284"/>
  </r>
  <r>
    <x v="1"/>
    <x v="0"/>
    <x v="1"/>
    <x v="77"/>
    <x v="13"/>
    <x v="501"/>
    <x v="1947"/>
    <x v="2285"/>
  </r>
  <r>
    <x v="1"/>
    <x v="0"/>
    <x v="2"/>
    <x v="226"/>
    <x v="1"/>
    <x v="303"/>
    <x v="538"/>
    <x v="2286"/>
  </r>
  <r>
    <x v="1"/>
    <x v="0"/>
    <x v="2"/>
    <x v="73"/>
    <x v="6"/>
    <x v="697"/>
    <x v="1459"/>
    <x v="2287"/>
  </r>
  <r>
    <x v="1"/>
    <x v="0"/>
    <x v="2"/>
    <x v="56"/>
    <x v="7"/>
    <x v="506"/>
    <x v="1948"/>
    <x v="2288"/>
  </r>
  <r>
    <x v="2"/>
    <x v="0"/>
    <x v="2"/>
    <x v="214"/>
    <x v="16"/>
    <x v="788"/>
    <x v="1637"/>
    <x v="2289"/>
  </r>
  <r>
    <x v="3"/>
    <x v="0"/>
    <x v="2"/>
    <x v="186"/>
    <x v="14"/>
    <x v="789"/>
    <x v="425"/>
    <x v="2290"/>
  </r>
  <r>
    <x v="0"/>
    <x v="0"/>
    <x v="2"/>
    <x v="123"/>
    <x v="11"/>
    <x v="148"/>
    <x v="732"/>
    <x v="2291"/>
  </r>
  <r>
    <x v="0"/>
    <x v="0"/>
    <x v="2"/>
    <x v="12"/>
    <x v="1"/>
    <x v="601"/>
    <x v="1949"/>
    <x v="2292"/>
  </r>
  <r>
    <x v="0"/>
    <x v="0"/>
    <x v="0"/>
    <x v="225"/>
    <x v="2"/>
    <x v="2"/>
    <x v="1950"/>
    <x v="2293"/>
  </r>
  <r>
    <x v="0"/>
    <x v="0"/>
    <x v="0"/>
    <x v="66"/>
    <x v="13"/>
    <x v="298"/>
    <x v="1776"/>
    <x v="2294"/>
  </r>
  <r>
    <x v="3"/>
    <x v="0"/>
    <x v="2"/>
    <x v="80"/>
    <x v="5"/>
    <x v="230"/>
    <x v="1951"/>
    <x v="2295"/>
  </r>
  <r>
    <x v="1"/>
    <x v="0"/>
    <x v="1"/>
    <x v="112"/>
    <x v="28"/>
    <x v="122"/>
    <x v="1952"/>
    <x v="2296"/>
  </r>
  <r>
    <x v="0"/>
    <x v="0"/>
    <x v="2"/>
    <x v="140"/>
    <x v="14"/>
    <x v="558"/>
    <x v="1788"/>
    <x v="2297"/>
  </r>
  <r>
    <x v="1"/>
    <x v="0"/>
    <x v="1"/>
    <x v="214"/>
    <x v="17"/>
    <x v="68"/>
    <x v="1953"/>
    <x v="2298"/>
  </r>
  <r>
    <x v="3"/>
    <x v="0"/>
    <x v="2"/>
    <x v="137"/>
    <x v="6"/>
    <x v="247"/>
    <x v="1954"/>
    <x v="2299"/>
  </r>
  <r>
    <x v="0"/>
    <x v="0"/>
    <x v="2"/>
    <x v="15"/>
    <x v="0"/>
    <x v="283"/>
    <x v="1955"/>
    <x v="2300"/>
  </r>
  <r>
    <x v="1"/>
    <x v="0"/>
    <x v="1"/>
    <x v="71"/>
    <x v="5"/>
    <x v="332"/>
    <x v="27"/>
    <x v="518"/>
  </r>
  <r>
    <x v="1"/>
    <x v="0"/>
    <x v="2"/>
    <x v="177"/>
    <x v="14"/>
    <x v="469"/>
    <x v="829"/>
    <x v="2301"/>
  </r>
  <r>
    <x v="1"/>
    <x v="0"/>
    <x v="2"/>
    <x v="96"/>
    <x v="20"/>
    <x v="186"/>
    <x v="1956"/>
    <x v="2302"/>
  </r>
  <r>
    <x v="0"/>
    <x v="0"/>
    <x v="2"/>
    <x v="229"/>
    <x v="23"/>
    <x v="376"/>
    <x v="1957"/>
    <x v="2303"/>
  </r>
  <r>
    <x v="1"/>
    <x v="0"/>
    <x v="1"/>
    <x v="212"/>
    <x v="7"/>
    <x v="26"/>
    <x v="1958"/>
    <x v="2304"/>
  </r>
  <r>
    <x v="0"/>
    <x v="0"/>
    <x v="2"/>
    <x v="92"/>
    <x v="10"/>
    <x v="741"/>
    <x v="1959"/>
    <x v="2305"/>
  </r>
  <r>
    <x v="0"/>
    <x v="0"/>
    <x v="0"/>
    <x v="165"/>
    <x v="17"/>
    <x v="713"/>
    <x v="1596"/>
    <x v="2306"/>
  </r>
  <r>
    <x v="3"/>
    <x v="0"/>
    <x v="2"/>
    <x v="224"/>
    <x v="5"/>
    <x v="582"/>
    <x v="1597"/>
    <x v="2307"/>
  </r>
  <r>
    <x v="2"/>
    <x v="0"/>
    <x v="2"/>
    <x v="55"/>
    <x v="10"/>
    <x v="110"/>
    <x v="630"/>
    <x v="2308"/>
  </r>
  <r>
    <x v="0"/>
    <x v="0"/>
    <x v="2"/>
    <x v="60"/>
    <x v="14"/>
    <x v="392"/>
    <x v="1960"/>
    <x v="2309"/>
  </r>
  <r>
    <x v="1"/>
    <x v="0"/>
    <x v="1"/>
    <x v="158"/>
    <x v="3"/>
    <x v="26"/>
    <x v="1961"/>
    <x v="2310"/>
  </r>
  <r>
    <x v="0"/>
    <x v="0"/>
    <x v="2"/>
    <x v="106"/>
    <x v="23"/>
    <x v="111"/>
    <x v="1962"/>
    <x v="2311"/>
  </r>
  <r>
    <x v="0"/>
    <x v="0"/>
    <x v="0"/>
    <x v="135"/>
    <x v="4"/>
    <x v="349"/>
    <x v="1739"/>
    <x v="2312"/>
  </r>
  <r>
    <x v="0"/>
    <x v="0"/>
    <x v="2"/>
    <x v="75"/>
    <x v="15"/>
    <x v="313"/>
    <x v="1963"/>
    <x v="2313"/>
  </r>
  <r>
    <x v="2"/>
    <x v="0"/>
    <x v="2"/>
    <x v="229"/>
    <x v="17"/>
    <x v="448"/>
    <x v="1964"/>
    <x v="2314"/>
  </r>
  <r>
    <x v="1"/>
    <x v="0"/>
    <x v="2"/>
    <x v="75"/>
    <x v="3"/>
    <x v="624"/>
    <x v="1965"/>
    <x v="2315"/>
  </r>
  <r>
    <x v="0"/>
    <x v="0"/>
    <x v="2"/>
    <x v="157"/>
    <x v="15"/>
    <x v="790"/>
    <x v="1966"/>
    <x v="2316"/>
  </r>
  <r>
    <x v="3"/>
    <x v="0"/>
    <x v="2"/>
    <x v="238"/>
    <x v="10"/>
    <x v="193"/>
    <x v="919"/>
    <x v="2317"/>
  </r>
  <r>
    <x v="1"/>
    <x v="0"/>
    <x v="1"/>
    <x v="148"/>
    <x v="2"/>
    <x v="2"/>
    <x v="772"/>
    <x v="2318"/>
  </r>
  <r>
    <x v="3"/>
    <x v="0"/>
    <x v="2"/>
    <x v="67"/>
    <x v="25"/>
    <x v="791"/>
    <x v="1967"/>
    <x v="2319"/>
  </r>
  <r>
    <x v="1"/>
    <x v="0"/>
    <x v="1"/>
    <x v="166"/>
    <x v="20"/>
    <x v="190"/>
    <x v="1968"/>
    <x v="2320"/>
  </r>
  <r>
    <x v="1"/>
    <x v="0"/>
    <x v="2"/>
    <x v="199"/>
    <x v="24"/>
    <x v="158"/>
    <x v="1969"/>
    <x v="2321"/>
  </r>
  <r>
    <x v="2"/>
    <x v="0"/>
    <x v="2"/>
    <x v="54"/>
    <x v="8"/>
    <x v="792"/>
    <x v="1970"/>
    <x v="2322"/>
  </r>
  <r>
    <x v="3"/>
    <x v="0"/>
    <x v="2"/>
    <x v="122"/>
    <x v="9"/>
    <x v="686"/>
    <x v="1013"/>
    <x v="2323"/>
  </r>
  <r>
    <x v="1"/>
    <x v="0"/>
    <x v="2"/>
    <x v="31"/>
    <x v="10"/>
    <x v="722"/>
    <x v="266"/>
    <x v="2324"/>
  </r>
  <r>
    <x v="2"/>
    <x v="0"/>
    <x v="2"/>
    <x v="183"/>
    <x v="22"/>
    <x v="681"/>
    <x v="1971"/>
    <x v="2325"/>
  </r>
  <r>
    <x v="0"/>
    <x v="0"/>
    <x v="2"/>
    <x v="106"/>
    <x v="14"/>
    <x v="417"/>
    <x v="1972"/>
    <x v="2326"/>
  </r>
  <r>
    <x v="1"/>
    <x v="0"/>
    <x v="1"/>
    <x v="80"/>
    <x v="0"/>
    <x v="248"/>
    <x v="1973"/>
    <x v="2327"/>
  </r>
  <r>
    <x v="0"/>
    <x v="0"/>
    <x v="2"/>
    <x v="149"/>
    <x v="7"/>
    <x v="436"/>
    <x v="271"/>
    <x v="2328"/>
  </r>
  <r>
    <x v="0"/>
    <x v="0"/>
    <x v="2"/>
    <x v="65"/>
    <x v="16"/>
    <x v="378"/>
    <x v="1974"/>
    <x v="2329"/>
  </r>
  <r>
    <x v="0"/>
    <x v="0"/>
    <x v="2"/>
    <x v="143"/>
    <x v="22"/>
    <x v="142"/>
    <x v="1975"/>
    <x v="2330"/>
  </r>
  <r>
    <x v="1"/>
    <x v="0"/>
    <x v="2"/>
    <x v="107"/>
    <x v="5"/>
    <x v="270"/>
    <x v="1976"/>
    <x v="2331"/>
  </r>
  <r>
    <x v="1"/>
    <x v="0"/>
    <x v="1"/>
    <x v="95"/>
    <x v="5"/>
    <x v="649"/>
    <x v="1977"/>
    <x v="2332"/>
  </r>
  <r>
    <x v="0"/>
    <x v="0"/>
    <x v="0"/>
    <x v="72"/>
    <x v="7"/>
    <x v="793"/>
    <x v="1978"/>
    <x v="2333"/>
  </r>
  <r>
    <x v="0"/>
    <x v="0"/>
    <x v="0"/>
    <x v="160"/>
    <x v="11"/>
    <x v="526"/>
    <x v="1979"/>
    <x v="2334"/>
  </r>
  <r>
    <x v="0"/>
    <x v="0"/>
    <x v="0"/>
    <x v="199"/>
    <x v="10"/>
    <x v="589"/>
    <x v="1980"/>
    <x v="2335"/>
  </r>
  <r>
    <x v="0"/>
    <x v="0"/>
    <x v="2"/>
    <x v="194"/>
    <x v="6"/>
    <x v="695"/>
    <x v="1981"/>
    <x v="2336"/>
  </r>
  <r>
    <x v="1"/>
    <x v="0"/>
    <x v="1"/>
    <x v="159"/>
    <x v="24"/>
    <x v="638"/>
    <x v="1982"/>
    <x v="2337"/>
  </r>
  <r>
    <x v="0"/>
    <x v="0"/>
    <x v="2"/>
    <x v="83"/>
    <x v="8"/>
    <x v="617"/>
    <x v="1983"/>
    <x v="2338"/>
  </r>
  <r>
    <x v="1"/>
    <x v="0"/>
    <x v="2"/>
    <x v="28"/>
    <x v="14"/>
    <x v="449"/>
    <x v="1081"/>
    <x v="2339"/>
  </r>
  <r>
    <x v="3"/>
    <x v="0"/>
    <x v="2"/>
    <x v="113"/>
    <x v="1"/>
    <x v="579"/>
    <x v="1984"/>
    <x v="2340"/>
  </r>
  <r>
    <x v="2"/>
    <x v="0"/>
    <x v="2"/>
    <x v="47"/>
    <x v="15"/>
    <x v="794"/>
    <x v="1985"/>
    <x v="2341"/>
  </r>
  <r>
    <x v="1"/>
    <x v="0"/>
    <x v="2"/>
    <x v="67"/>
    <x v="10"/>
    <x v="116"/>
    <x v="725"/>
    <x v="2342"/>
  </r>
  <r>
    <x v="0"/>
    <x v="0"/>
    <x v="0"/>
    <x v="73"/>
    <x v="15"/>
    <x v="452"/>
    <x v="1652"/>
    <x v="2343"/>
  </r>
  <r>
    <x v="0"/>
    <x v="0"/>
    <x v="2"/>
    <x v="23"/>
    <x v="28"/>
    <x v="165"/>
    <x v="1986"/>
    <x v="2344"/>
  </r>
  <r>
    <x v="0"/>
    <x v="0"/>
    <x v="2"/>
    <x v="181"/>
    <x v="24"/>
    <x v="784"/>
    <x v="1987"/>
    <x v="2345"/>
  </r>
  <r>
    <x v="1"/>
    <x v="0"/>
    <x v="1"/>
    <x v="208"/>
    <x v="24"/>
    <x v="795"/>
    <x v="1988"/>
    <x v="2346"/>
  </r>
  <r>
    <x v="0"/>
    <x v="0"/>
    <x v="0"/>
    <x v="127"/>
    <x v="0"/>
    <x v="780"/>
    <x v="221"/>
    <x v="2347"/>
  </r>
  <r>
    <x v="0"/>
    <x v="0"/>
    <x v="2"/>
    <x v="137"/>
    <x v="13"/>
    <x v="577"/>
    <x v="1145"/>
    <x v="2348"/>
  </r>
  <r>
    <x v="0"/>
    <x v="0"/>
    <x v="2"/>
    <x v="111"/>
    <x v="14"/>
    <x v="343"/>
    <x v="895"/>
    <x v="2349"/>
  </r>
  <r>
    <x v="1"/>
    <x v="0"/>
    <x v="2"/>
    <x v="77"/>
    <x v="1"/>
    <x v="272"/>
    <x v="1989"/>
    <x v="2350"/>
  </r>
  <r>
    <x v="2"/>
    <x v="0"/>
    <x v="2"/>
    <x v="110"/>
    <x v="1"/>
    <x v="172"/>
    <x v="1990"/>
    <x v="2351"/>
  </r>
  <r>
    <x v="2"/>
    <x v="0"/>
    <x v="2"/>
    <x v="22"/>
    <x v="22"/>
    <x v="464"/>
    <x v="345"/>
    <x v="2352"/>
  </r>
  <r>
    <x v="3"/>
    <x v="0"/>
    <x v="2"/>
    <x v="94"/>
    <x v="2"/>
    <x v="2"/>
    <x v="1991"/>
    <x v="2353"/>
  </r>
  <r>
    <x v="1"/>
    <x v="0"/>
    <x v="1"/>
    <x v="200"/>
    <x v="13"/>
    <x v="552"/>
    <x v="1992"/>
    <x v="2354"/>
  </r>
  <r>
    <x v="3"/>
    <x v="0"/>
    <x v="2"/>
    <x v="52"/>
    <x v="3"/>
    <x v="660"/>
    <x v="1993"/>
    <x v="2355"/>
  </r>
  <r>
    <x v="1"/>
    <x v="0"/>
    <x v="2"/>
    <x v="249"/>
    <x v="15"/>
    <x v="365"/>
    <x v="1994"/>
    <x v="2356"/>
  </r>
  <r>
    <x v="1"/>
    <x v="0"/>
    <x v="2"/>
    <x v="8"/>
    <x v="15"/>
    <x v="199"/>
    <x v="1920"/>
    <x v="2357"/>
  </r>
  <r>
    <x v="3"/>
    <x v="0"/>
    <x v="2"/>
    <x v="234"/>
    <x v="2"/>
    <x v="2"/>
    <x v="1995"/>
    <x v="2358"/>
  </r>
  <r>
    <x v="0"/>
    <x v="0"/>
    <x v="2"/>
    <x v="18"/>
    <x v="17"/>
    <x v="42"/>
    <x v="428"/>
    <x v="2359"/>
  </r>
  <r>
    <x v="2"/>
    <x v="0"/>
    <x v="2"/>
    <x v="233"/>
    <x v="13"/>
    <x v="650"/>
    <x v="1996"/>
    <x v="2360"/>
  </r>
  <r>
    <x v="2"/>
    <x v="0"/>
    <x v="2"/>
    <x v="240"/>
    <x v="23"/>
    <x v="788"/>
    <x v="1072"/>
    <x v="2361"/>
  </r>
  <r>
    <x v="0"/>
    <x v="0"/>
    <x v="2"/>
    <x v="146"/>
    <x v="14"/>
    <x v="507"/>
    <x v="1997"/>
    <x v="2362"/>
  </r>
  <r>
    <x v="1"/>
    <x v="0"/>
    <x v="2"/>
    <x v="215"/>
    <x v="5"/>
    <x v="586"/>
    <x v="66"/>
    <x v="2363"/>
  </r>
  <r>
    <x v="1"/>
    <x v="0"/>
    <x v="1"/>
    <x v="129"/>
    <x v="3"/>
    <x v="646"/>
    <x v="1998"/>
    <x v="2364"/>
  </r>
  <r>
    <x v="1"/>
    <x v="0"/>
    <x v="2"/>
    <x v="199"/>
    <x v="20"/>
    <x v="117"/>
    <x v="1294"/>
    <x v="2365"/>
  </r>
  <r>
    <x v="0"/>
    <x v="0"/>
    <x v="2"/>
    <x v="145"/>
    <x v="2"/>
    <x v="2"/>
    <x v="1999"/>
    <x v="2366"/>
  </r>
  <r>
    <x v="1"/>
    <x v="0"/>
    <x v="1"/>
    <x v="141"/>
    <x v="11"/>
    <x v="526"/>
    <x v="2000"/>
    <x v="2367"/>
  </r>
  <r>
    <x v="1"/>
    <x v="0"/>
    <x v="2"/>
    <x v="245"/>
    <x v="6"/>
    <x v="246"/>
    <x v="2001"/>
    <x v="2368"/>
  </r>
  <r>
    <x v="1"/>
    <x v="0"/>
    <x v="1"/>
    <x v="244"/>
    <x v="5"/>
    <x v="105"/>
    <x v="2002"/>
    <x v="2369"/>
  </r>
  <r>
    <x v="1"/>
    <x v="0"/>
    <x v="2"/>
    <x v="233"/>
    <x v="10"/>
    <x v="703"/>
    <x v="1563"/>
    <x v="2370"/>
  </r>
  <r>
    <x v="0"/>
    <x v="0"/>
    <x v="0"/>
    <x v="119"/>
    <x v="13"/>
    <x v="702"/>
    <x v="857"/>
    <x v="2371"/>
  </r>
  <r>
    <x v="1"/>
    <x v="0"/>
    <x v="2"/>
    <x v="78"/>
    <x v="24"/>
    <x v="572"/>
    <x v="826"/>
    <x v="2372"/>
  </r>
  <r>
    <x v="1"/>
    <x v="0"/>
    <x v="2"/>
    <x v="116"/>
    <x v="20"/>
    <x v="70"/>
    <x v="2003"/>
    <x v="2373"/>
  </r>
  <r>
    <x v="0"/>
    <x v="0"/>
    <x v="0"/>
    <x v="154"/>
    <x v="22"/>
    <x v="795"/>
    <x v="2004"/>
    <x v="2374"/>
  </r>
  <r>
    <x v="0"/>
    <x v="0"/>
    <x v="0"/>
    <x v="226"/>
    <x v="6"/>
    <x v="637"/>
    <x v="2005"/>
    <x v="2375"/>
  </r>
  <r>
    <x v="1"/>
    <x v="0"/>
    <x v="1"/>
    <x v="185"/>
    <x v="6"/>
    <x v="131"/>
    <x v="2006"/>
    <x v="2376"/>
  </r>
  <r>
    <x v="0"/>
    <x v="0"/>
    <x v="2"/>
    <x v="219"/>
    <x v="16"/>
    <x v="314"/>
    <x v="2007"/>
    <x v="2377"/>
  </r>
  <r>
    <x v="3"/>
    <x v="0"/>
    <x v="2"/>
    <x v="145"/>
    <x v="10"/>
    <x v="677"/>
    <x v="2008"/>
    <x v="2378"/>
  </r>
  <r>
    <x v="3"/>
    <x v="0"/>
    <x v="2"/>
    <x v="115"/>
    <x v="5"/>
    <x v="796"/>
    <x v="2009"/>
    <x v="2379"/>
  </r>
  <r>
    <x v="1"/>
    <x v="0"/>
    <x v="1"/>
    <x v="208"/>
    <x v="12"/>
    <x v="797"/>
    <x v="2010"/>
    <x v="2380"/>
  </r>
  <r>
    <x v="1"/>
    <x v="0"/>
    <x v="2"/>
    <x v="9"/>
    <x v="13"/>
    <x v="600"/>
    <x v="1621"/>
    <x v="2381"/>
  </r>
  <r>
    <x v="0"/>
    <x v="0"/>
    <x v="0"/>
    <x v="101"/>
    <x v="3"/>
    <x v="362"/>
    <x v="1799"/>
    <x v="2382"/>
  </r>
  <r>
    <x v="0"/>
    <x v="0"/>
    <x v="2"/>
    <x v="226"/>
    <x v="16"/>
    <x v="376"/>
    <x v="839"/>
    <x v="2383"/>
  </r>
  <r>
    <x v="0"/>
    <x v="0"/>
    <x v="2"/>
    <x v="165"/>
    <x v="15"/>
    <x v="12"/>
    <x v="2011"/>
    <x v="2384"/>
  </r>
  <r>
    <x v="0"/>
    <x v="0"/>
    <x v="0"/>
    <x v="203"/>
    <x v="7"/>
    <x v="338"/>
    <x v="1306"/>
    <x v="2385"/>
  </r>
  <r>
    <x v="1"/>
    <x v="0"/>
    <x v="2"/>
    <x v="205"/>
    <x v="18"/>
    <x v="361"/>
    <x v="1671"/>
    <x v="2386"/>
  </r>
  <r>
    <x v="3"/>
    <x v="0"/>
    <x v="2"/>
    <x v="66"/>
    <x v="11"/>
    <x v="279"/>
    <x v="2012"/>
    <x v="2209"/>
  </r>
  <r>
    <x v="3"/>
    <x v="0"/>
    <x v="2"/>
    <x v="11"/>
    <x v="26"/>
    <x v="374"/>
    <x v="2013"/>
    <x v="2387"/>
  </r>
  <r>
    <x v="0"/>
    <x v="0"/>
    <x v="2"/>
    <x v="230"/>
    <x v="15"/>
    <x v="529"/>
    <x v="1337"/>
    <x v="2388"/>
  </r>
  <r>
    <x v="2"/>
    <x v="0"/>
    <x v="2"/>
    <x v="66"/>
    <x v="2"/>
    <x v="2"/>
    <x v="165"/>
    <x v="2389"/>
  </r>
  <r>
    <x v="0"/>
    <x v="0"/>
    <x v="0"/>
    <x v="145"/>
    <x v="6"/>
    <x v="632"/>
    <x v="2014"/>
    <x v="2390"/>
  </r>
  <r>
    <x v="2"/>
    <x v="0"/>
    <x v="2"/>
    <x v="185"/>
    <x v="5"/>
    <x v="252"/>
    <x v="2015"/>
    <x v="2391"/>
  </r>
  <r>
    <x v="1"/>
    <x v="0"/>
    <x v="2"/>
    <x v="195"/>
    <x v="12"/>
    <x v="593"/>
    <x v="2016"/>
    <x v="2392"/>
  </r>
  <r>
    <x v="0"/>
    <x v="0"/>
    <x v="2"/>
    <x v="171"/>
    <x v="6"/>
    <x v="574"/>
    <x v="2017"/>
    <x v="2393"/>
  </r>
  <r>
    <x v="3"/>
    <x v="0"/>
    <x v="2"/>
    <x v="28"/>
    <x v="15"/>
    <x v="174"/>
    <x v="2018"/>
    <x v="2394"/>
  </r>
  <r>
    <x v="1"/>
    <x v="0"/>
    <x v="2"/>
    <x v="181"/>
    <x v="18"/>
    <x v="475"/>
    <x v="2019"/>
    <x v="2395"/>
  </r>
  <r>
    <x v="0"/>
    <x v="0"/>
    <x v="2"/>
    <x v="36"/>
    <x v="24"/>
    <x v="798"/>
    <x v="2020"/>
    <x v="2396"/>
  </r>
  <r>
    <x v="2"/>
    <x v="0"/>
    <x v="2"/>
    <x v="214"/>
    <x v="3"/>
    <x v="11"/>
    <x v="435"/>
    <x v="2397"/>
  </r>
  <r>
    <x v="1"/>
    <x v="0"/>
    <x v="2"/>
    <x v="156"/>
    <x v="6"/>
    <x v="35"/>
    <x v="1769"/>
    <x v="2398"/>
  </r>
  <r>
    <x v="0"/>
    <x v="0"/>
    <x v="0"/>
    <x v="224"/>
    <x v="1"/>
    <x v="56"/>
    <x v="329"/>
    <x v="2399"/>
  </r>
  <r>
    <x v="1"/>
    <x v="0"/>
    <x v="2"/>
    <x v="42"/>
    <x v="15"/>
    <x v="799"/>
    <x v="2021"/>
    <x v="2400"/>
  </r>
  <r>
    <x v="2"/>
    <x v="0"/>
    <x v="2"/>
    <x v="199"/>
    <x v="15"/>
    <x v="209"/>
    <x v="2022"/>
    <x v="2401"/>
  </r>
  <r>
    <x v="1"/>
    <x v="0"/>
    <x v="1"/>
    <x v="21"/>
    <x v="0"/>
    <x v="393"/>
    <x v="2023"/>
    <x v="2402"/>
  </r>
  <r>
    <x v="1"/>
    <x v="0"/>
    <x v="2"/>
    <x v="126"/>
    <x v="14"/>
    <x v="153"/>
    <x v="2024"/>
    <x v="2403"/>
  </r>
  <r>
    <x v="2"/>
    <x v="0"/>
    <x v="2"/>
    <x v="201"/>
    <x v="18"/>
    <x v="678"/>
    <x v="1056"/>
    <x v="2404"/>
  </r>
  <r>
    <x v="1"/>
    <x v="0"/>
    <x v="2"/>
    <x v="81"/>
    <x v="7"/>
    <x v="217"/>
    <x v="1379"/>
    <x v="2405"/>
  </r>
  <r>
    <x v="0"/>
    <x v="0"/>
    <x v="2"/>
    <x v="82"/>
    <x v="5"/>
    <x v="410"/>
    <x v="2025"/>
    <x v="2406"/>
  </r>
  <r>
    <x v="2"/>
    <x v="0"/>
    <x v="2"/>
    <x v="204"/>
    <x v="13"/>
    <x v="581"/>
    <x v="1695"/>
    <x v="2407"/>
  </r>
  <r>
    <x v="1"/>
    <x v="0"/>
    <x v="1"/>
    <x v="59"/>
    <x v="13"/>
    <x v="501"/>
    <x v="60"/>
    <x v="2408"/>
  </r>
  <r>
    <x v="3"/>
    <x v="0"/>
    <x v="2"/>
    <x v="27"/>
    <x v="1"/>
    <x v="282"/>
    <x v="591"/>
    <x v="2409"/>
  </r>
  <r>
    <x v="3"/>
    <x v="0"/>
    <x v="2"/>
    <x v="120"/>
    <x v="6"/>
    <x v="527"/>
    <x v="1321"/>
    <x v="2410"/>
  </r>
  <r>
    <x v="1"/>
    <x v="0"/>
    <x v="1"/>
    <x v="166"/>
    <x v="17"/>
    <x v="257"/>
    <x v="1336"/>
    <x v="2411"/>
  </r>
  <r>
    <x v="1"/>
    <x v="0"/>
    <x v="2"/>
    <x v="7"/>
    <x v="14"/>
    <x v="517"/>
    <x v="2026"/>
    <x v="2412"/>
  </r>
  <r>
    <x v="2"/>
    <x v="0"/>
    <x v="2"/>
    <x v="244"/>
    <x v="5"/>
    <x v="105"/>
    <x v="2027"/>
    <x v="2413"/>
  </r>
  <r>
    <x v="0"/>
    <x v="0"/>
    <x v="2"/>
    <x v="149"/>
    <x v="10"/>
    <x v="290"/>
    <x v="2028"/>
    <x v="2414"/>
  </r>
  <r>
    <x v="0"/>
    <x v="0"/>
    <x v="0"/>
    <x v="60"/>
    <x v="22"/>
    <x v="800"/>
    <x v="2029"/>
    <x v="2415"/>
  </r>
  <r>
    <x v="3"/>
    <x v="0"/>
    <x v="2"/>
    <x v="67"/>
    <x v="1"/>
    <x v="344"/>
    <x v="2030"/>
    <x v="2416"/>
  </r>
  <r>
    <x v="0"/>
    <x v="0"/>
    <x v="0"/>
    <x v="190"/>
    <x v="22"/>
    <x v="202"/>
    <x v="2031"/>
    <x v="2417"/>
  </r>
  <r>
    <x v="2"/>
    <x v="0"/>
    <x v="2"/>
    <x v="237"/>
    <x v="13"/>
    <x v="672"/>
    <x v="287"/>
    <x v="2418"/>
  </r>
  <r>
    <x v="2"/>
    <x v="0"/>
    <x v="2"/>
    <x v="9"/>
    <x v="14"/>
    <x v="631"/>
    <x v="2032"/>
    <x v="2419"/>
  </r>
  <r>
    <x v="2"/>
    <x v="0"/>
    <x v="2"/>
    <x v="11"/>
    <x v="1"/>
    <x v="548"/>
    <x v="2033"/>
    <x v="2420"/>
  </r>
  <r>
    <x v="2"/>
    <x v="0"/>
    <x v="2"/>
    <x v="205"/>
    <x v="26"/>
    <x v="801"/>
    <x v="2034"/>
    <x v="2421"/>
  </r>
  <r>
    <x v="3"/>
    <x v="0"/>
    <x v="2"/>
    <x v="143"/>
    <x v="2"/>
    <x v="2"/>
    <x v="2035"/>
    <x v="2422"/>
  </r>
  <r>
    <x v="0"/>
    <x v="0"/>
    <x v="0"/>
    <x v="230"/>
    <x v="10"/>
    <x v="802"/>
    <x v="844"/>
    <x v="2423"/>
  </r>
  <r>
    <x v="0"/>
    <x v="0"/>
    <x v="2"/>
    <x v="156"/>
    <x v="10"/>
    <x v="143"/>
    <x v="2036"/>
    <x v="2424"/>
  </r>
  <r>
    <x v="0"/>
    <x v="0"/>
    <x v="2"/>
    <x v="207"/>
    <x v="5"/>
    <x v="793"/>
    <x v="2037"/>
    <x v="2425"/>
  </r>
  <r>
    <x v="1"/>
    <x v="0"/>
    <x v="2"/>
    <x v="114"/>
    <x v="22"/>
    <x v="327"/>
    <x v="903"/>
    <x v="2426"/>
  </r>
  <r>
    <x v="0"/>
    <x v="0"/>
    <x v="2"/>
    <x v="97"/>
    <x v="16"/>
    <x v="803"/>
    <x v="2038"/>
    <x v="2427"/>
  </r>
  <r>
    <x v="3"/>
    <x v="0"/>
    <x v="2"/>
    <x v="142"/>
    <x v="3"/>
    <x v="232"/>
    <x v="1513"/>
    <x v="2428"/>
  </r>
  <r>
    <x v="1"/>
    <x v="0"/>
    <x v="2"/>
    <x v="95"/>
    <x v="12"/>
    <x v="486"/>
    <x v="849"/>
    <x v="2429"/>
  </r>
  <r>
    <x v="1"/>
    <x v="0"/>
    <x v="2"/>
    <x v="174"/>
    <x v="16"/>
    <x v="705"/>
    <x v="880"/>
    <x v="2430"/>
  </r>
  <r>
    <x v="0"/>
    <x v="0"/>
    <x v="0"/>
    <x v="156"/>
    <x v="15"/>
    <x v="195"/>
    <x v="1142"/>
    <x v="2431"/>
  </r>
  <r>
    <x v="1"/>
    <x v="0"/>
    <x v="1"/>
    <x v="189"/>
    <x v="13"/>
    <x v="38"/>
    <x v="2039"/>
    <x v="2432"/>
  </r>
  <r>
    <x v="2"/>
    <x v="0"/>
    <x v="2"/>
    <x v="246"/>
    <x v="22"/>
    <x v="648"/>
    <x v="489"/>
    <x v="2433"/>
  </r>
  <r>
    <x v="0"/>
    <x v="0"/>
    <x v="0"/>
    <x v="60"/>
    <x v="12"/>
    <x v="482"/>
    <x v="1758"/>
    <x v="2434"/>
  </r>
  <r>
    <x v="3"/>
    <x v="0"/>
    <x v="2"/>
    <x v="14"/>
    <x v="15"/>
    <x v="480"/>
    <x v="2040"/>
    <x v="2435"/>
  </r>
  <r>
    <x v="2"/>
    <x v="0"/>
    <x v="2"/>
    <x v="16"/>
    <x v="6"/>
    <x v="557"/>
    <x v="2041"/>
    <x v="2436"/>
  </r>
  <r>
    <x v="3"/>
    <x v="0"/>
    <x v="2"/>
    <x v="83"/>
    <x v="16"/>
    <x v="706"/>
    <x v="947"/>
    <x v="2437"/>
  </r>
  <r>
    <x v="3"/>
    <x v="0"/>
    <x v="2"/>
    <x v="250"/>
    <x v="6"/>
    <x v="61"/>
    <x v="2004"/>
    <x v="2438"/>
  </r>
  <r>
    <x v="0"/>
    <x v="0"/>
    <x v="2"/>
    <x v="78"/>
    <x v="24"/>
    <x v="572"/>
    <x v="1034"/>
    <x v="578"/>
  </r>
  <r>
    <x v="0"/>
    <x v="0"/>
    <x v="0"/>
    <x v="27"/>
    <x v="2"/>
    <x v="2"/>
    <x v="279"/>
    <x v="2439"/>
  </r>
  <r>
    <x v="1"/>
    <x v="0"/>
    <x v="2"/>
    <x v="134"/>
    <x v="11"/>
    <x v="298"/>
    <x v="2042"/>
    <x v="2440"/>
  </r>
  <r>
    <x v="3"/>
    <x v="0"/>
    <x v="2"/>
    <x v="176"/>
    <x v="13"/>
    <x v="397"/>
    <x v="1429"/>
    <x v="2441"/>
  </r>
  <r>
    <x v="3"/>
    <x v="0"/>
    <x v="2"/>
    <x v="242"/>
    <x v="10"/>
    <x v="455"/>
    <x v="1478"/>
    <x v="2442"/>
  </r>
  <r>
    <x v="1"/>
    <x v="0"/>
    <x v="2"/>
    <x v="224"/>
    <x v="0"/>
    <x v="64"/>
    <x v="979"/>
    <x v="2443"/>
  </r>
  <r>
    <x v="3"/>
    <x v="0"/>
    <x v="2"/>
    <x v="78"/>
    <x v="0"/>
    <x v="559"/>
    <x v="1902"/>
    <x v="2444"/>
  </r>
  <r>
    <x v="1"/>
    <x v="0"/>
    <x v="2"/>
    <x v="189"/>
    <x v="2"/>
    <x v="2"/>
    <x v="2043"/>
    <x v="2445"/>
  </r>
  <r>
    <x v="1"/>
    <x v="0"/>
    <x v="2"/>
    <x v="240"/>
    <x v="15"/>
    <x v="804"/>
    <x v="2044"/>
    <x v="2446"/>
  </r>
  <r>
    <x v="0"/>
    <x v="0"/>
    <x v="2"/>
    <x v="78"/>
    <x v="24"/>
    <x v="572"/>
    <x v="2045"/>
    <x v="2447"/>
  </r>
  <r>
    <x v="2"/>
    <x v="0"/>
    <x v="2"/>
    <x v="241"/>
    <x v="18"/>
    <x v="245"/>
    <x v="2046"/>
    <x v="2448"/>
  </r>
  <r>
    <x v="1"/>
    <x v="0"/>
    <x v="2"/>
    <x v="140"/>
    <x v="11"/>
    <x v="344"/>
    <x v="2047"/>
    <x v="2449"/>
  </r>
  <r>
    <x v="0"/>
    <x v="0"/>
    <x v="0"/>
    <x v="120"/>
    <x v="13"/>
    <x v="296"/>
    <x v="1026"/>
    <x v="2450"/>
  </r>
  <r>
    <x v="1"/>
    <x v="0"/>
    <x v="1"/>
    <x v="188"/>
    <x v="17"/>
    <x v="476"/>
    <x v="2048"/>
    <x v="2451"/>
  </r>
  <r>
    <x v="0"/>
    <x v="0"/>
    <x v="2"/>
    <x v="58"/>
    <x v="5"/>
    <x v="805"/>
    <x v="1814"/>
    <x v="2452"/>
  </r>
  <r>
    <x v="0"/>
    <x v="0"/>
    <x v="0"/>
    <x v="30"/>
    <x v="6"/>
    <x v="237"/>
    <x v="2049"/>
    <x v="2453"/>
  </r>
  <r>
    <x v="0"/>
    <x v="0"/>
    <x v="0"/>
    <x v="50"/>
    <x v="21"/>
    <x v="788"/>
    <x v="1727"/>
    <x v="2454"/>
  </r>
  <r>
    <x v="3"/>
    <x v="0"/>
    <x v="2"/>
    <x v="242"/>
    <x v="1"/>
    <x v="688"/>
    <x v="2050"/>
    <x v="2455"/>
  </r>
  <r>
    <x v="1"/>
    <x v="0"/>
    <x v="1"/>
    <x v="92"/>
    <x v="6"/>
    <x v="692"/>
    <x v="2051"/>
    <x v="2456"/>
  </r>
  <r>
    <x v="1"/>
    <x v="0"/>
    <x v="1"/>
    <x v="85"/>
    <x v="3"/>
    <x v="547"/>
    <x v="2052"/>
    <x v="2457"/>
  </r>
  <r>
    <x v="3"/>
    <x v="0"/>
    <x v="2"/>
    <x v="24"/>
    <x v="3"/>
    <x v="192"/>
    <x v="2053"/>
    <x v="2458"/>
  </r>
  <r>
    <x v="1"/>
    <x v="0"/>
    <x v="1"/>
    <x v="240"/>
    <x v="6"/>
    <x v="477"/>
    <x v="1481"/>
    <x v="2459"/>
  </r>
  <r>
    <x v="1"/>
    <x v="0"/>
    <x v="2"/>
    <x v="110"/>
    <x v="7"/>
    <x v="340"/>
    <x v="2054"/>
    <x v="2460"/>
  </r>
  <r>
    <x v="1"/>
    <x v="0"/>
    <x v="1"/>
    <x v="184"/>
    <x v="6"/>
    <x v="19"/>
    <x v="2055"/>
    <x v="2461"/>
  </r>
  <r>
    <x v="3"/>
    <x v="0"/>
    <x v="2"/>
    <x v="35"/>
    <x v="28"/>
    <x v="727"/>
    <x v="889"/>
    <x v="2462"/>
  </r>
  <r>
    <x v="0"/>
    <x v="0"/>
    <x v="2"/>
    <x v="109"/>
    <x v="1"/>
    <x v="325"/>
    <x v="2056"/>
    <x v="2463"/>
  </r>
  <r>
    <x v="0"/>
    <x v="0"/>
    <x v="0"/>
    <x v="245"/>
    <x v="10"/>
    <x v="391"/>
    <x v="2057"/>
    <x v="2464"/>
  </r>
  <r>
    <x v="3"/>
    <x v="0"/>
    <x v="2"/>
    <x v="78"/>
    <x v="5"/>
    <x v="159"/>
    <x v="1603"/>
    <x v="2465"/>
  </r>
  <r>
    <x v="3"/>
    <x v="0"/>
    <x v="2"/>
    <x v="139"/>
    <x v="6"/>
    <x v="359"/>
    <x v="1258"/>
    <x v="2466"/>
  </r>
  <r>
    <x v="2"/>
    <x v="0"/>
    <x v="2"/>
    <x v="129"/>
    <x v="7"/>
    <x v="573"/>
    <x v="2058"/>
    <x v="2467"/>
  </r>
  <r>
    <x v="1"/>
    <x v="0"/>
    <x v="1"/>
    <x v="129"/>
    <x v="24"/>
    <x v="806"/>
    <x v="2059"/>
    <x v="2468"/>
  </r>
  <r>
    <x v="3"/>
    <x v="0"/>
    <x v="2"/>
    <x v="140"/>
    <x v="6"/>
    <x v="244"/>
    <x v="1339"/>
    <x v="2469"/>
  </r>
  <r>
    <x v="1"/>
    <x v="0"/>
    <x v="1"/>
    <x v="137"/>
    <x v="11"/>
    <x v="27"/>
    <x v="2060"/>
    <x v="2470"/>
  </r>
  <r>
    <x v="0"/>
    <x v="0"/>
    <x v="2"/>
    <x v="47"/>
    <x v="3"/>
    <x v="370"/>
    <x v="288"/>
    <x v="2471"/>
  </r>
  <r>
    <x v="1"/>
    <x v="0"/>
    <x v="2"/>
    <x v="23"/>
    <x v="22"/>
    <x v="807"/>
    <x v="2061"/>
    <x v="2472"/>
  </r>
  <r>
    <x v="0"/>
    <x v="0"/>
    <x v="2"/>
    <x v="187"/>
    <x v="16"/>
    <x v="394"/>
    <x v="2062"/>
    <x v="2473"/>
  </r>
  <r>
    <x v="1"/>
    <x v="0"/>
    <x v="1"/>
    <x v="57"/>
    <x v="20"/>
    <x v="808"/>
    <x v="2063"/>
    <x v="2474"/>
  </r>
  <r>
    <x v="1"/>
    <x v="0"/>
    <x v="2"/>
    <x v="115"/>
    <x v="9"/>
    <x v="242"/>
    <x v="953"/>
    <x v="2475"/>
  </r>
  <r>
    <x v="1"/>
    <x v="0"/>
    <x v="2"/>
    <x v="128"/>
    <x v="11"/>
    <x v="58"/>
    <x v="931"/>
    <x v="2476"/>
  </r>
  <r>
    <x v="1"/>
    <x v="0"/>
    <x v="1"/>
    <x v="23"/>
    <x v="17"/>
    <x v="596"/>
    <x v="2064"/>
    <x v="2477"/>
  </r>
  <r>
    <x v="3"/>
    <x v="0"/>
    <x v="2"/>
    <x v="178"/>
    <x v="9"/>
    <x v="799"/>
    <x v="2065"/>
    <x v="2478"/>
  </r>
  <r>
    <x v="3"/>
    <x v="0"/>
    <x v="2"/>
    <x v="125"/>
    <x v="10"/>
    <x v="748"/>
    <x v="2066"/>
    <x v="2479"/>
  </r>
  <r>
    <x v="2"/>
    <x v="0"/>
    <x v="2"/>
    <x v="19"/>
    <x v="10"/>
    <x v="228"/>
    <x v="2067"/>
    <x v="2480"/>
  </r>
  <r>
    <x v="1"/>
    <x v="0"/>
    <x v="2"/>
    <x v="142"/>
    <x v="14"/>
    <x v="41"/>
    <x v="2068"/>
    <x v="2481"/>
  </r>
  <r>
    <x v="2"/>
    <x v="0"/>
    <x v="2"/>
    <x v="237"/>
    <x v="7"/>
    <x v="629"/>
    <x v="1789"/>
    <x v="2482"/>
  </r>
  <r>
    <x v="2"/>
    <x v="0"/>
    <x v="2"/>
    <x v="94"/>
    <x v="2"/>
    <x v="2"/>
    <x v="962"/>
    <x v="2483"/>
  </r>
  <r>
    <x v="1"/>
    <x v="0"/>
    <x v="1"/>
    <x v="207"/>
    <x v="22"/>
    <x v="652"/>
    <x v="2069"/>
    <x v="2484"/>
  </r>
  <r>
    <x v="1"/>
    <x v="0"/>
    <x v="1"/>
    <x v="7"/>
    <x v="3"/>
    <x v="687"/>
    <x v="2070"/>
    <x v="2485"/>
  </r>
  <r>
    <x v="0"/>
    <x v="0"/>
    <x v="2"/>
    <x v="123"/>
    <x v="10"/>
    <x v="609"/>
    <x v="1654"/>
    <x v="2486"/>
  </r>
  <r>
    <x v="0"/>
    <x v="0"/>
    <x v="2"/>
    <x v="153"/>
    <x v="8"/>
    <x v="809"/>
    <x v="2071"/>
    <x v="2487"/>
  </r>
  <r>
    <x v="0"/>
    <x v="0"/>
    <x v="0"/>
    <x v="124"/>
    <x v="13"/>
    <x v="206"/>
    <x v="1091"/>
    <x v="2488"/>
  </r>
  <r>
    <x v="0"/>
    <x v="0"/>
    <x v="2"/>
    <x v="141"/>
    <x v="7"/>
    <x v="766"/>
    <x v="2072"/>
    <x v="2489"/>
  </r>
  <r>
    <x v="1"/>
    <x v="0"/>
    <x v="1"/>
    <x v="173"/>
    <x v="22"/>
    <x v="245"/>
    <x v="2073"/>
    <x v="2490"/>
  </r>
  <r>
    <x v="1"/>
    <x v="0"/>
    <x v="1"/>
    <x v="130"/>
    <x v="17"/>
    <x v="277"/>
    <x v="2074"/>
    <x v="2491"/>
  </r>
  <r>
    <x v="1"/>
    <x v="0"/>
    <x v="1"/>
    <x v="30"/>
    <x v="15"/>
    <x v="759"/>
    <x v="2075"/>
    <x v="2492"/>
  </r>
  <r>
    <x v="0"/>
    <x v="0"/>
    <x v="0"/>
    <x v="67"/>
    <x v="24"/>
    <x v="810"/>
    <x v="391"/>
    <x v="2493"/>
  </r>
  <r>
    <x v="1"/>
    <x v="0"/>
    <x v="2"/>
    <x v="214"/>
    <x v="0"/>
    <x v="96"/>
    <x v="1858"/>
    <x v="2494"/>
  </r>
  <r>
    <x v="1"/>
    <x v="0"/>
    <x v="2"/>
    <x v="191"/>
    <x v="2"/>
    <x v="2"/>
    <x v="1495"/>
    <x v="2495"/>
  </r>
  <r>
    <x v="3"/>
    <x v="0"/>
    <x v="2"/>
    <x v="57"/>
    <x v="3"/>
    <x v="155"/>
    <x v="2076"/>
    <x v="2496"/>
  </r>
  <r>
    <x v="2"/>
    <x v="0"/>
    <x v="2"/>
    <x v="136"/>
    <x v="25"/>
    <x v="0"/>
    <x v="2077"/>
    <x v="2497"/>
  </r>
  <r>
    <x v="2"/>
    <x v="0"/>
    <x v="2"/>
    <x v="168"/>
    <x v="28"/>
    <x v="68"/>
    <x v="601"/>
    <x v="2498"/>
  </r>
  <r>
    <x v="2"/>
    <x v="0"/>
    <x v="2"/>
    <x v="150"/>
    <x v="0"/>
    <x v="811"/>
    <x v="2078"/>
    <x v="2499"/>
  </r>
  <r>
    <x v="3"/>
    <x v="0"/>
    <x v="2"/>
    <x v="183"/>
    <x v="12"/>
    <x v="452"/>
    <x v="419"/>
    <x v="2500"/>
  </r>
  <r>
    <x v="0"/>
    <x v="0"/>
    <x v="2"/>
    <x v="121"/>
    <x v="24"/>
    <x v="12"/>
    <x v="2079"/>
    <x v="2501"/>
  </r>
  <r>
    <x v="3"/>
    <x v="0"/>
    <x v="2"/>
    <x v="223"/>
    <x v="0"/>
    <x v="722"/>
    <x v="2080"/>
    <x v="2502"/>
  </r>
  <r>
    <x v="1"/>
    <x v="0"/>
    <x v="2"/>
    <x v="144"/>
    <x v="5"/>
    <x v="531"/>
    <x v="1279"/>
    <x v="2503"/>
  </r>
  <r>
    <x v="1"/>
    <x v="0"/>
    <x v="2"/>
    <x v="215"/>
    <x v="18"/>
    <x v="321"/>
    <x v="2081"/>
    <x v="2504"/>
  </r>
  <r>
    <x v="1"/>
    <x v="0"/>
    <x v="1"/>
    <x v="156"/>
    <x v="6"/>
    <x v="35"/>
    <x v="1852"/>
    <x v="2505"/>
  </r>
  <r>
    <x v="0"/>
    <x v="0"/>
    <x v="0"/>
    <x v="249"/>
    <x v="2"/>
    <x v="2"/>
    <x v="2082"/>
    <x v="2506"/>
  </r>
  <r>
    <x v="0"/>
    <x v="0"/>
    <x v="0"/>
    <x v="155"/>
    <x v="26"/>
    <x v="525"/>
    <x v="2083"/>
    <x v="2507"/>
  </r>
  <r>
    <x v="1"/>
    <x v="0"/>
    <x v="2"/>
    <x v="168"/>
    <x v="13"/>
    <x v="515"/>
    <x v="2084"/>
    <x v="2508"/>
  </r>
  <r>
    <x v="1"/>
    <x v="0"/>
    <x v="2"/>
    <x v="244"/>
    <x v="13"/>
    <x v="363"/>
    <x v="2085"/>
    <x v="2509"/>
  </r>
  <r>
    <x v="0"/>
    <x v="0"/>
    <x v="0"/>
    <x v="157"/>
    <x v="9"/>
    <x v="683"/>
    <x v="2086"/>
    <x v="2510"/>
  </r>
  <r>
    <x v="2"/>
    <x v="0"/>
    <x v="2"/>
    <x v="136"/>
    <x v="25"/>
    <x v="0"/>
    <x v="2087"/>
    <x v="2511"/>
  </r>
  <r>
    <x v="1"/>
    <x v="0"/>
    <x v="1"/>
    <x v="5"/>
    <x v="0"/>
    <x v="733"/>
    <x v="2088"/>
    <x v="2512"/>
  </r>
  <r>
    <x v="0"/>
    <x v="0"/>
    <x v="0"/>
    <x v="40"/>
    <x v="1"/>
    <x v="812"/>
    <x v="2089"/>
    <x v="2513"/>
  </r>
  <r>
    <x v="1"/>
    <x v="0"/>
    <x v="2"/>
    <x v="180"/>
    <x v="13"/>
    <x v="14"/>
    <x v="2090"/>
    <x v="2514"/>
  </r>
  <r>
    <x v="0"/>
    <x v="0"/>
    <x v="2"/>
    <x v="103"/>
    <x v="24"/>
    <x v="229"/>
    <x v="2091"/>
    <x v="2515"/>
  </r>
  <r>
    <x v="1"/>
    <x v="0"/>
    <x v="2"/>
    <x v="59"/>
    <x v="0"/>
    <x v="775"/>
    <x v="2092"/>
    <x v="2516"/>
  </r>
  <r>
    <x v="3"/>
    <x v="0"/>
    <x v="2"/>
    <x v="189"/>
    <x v="2"/>
    <x v="2"/>
    <x v="1522"/>
    <x v="2517"/>
  </r>
  <r>
    <x v="1"/>
    <x v="0"/>
    <x v="2"/>
    <x v="147"/>
    <x v="1"/>
    <x v="241"/>
    <x v="939"/>
    <x v="2518"/>
  </r>
  <r>
    <x v="0"/>
    <x v="0"/>
    <x v="2"/>
    <x v="11"/>
    <x v="20"/>
    <x v="54"/>
    <x v="2093"/>
    <x v="2519"/>
  </r>
  <r>
    <x v="2"/>
    <x v="0"/>
    <x v="2"/>
    <x v="99"/>
    <x v="10"/>
    <x v="508"/>
    <x v="2094"/>
    <x v="2520"/>
  </r>
  <r>
    <x v="1"/>
    <x v="0"/>
    <x v="1"/>
    <x v="138"/>
    <x v="17"/>
    <x v="427"/>
    <x v="1832"/>
    <x v="2521"/>
  </r>
  <r>
    <x v="0"/>
    <x v="0"/>
    <x v="0"/>
    <x v="127"/>
    <x v="2"/>
    <x v="2"/>
    <x v="2095"/>
    <x v="2522"/>
  </r>
  <r>
    <x v="1"/>
    <x v="0"/>
    <x v="2"/>
    <x v="94"/>
    <x v="11"/>
    <x v="414"/>
    <x v="2096"/>
    <x v="2523"/>
  </r>
  <r>
    <x v="3"/>
    <x v="0"/>
    <x v="2"/>
    <x v="13"/>
    <x v="14"/>
    <x v="813"/>
    <x v="2097"/>
    <x v="2524"/>
  </r>
  <r>
    <x v="2"/>
    <x v="0"/>
    <x v="2"/>
    <x v="60"/>
    <x v="16"/>
    <x v="587"/>
    <x v="721"/>
    <x v="2525"/>
  </r>
  <r>
    <x v="1"/>
    <x v="0"/>
    <x v="2"/>
    <x v="160"/>
    <x v="3"/>
    <x v="162"/>
    <x v="943"/>
    <x v="2526"/>
  </r>
  <r>
    <x v="1"/>
    <x v="0"/>
    <x v="1"/>
    <x v="26"/>
    <x v="2"/>
    <x v="2"/>
    <x v="2098"/>
    <x v="2527"/>
  </r>
  <r>
    <x v="0"/>
    <x v="0"/>
    <x v="2"/>
    <x v="99"/>
    <x v="3"/>
    <x v="814"/>
    <x v="2099"/>
    <x v="2528"/>
  </r>
  <r>
    <x v="1"/>
    <x v="0"/>
    <x v="2"/>
    <x v="31"/>
    <x v="17"/>
    <x v="119"/>
    <x v="2100"/>
    <x v="2529"/>
  </r>
  <r>
    <x v="1"/>
    <x v="0"/>
    <x v="1"/>
    <x v="196"/>
    <x v="5"/>
    <x v="3"/>
    <x v="2101"/>
    <x v="2530"/>
  </r>
  <r>
    <x v="0"/>
    <x v="0"/>
    <x v="2"/>
    <x v="233"/>
    <x v="22"/>
    <x v="435"/>
    <x v="2102"/>
    <x v="2531"/>
  </r>
  <r>
    <x v="1"/>
    <x v="0"/>
    <x v="2"/>
    <x v="9"/>
    <x v="17"/>
    <x v="101"/>
    <x v="2103"/>
    <x v="2532"/>
  </r>
  <r>
    <x v="0"/>
    <x v="0"/>
    <x v="2"/>
    <x v="118"/>
    <x v="13"/>
    <x v="249"/>
    <x v="1768"/>
    <x v="2533"/>
  </r>
  <r>
    <x v="0"/>
    <x v="0"/>
    <x v="2"/>
    <x v="92"/>
    <x v="15"/>
    <x v="120"/>
    <x v="2104"/>
    <x v="2534"/>
  </r>
  <r>
    <x v="1"/>
    <x v="0"/>
    <x v="2"/>
    <x v="102"/>
    <x v="17"/>
    <x v="52"/>
    <x v="2105"/>
    <x v="2535"/>
  </r>
  <r>
    <x v="2"/>
    <x v="0"/>
    <x v="2"/>
    <x v="233"/>
    <x v="16"/>
    <x v="142"/>
    <x v="2106"/>
    <x v="2536"/>
  </r>
  <r>
    <x v="0"/>
    <x v="0"/>
    <x v="0"/>
    <x v="95"/>
    <x v="12"/>
    <x v="486"/>
    <x v="2107"/>
    <x v="2537"/>
  </r>
  <r>
    <x v="1"/>
    <x v="0"/>
    <x v="2"/>
    <x v="120"/>
    <x v="1"/>
    <x v="441"/>
    <x v="2108"/>
    <x v="2538"/>
  </r>
  <r>
    <x v="3"/>
    <x v="0"/>
    <x v="2"/>
    <x v="174"/>
    <x v="6"/>
    <x v="815"/>
    <x v="2088"/>
    <x v="2539"/>
  </r>
  <r>
    <x v="3"/>
    <x v="0"/>
    <x v="2"/>
    <x v="121"/>
    <x v="17"/>
    <x v="505"/>
    <x v="2109"/>
    <x v="2540"/>
  </r>
  <r>
    <x v="1"/>
    <x v="0"/>
    <x v="2"/>
    <x v="225"/>
    <x v="1"/>
    <x v="357"/>
    <x v="2110"/>
    <x v="2541"/>
  </r>
  <r>
    <x v="0"/>
    <x v="0"/>
    <x v="2"/>
    <x v="68"/>
    <x v="24"/>
    <x v="61"/>
    <x v="1123"/>
    <x v="2542"/>
  </r>
  <r>
    <x v="0"/>
    <x v="0"/>
    <x v="0"/>
    <x v="241"/>
    <x v="0"/>
    <x v="136"/>
    <x v="2111"/>
    <x v="2543"/>
  </r>
  <r>
    <x v="0"/>
    <x v="0"/>
    <x v="0"/>
    <x v="131"/>
    <x v="8"/>
    <x v="721"/>
    <x v="2112"/>
    <x v="2544"/>
  </r>
  <r>
    <x v="2"/>
    <x v="0"/>
    <x v="2"/>
    <x v="218"/>
    <x v="3"/>
    <x v="0"/>
    <x v="2113"/>
    <x v="2545"/>
  </r>
  <r>
    <x v="2"/>
    <x v="0"/>
    <x v="2"/>
    <x v="191"/>
    <x v="5"/>
    <x v="271"/>
    <x v="1689"/>
    <x v="2546"/>
  </r>
  <r>
    <x v="2"/>
    <x v="0"/>
    <x v="2"/>
    <x v="88"/>
    <x v="11"/>
    <x v="397"/>
    <x v="1179"/>
    <x v="2547"/>
  </r>
  <r>
    <x v="2"/>
    <x v="0"/>
    <x v="2"/>
    <x v="58"/>
    <x v="4"/>
    <x v="275"/>
    <x v="325"/>
    <x v="2548"/>
  </r>
  <r>
    <x v="1"/>
    <x v="0"/>
    <x v="2"/>
    <x v="189"/>
    <x v="7"/>
    <x v="763"/>
    <x v="2114"/>
    <x v="2549"/>
  </r>
  <r>
    <x v="1"/>
    <x v="0"/>
    <x v="1"/>
    <x v="217"/>
    <x v="11"/>
    <x v="468"/>
    <x v="2115"/>
    <x v="2550"/>
  </r>
  <r>
    <x v="0"/>
    <x v="0"/>
    <x v="2"/>
    <x v="88"/>
    <x v="26"/>
    <x v="240"/>
    <x v="657"/>
    <x v="2551"/>
  </r>
  <r>
    <x v="0"/>
    <x v="0"/>
    <x v="2"/>
    <x v="17"/>
    <x v="3"/>
    <x v="769"/>
    <x v="2116"/>
    <x v="2552"/>
  </r>
  <r>
    <x v="1"/>
    <x v="0"/>
    <x v="2"/>
    <x v="16"/>
    <x v="7"/>
    <x v="700"/>
    <x v="1508"/>
    <x v="2553"/>
  </r>
  <r>
    <x v="3"/>
    <x v="0"/>
    <x v="2"/>
    <x v="123"/>
    <x v="6"/>
    <x v="403"/>
    <x v="2117"/>
    <x v="2554"/>
  </r>
  <r>
    <x v="1"/>
    <x v="0"/>
    <x v="2"/>
    <x v="105"/>
    <x v="2"/>
    <x v="2"/>
    <x v="2118"/>
    <x v="2555"/>
  </r>
  <r>
    <x v="2"/>
    <x v="0"/>
    <x v="2"/>
    <x v="129"/>
    <x v="17"/>
    <x v="641"/>
    <x v="228"/>
    <x v="2556"/>
  </r>
  <r>
    <x v="3"/>
    <x v="0"/>
    <x v="2"/>
    <x v="242"/>
    <x v="25"/>
    <x v="610"/>
    <x v="2119"/>
    <x v="2557"/>
  </r>
  <r>
    <x v="0"/>
    <x v="0"/>
    <x v="2"/>
    <x v="156"/>
    <x v="1"/>
    <x v="352"/>
    <x v="2120"/>
    <x v="2558"/>
  </r>
  <r>
    <x v="1"/>
    <x v="0"/>
    <x v="1"/>
    <x v="179"/>
    <x v="15"/>
    <x v="605"/>
    <x v="2121"/>
    <x v="2559"/>
  </r>
  <r>
    <x v="0"/>
    <x v="0"/>
    <x v="2"/>
    <x v="139"/>
    <x v="0"/>
    <x v="431"/>
    <x v="2122"/>
    <x v="2560"/>
  </r>
  <r>
    <x v="0"/>
    <x v="0"/>
    <x v="2"/>
    <x v="46"/>
    <x v="3"/>
    <x v="288"/>
    <x v="1586"/>
    <x v="2561"/>
  </r>
  <r>
    <x v="3"/>
    <x v="0"/>
    <x v="2"/>
    <x v="57"/>
    <x v="15"/>
    <x v="778"/>
    <x v="969"/>
    <x v="2562"/>
  </r>
  <r>
    <x v="0"/>
    <x v="0"/>
    <x v="0"/>
    <x v="60"/>
    <x v="11"/>
    <x v="816"/>
    <x v="2123"/>
    <x v="2563"/>
  </r>
  <r>
    <x v="3"/>
    <x v="0"/>
    <x v="2"/>
    <x v="57"/>
    <x v="10"/>
    <x v="622"/>
    <x v="1540"/>
    <x v="2564"/>
  </r>
  <r>
    <x v="2"/>
    <x v="0"/>
    <x v="2"/>
    <x v="61"/>
    <x v="13"/>
    <x v="323"/>
    <x v="2124"/>
    <x v="2565"/>
  </r>
  <r>
    <x v="1"/>
    <x v="0"/>
    <x v="1"/>
    <x v="107"/>
    <x v="7"/>
    <x v="561"/>
    <x v="2125"/>
    <x v="2566"/>
  </r>
  <r>
    <x v="1"/>
    <x v="0"/>
    <x v="1"/>
    <x v="245"/>
    <x v="6"/>
    <x v="246"/>
    <x v="2031"/>
    <x v="2567"/>
  </r>
  <r>
    <x v="1"/>
    <x v="0"/>
    <x v="1"/>
    <x v="202"/>
    <x v="14"/>
    <x v="377"/>
    <x v="2126"/>
    <x v="2568"/>
  </r>
  <r>
    <x v="0"/>
    <x v="0"/>
    <x v="0"/>
    <x v="106"/>
    <x v="4"/>
    <x v="36"/>
    <x v="1584"/>
    <x v="2569"/>
  </r>
  <r>
    <x v="2"/>
    <x v="0"/>
    <x v="2"/>
    <x v="40"/>
    <x v="11"/>
    <x v="620"/>
    <x v="2127"/>
    <x v="2570"/>
  </r>
  <r>
    <x v="3"/>
    <x v="0"/>
    <x v="2"/>
    <x v="3"/>
    <x v="9"/>
    <x v="817"/>
    <x v="2128"/>
    <x v="2571"/>
  </r>
  <r>
    <x v="1"/>
    <x v="0"/>
    <x v="2"/>
    <x v="166"/>
    <x v="12"/>
    <x v="153"/>
    <x v="2129"/>
    <x v="2572"/>
  </r>
  <r>
    <x v="1"/>
    <x v="0"/>
    <x v="1"/>
    <x v="216"/>
    <x v="7"/>
    <x v="251"/>
    <x v="2130"/>
    <x v="2573"/>
  </r>
  <r>
    <x v="0"/>
    <x v="0"/>
    <x v="0"/>
    <x v="46"/>
    <x v="11"/>
    <x v="600"/>
    <x v="2131"/>
    <x v="2574"/>
  </r>
  <r>
    <x v="0"/>
    <x v="0"/>
    <x v="0"/>
    <x v="72"/>
    <x v="25"/>
    <x v="595"/>
    <x v="682"/>
    <x v="2575"/>
  </r>
  <r>
    <x v="2"/>
    <x v="0"/>
    <x v="2"/>
    <x v="49"/>
    <x v="11"/>
    <x v="132"/>
    <x v="2132"/>
    <x v="2576"/>
  </r>
  <r>
    <x v="0"/>
    <x v="0"/>
    <x v="0"/>
    <x v="227"/>
    <x v="28"/>
    <x v="572"/>
    <x v="2133"/>
    <x v="2577"/>
  </r>
  <r>
    <x v="1"/>
    <x v="0"/>
    <x v="1"/>
    <x v="42"/>
    <x v="11"/>
    <x v="87"/>
    <x v="1269"/>
    <x v="2578"/>
  </r>
  <r>
    <x v="1"/>
    <x v="0"/>
    <x v="2"/>
    <x v="18"/>
    <x v="7"/>
    <x v="694"/>
    <x v="696"/>
    <x v="2579"/>
  </r>
  <r>
    <x v="3"/>
    <x v="0"/>
    <x v="2"/>
    <x v="169"/>
    <x v="2"/>
    <x v="2"/>
    <x v="844"/>
    <x v="2580"/>
  </r>
  <r>
    <x v="2"/>
    <x v="0"/>
    <x v="2"/>
    <x v="21"/>
    <x v="16"/>
    <x v="681"/>
    <x v="2134"/>
    <x v="2581"/>
  </r>
  <r>
    <x v="0"/>
    <x v="0"/>
    <x v="2"/>
    <x v="9"/>
    <x v="13"/>
    <x v="600"/>
    <x v="2135"/>
    <x v="2582"/>
  </r>
  <r>
    <x v="1"/>
    <x v="0"/>
    <x v="1"/>
    <x v="156"/>
    <x v="0"/>
    <x v="538"/>
    <x v="2136"/>
    <x v="2583"/>
  </r>
  <r>
    <x v="1"/>
    <x v="0"/>
    <x v="1"/>
    <x v="209"/>
    <x v="5"/>
    <x v="622"/>
    <x v="938"/>
    <x v="2584"/>
  </r>
  <r>
    <x v="2"/>
    <x v="0"/>
    <x v="2"/>
    <x v="46"/>
    <x v="6"/>
    <x v="310"/>
    <x v="2137"/>
    <x v="2585"/>
  </r>
  <r>
    <x v="1"/>
    <x v="0"/>
    <x v="1"/>
    <x v="217"/>
    <x v="24"/>
    <x v="82"/>
    <x v="2138"/>
    <x v="2586"/>
  </r>
  <r>
    <x v="0"/>
    <x v="0"/>
    <x v="2"/>
    <x v="70"/>
    <x v="24"/>
    <x v="165"/>
    <x v="1083"/>
    <x v="2587"/>
  </r>
  <r>
    <x v="1"/>
    <x v="0"/>
    <x v="1"/>
    <x v="7"/>
    <x v="9"/>
    <x v="605"/>
    <x v="2139"/>
    <x v="2588"/>
  </r>
  <r>
    <x v="1"/>
    <x v="0"/>
    <x v="1"/>
    <x v="179"/>
    <x v="2"/>
    <x v="2"/>
    <x v="2140"/>
    <x v="2589"/>
  </r>
  <r>
    <x v="1"/>
    <x v="0"/>
    <x v="2"/>
    <x v="107"/>
    <x v="7"/>
    <x v="561"/>
    <x v="2141"/>
    <x v="2590"/>
  </r>
  <r>
    <x v="0"/>
    <x v="0"/>
    <x v="0"/>
    <x v="110"/>
    <x v="0"/>
    <x v="227"/>
    <x v="2142"/>
    <x v="2591"/>
  </r>
  <r>
    <x v="0"/>
    <x v="0"/>
    <x v="0"/>
    <x v="15"/>
    <x v="5"/>
    <x v="74"/>
    <x v="2143"/>
    <x v="2592"/>
  </r>
  <r>
    <x v="1"/>
    <x v="0"/>
    <x v="2"/>
    <x v="1"/>
    <x v="10"/>
    <x v="619"/>
    <x v="1889"/>
    <x v="2593"/>
  </r>
  <r>
    <x v="2"/>
    <x v="0"/>
    <x v="2"/>
    <x v="69"/>
    <x v="6"/>
    <x v="818"/>
    <x v="2144"/>
    <x v="2594"/>
  </r>
  <r>
    <x v="1"/>
    <x v="0"/>
    <x v="2"/>
    <x v="111"/>
    <x v="0"/>
    <x v="214"/>
    <x v="2145"/>
    <x v="2595"/>
  </r>
  <r>
    <x v="0"/>
    <x v="0"/>
    <x v="0"/>
    <x v="23"/>
    <x v="11"/>
    <x v="397"/>
    <x v="2146"/>
    <x v="2596"/>
  </r>
  <r>
    <x v="3"/>
    <x v="0"/>
    <x v="2"/>
    <x v="246"/>
    <x v="5"/>
    <x v="1"/>
    <x v="2147"/>
    <x v="2597"/>
  </r>
  <r>
    <x v="2"/>
    <x v="0"/>
    <x v="2"/>
    <x v="94"/>
    <x v="10"/>
    <x v="219"/>
    <x v="2148"/>
    <x v="2598"/>
  </r>
  <r>
    <x v="3"/>
    <x v="0"/>
    <x v="2"/>
    <x v="125"/>
    <x v="0"/>
    <x v="13"/>
    <x v="2149"/>
    <x v="2599"/>
  </r>
  <r>
    <x v="0"/>
    <x v="0"/>
    <x v="0"/>
    <x v="37"/>
    <x v="6"/>
    <x v="49"/>
    <x v="827"/>
    <x v="2600"/>
  </r>
  <r>
    <x v="0"/>
    <x v="0"/>
    <x v="2"/>
    <x v="167"/>
    <x v="13"/>
    <x v="99"/>
    <x v="1103"/>
    <x v="2601"/>
  </r>
  <r>
    <x v="1"/>
    <x v="0"/>
    <x v="1"/>
    <x v="170"/>
    <x v="1"/>
    <x v="687"/>
    <x v="643"/>
    <x v="2602"/>
  </r>
  <r>
    <x v="0"/>
    <x v="0"/>
    <x v="0"/>
    <x v="61"/>
    <x v="0"/>
    <x v="170"/>
    <x v="163"/>
    <x v="2603"/>
  </r>
  <r>
    <x v="1"/>
    <x v="0"/>
    <x v="2"/>
    <x v="213"/>
    <x v="6"/>
    <x v="26"/>
    <x v="2150"/>
    <x v="2604"/>
  </r>
  <r>
    <x v="1"/>
    <x v="0"/>
    <x v="2"/>
    <x v="167"/>
    <x v="6"/>
    <x v="628"/>
    <x v="2151"/>
    <x v="2605"/>
  </r>
  <r>
    <x v="1"/>
    <x v="0"/>
    <x v="2"/>
    <x v="142"/>
    <x v="16"/>
    <x v="819"/>
    <x v="2152"/>
    <x v="2606"/>
  </r>
  <r>
    <x v="0"/>
    <x v="0"/>
    <x v="0"/>
    <x v="159"/>
    <x v="0"/>
    <x v="499"/>
    <x v="2153"/>
    <x v="2607"/>
  </r>
  <r>
    <x v="2"/>
    <x v="0"/>
    <x v="2"/>
    <x v="209"/>
    <x v="7"/>
    <x v="770"/>
    <x v="1644"/>
    <x v="2608"/>
  </r>
  <r>
    <x v="0"/>
    <x v="0"/>
    <x v="2"/>
    <x v="46"/>
    <x v="6"/>
    <x v="310"/>
    <x v="250"/>
    <x v="1311"/>
  </r>
  <r>
    <x v="0"/>
    <x v="0"/>
    <x v="0"/>
    <x v="248"/>
    <x v="10"/>
    <x v="449"/>
    <x v="995"/>
    <x v="2609"/>
  </r>
  <r>
    <x v="0"/>
    <x v="0"/>
    <x v="2"/>
    <x v="59"/>
    <x v="0"/>
    <x v="775"/>
    <x v="2154"/>
    <x v="2610"/>
  </r>
  <r>
    <x v="3"/>
    <x v="0"/>
    <x v="2"/>
    <x v="111"/>
    <x v="10"/>
    <x v="820"/>
    <x v="2155"/>
    <x v="2611"/>
  </r>
  <r>
    <x v="2"/>
    <x v="0"/>
    <x v="2"/>
    <x v="90"/>
    <x v="10"/>
    <x v="89"/>
    <x v="2156"/>
    <x v="2612"/>
  </r>
  <r>
    <x v="0"/>
    <x v="0"/>
    <x v="0"/>
    <x v="190"/>
    <x v="23"/>
    <x v="295"/>
    <x v="2157"/>
    <x v="2613"/>
  </r>
  <r>
    <x v="1"/>
    <x v="0"/>
    <x v="2"/>
    <x v="131"/>
    <x v="10"/>
    <x v="812"/>
    <x v="2158"/>
    <x v="2614"/>
  </r>
  <r>
    <x v="0"/>
    <x v="0"/>
    <x v="0"/>
    <x v="29"/>
    <x v="15"/>
    <x v="810"/>
    <x v="2159"/>
    <x v="2615"/>
  </r>
  <r>
    <x v="3"/>
    <x v="0"/>
    <x v="2"/>
    <x v="129"/>
    <x v="14"/>
    <x v="364"/>
    <x v="2160"/>
    <x v="2616"/>
  </r>
  <r>
    <x v="1"/>
    <x v="0"/>
    <x v="2"/>
    <x v="51"/>
    <x v="8"/>
    <x v="417"/>
    <x v="1982"/>
    <x v="2617"/>
  </r>
  <r>
    <x v="0"/>
    <x v="0"/>
    <x v="2"/>
    <x v="73"/>
    <x v="2"/>
    <x v="2"/>
    <x v="372"/>
    <x v="2618"/>
  </r>
  <r>
    <x v="1"/>
    <x v="0"/>
    <x v="2"/>
    <x v="49"/>
    <x v="7"/>
    <x v="137"/>
    <x v="2161"/>
    <x v="2619"/>
  </r>
  <r>
    <x v="1"/>
    <x v="0"/>
    <x v="2"/>
    <x v="157"/>
    <x v="16"/>
    <x v="74"/>
    <x v="2162"/>
    <x v="2620"/>
  </r>
  <r>
    <x v="0"/>
    <x v="0"/>
    <x v="2"/>
    <x v="3"/>
    <x v="12"/>
    <x v="674"/>
    <x v="2163"/>
    <x v="2621"/>
  </r>
  <r>
    <x v="3"/>
    <x v="0"/>
    <x v="2"/>
    <x v="84"/>
    <x v="10"/>
    <x v="377"/>
    <x v="2164"/>
    <x v="2622"/>
  </r>
  <r>
    <x v="1"/>
    <x v="0"/>
    <x v="1"/>
    <x v="90"/>
    <x v="2"/>
    <x v="2"/>
    <x v="2165"/>
    <x v="2623"/>
  </r>
  <r>
    <x v="0"/>
    <x v="0"/>
    <x v="2"/>
    <x v="29"/>
    <x v="6"/>
    <x v="771"/>
    <x v="2166"/>
    <x v="2624"/>
  </r>
  <r>
    <x v="0"/>
    <x v="0"/>
    <x v="0"/>
    <x v="37"/>
    <x v="15"/>
    <x v="304"/>
    <x v="400"/>
    <x v="2625"/>
  </r>
  <r>
    <x v="1"/>
    <x v="0"/>
    <x v="1"/>
    <x v="149"/>
    <x v="6"/>
    <x v="414"/>
    <x v="2167"/>
    <x v="2626"/>
  </r>
  <r>
    <x v="1"/>
    <x v="0"/>
    <x v="2"/>
    <x v="111"/>
    <x v="15"/>
    <x v="619"/>
    <x v="2168"/>
    <x v="2627"/>
  </r>
  <r>
    <x v="1"/>
    <x v="0"/>
    <x v="2"/>
    <x v="172"/>
    <x v="5"/>
    <x v="562"/>
    <x v="2169"/>
    <x v="2628"/>
  </r>
  <r>
    <x v="1"/>
    <x v="0"/>
    <x v="2"/>
    <x v="20"/>
    <x v="6"/>
    <x v="780"/>
    <x v="2170"/>
    <x v="2629"/>
  </r>
  <r>
    <x v="3"/>
    <x v="0"/>
    <x v="2"/>
    <x v="208"/>
    <x v="18"/>
    <x v="487"/>
    <x v="2171"/>
    <x v="2630"/>
  </r>
  <r>
    <x v="1"/>
    <x v="0"/>
    <x v="2"/>
    <x v="158"/>
    <x v="15"/>
    <x v="454"/>
    <x v="592"/>
    <x v="2631"/>
  </r>
  <r>
    <x v="0"/>
    <x v="0"/>
    <x v="2"/>
    <x v="221"/>
    <x v="14"/>
    <x v="478"/>
    <x v="2172"/>
    <x v="2632"/>
  </r>
  <r>
    <x v="3"/>
    <x v="0"/>
    <x v="2"/>
    <x v="65"/>
    <x v="5"/>
    <x v="27"/>
    <x v="2173"/>
    <x v="2633"/>
  </r>
  <r>
    <x v="0"/>
    <x v="0"/>
    <x v="0"/>
    <x v="219"/>
    <x v="1"/>
    <x v="359"/>
    <x v="694"/>
    <x v="2634"/>
  </r>
  <r>
    <x v="1"/>
    <x v="0"/>
    <x v="1"/>
    <x v="182"/>
    <x v="13"/>
    <x v="702"/>
    <x v="726"/>
    <x v="2635"/>
  </r>
  <r>
    <x v="1"/>
    <x v="0"/>
    <x v="2"/>
    <x v="177"/>
    <x v="12"/>
    <x v="368"/>
    <x v="2174"/>
    <x v="2636"/>
  </r>
  <r>
    <x v="1"/>
    <x v="0"/>
    <x v="2"/>
    <x v="143"/>
    <x v="11"/>
    <x v="579"/>
    <x v="1647"/>
    <x v="2637"/>
  </r>
  <r>
    <x v="3"/>
    <x v="0"/>
    <x v="2"/>
    <x v="82"/>
    <x v="13"/>
    <x v="665"/>
    <x v="2175"/>
    <x v="2638"/>
  </r>
  <r>
    <x v="0"/>
    <x v="0"/>
    <x v="0"/>
    <x v="48"/>
    <x v="16"/>
    <x v="417"/>
    <x v="2110"/>
    <x v="2639"/>
  </r>
  <r>
    <x v="2"/>
    <x v="0"/>
    <x v="2"/>
    <x v="42"/>
    <x v="3"/>
    <x v="712"/>
    <x v="2176"/>
    <x v="2640"/>
  </r>
  <r>
    <x v="1"/>
    <x v="0"/>
    <x v="1"/>
    <x v="40"/>
    <x v="2"/>
    <x v="2"/>
    <x v="1903"/>
    <x v="2641"/>
  </r>
  <r>
    <x v="3"/>
    <x v="0"/>
    <x v="2"/>
    <x v="225"/>
    <x v="13"/>
    <x v="728"/>
    <x v="2177"/>
    <x v="2642"/>
  </r>
  <r>
    <x v="0"/>
    <x v="0"/>
    <x v="2"/>
    <x v="124"/>
    <x v="0"/>
    <x v="386"/>
    <x v="2178"/>
    <x v="2643"/>
  </r>
  <r>
    <x v="1"/>
    <x v="0"/>
    <x v="1"/>
    <x v="239"/>
    <x v="3"/>
    <x v="745"/>
    <x v="2179"/>
    <x v="2644"/>
  </r>
  <r>
    <x v="1"/>
    <x v="0"/>
    <x v="2"/>
    <x v="29"/>
    <x v="17"/>
    <x v="644"/>
    <x v="395"/>
    <x v="2645"/>
  </r>
  <r>
    <x v="0"/>
    <x v="0"/>
    <x v="0"/>
    <x v="155"/>
    <x v="10"/>
    <x v="7"/>
    <x v="643"/>
    <x v="2646"/>
  </r>
  <r>
    <x v="1"/>
    <x v="0"/>
    <x v="2"/>
    <x v="192"/>
    <x v="1"/>
    <x v="81"/>
    <x v="2180"/>
    <x v="2647"/>
  </r>
  <r>
    <x v="0"/>
    <x v="0"/>
    <x v="2"/>
    <x v="196"/>
    <x v="2"/>
    <x v="2"/>
    <x v="2181"/>
    <x v="2648"/>
  </r>
  <r>
    <x v="0"/>
    <x v="0"/>
    <x v="0"/>
    <x v="199"/>
    <x v="24"/>
    <x v="158"/>
    <x v="925"/>
    <x v="1566"/>
  </r>
  <r>
    <x v="0"/>
    <x v="0"/>
    <x v="0"/>
    <x v="54"/>
    <x v="13"/>
    <x v="53"/>
    <x v="553"/>
    <x v="2649"/>
  </r>
  <r>
    <x v="1"/>
    <x v="0"/>
    <x v="2"/>
    <x v="54"/>
    <x v="22"/>
    <x v="26"/>
    <x v="1388"/>
    <x v="2650"/>
  </r>
  <r>
    <x v="3"/>
    <x v="0"/>
    <x v="2"/>
    <x v="178"/>
    <x v="7"/>
    <x v="233"/>
    <x v="2182"/>
    <x v="2651"/>
  </r>
  <r>
    <x v="2"/>
    <x v="0"/>
    <x v="2"/>
    <x v="32"/>
    <x v="11"/>
    <x v="60"/>
    <x v="2183"/>
    <x v="2652"/>
  </r>
  <r>
    <x v="1"/>
    <x v="0"/>
    <x v="1"/>
    <x v="213"/>
    <x v="11"/>
    <x v="762"/>
    <x v="2184"/>
    <x v="2653"/>
  </r>
  <r>
    <x v="3"/>
    <x v="0"/>
    <x v="2"/>
    <x v="134"/>
    <x v="16"/>
    <x v="817"/>
    <x v="2185"/>
    <x v="2654"/>
  </r>
  <r>
    <x v="0"/>
    <x v="0"/>
    <x v="2"/>
    <x v="203"/>
    <x v="10"/>
    <x v="821"/>
    <x v="2186"/>
    <x v="2655"/>
  </r>
  <r>
    <x v="0"/>
    <x v="0"/>
    <x v="2"/>
    <x v="166"/>
    <x v="23"/>
    <x v="331"/>
    <x v="2187"/>
    <x v="2656"/>
  </r>
  <r>
    <x v="0"/>
    <x v="0"/>
    <x v="0"/>
    <x v="166"/>
    <x v="12"/>
    <x v="153"/>
    <x v="2188"/>
    <x v="2657"/>
  </r>
  <r>
    <x v="0"/>
    <x v="0"/>
    <x v="2"/>
    <x v="174"/>
    <x v="3"/>
    <x v="655"/>
    <x v="2189"/>
    <x v="2658"/>
  </r>
  <r>
    <x v="0"/>
    <x v="0"/>
    <x v="2"/>
    <x v="64"/>
    <x v="13"/>
    <x v="719"/>
    <x v="2190"/>
    <x v="2659"/>
  </r>
  <r>
    <x v="1"/>
    <x v="0"/>
    <x v="2"/>
    <x v="149"/>
    <x v="2"/>
    <x v="2"/>
    <x v="300"/>
    <x v="2660"/>
  </r>
  <r>
    <x v="3"/>
    <x v="0"/>
    <x v="2"/>
    <x v="188"/>
    <x v="15"/>
    <x v="357"/>
    <x v="1489"/>
    <x v="2661"/>
  </r>
  <r>
    <x v="1"/>
    <x v="0"/>
    <x v="1"/>
    <x v="138"/>
    <x v="22"/>
    <x v="705"/>
    <x v="1604"/>
    <x v="2662"/>
  </r>
  <r>
    <x v="3"/>
    <x v="0"/>
    <x v="2"/>
    <x v="9"/>
    <x v="14"/>
    <x v="631"/>
    <x v="2191"/>
    <x v="2663"/>
  </r>
  <r>
    <x v="1"/>
    <x v="0"/>
    <x v="2"/>
    <x v="96"/>
    <x v="16"/>
    <x v="741"/>
    <x v="2192"/>
    <x v="2664"/>
  </r>
  <r>
    <x v="2"/>
    <x v="0"/>
    <x v="2"/>
    <x v="85"/>
    <x v="18"/>
    <x v="18"/>
    <x v="2193"/>
    <x v="2665"/>
  </r>
  <r>
    <x v="0"/>
    <x v="0"/>
    <x v="0"/>
    <x v="163"/>
    <x v="5"/>
    <x v="317"/>
    <x v="847"/>
    <x v="2666"/>
  </r>
  <r>
    <x v="2"/>
    <x v="0"/>
    <x v="2"/>
    <x v="22"/>
    <x v="22"/>
    <x v="464"/>
    <x v="2013"/>
    <x v="2667"/>
  </r>
  <r>
    <x v="0"/>
    <x v="0"/>
    <x v="0"/>
    <x v="166"/>
    <x v="16"/>
    <x v="544"/>
    <x v="2194"/>
    <x v="2668"/>
  </r>
  <r>
    <x v="0"/>
    <x v="0"/>
    <x v="2"/>
    <x v="246"/>
    <x v="14"/>
    <x v="81"/>
    <x v="2195"/>
    <x v="2669"/>
  </r>
  <r>
    <x v="3"/>
    <x v="0"/>
    <x v="2"/>
    <x v="246"/>
    <x v="0"/>
    <x v="414"/>
    <x v="2196"/>
    <x v="2670"/>
  </r>
  <r>
    <x v="2"/>
    <x v="0"/>
    <x v="2"/>
    <x v="66"/>
    <x v="1"/>
    <x v="691"/>
    <x v="2197"/>
    <x v="2671"/>
  </r>
  <r>
    <x v="1"/>
    <x v="0"/>
    <x v="2"/>
    <x v="98"/>
    <x v="7"/>
    <x v="822"/>
    <x v="2198"/>
    <x v="2672"/>
  </r>
  <r>
    <x v="0"/>
    <x v="0"/>
    <x v="0"/>
    <x v="232"/>
    <x v="14"/>
    <x v="142"/>
    <x v="2199"/>
    <x v="2673"/>
  </r>
  <r>
    <x v="3"/>
    <x v="0"/>
    <x v="2"/>
    <x v="150"/>
    <x v="16"/>
    <x v="186"/>
    <x v="2200"/>
    <x v="2674"/>
  </r>
  <r>
    <x v="1"/>
    <x v="0"/>
    <x v="1"/>
    <x v="4"/>
    <x v="7"/>
    <x v="715"/>
    <x v="1657"/>
    <x v="2675"/>
  </r>
  <r>
    <x v="2"/>
    <x v="0"/>
    <x v="2"/>
    <x v="209"/>
    <x v="7"/>
    <x v="770"/>
    <x v="2201"/>
    <x v="2676"/>
  </r>
  <r>
    <x v="1"/>
    <x v="0"/>
    <x v="2"/>
    <x v="222"/>
    <x v="3"/>
    <x v="401"/>
    <x v="2202"/>
    <x v="2677"/>
  </r>
  <r>
    <x v="1"/>
    <x v="0"/>
    <x v="1"/>
    <x v="167"/>
    <x v="0"/>
    <x v="403"/>
    <x v="2203"/>
    <x v="2678"/>
  </r>
  <r>
    <x v="0"/>
    <x v="0"/>
    <x v="2"/>
    <x v="23"/>
    <x v="18"/>
    <x v="582"/>
    <x v="2204"/>
    <x v="2679"/>
  </r>
  <r>
    <x v="1"/>
    <x v="0"/>
    <x v="1"/>
    <x v="167"/>
    <x v="15"/>
    <x v="686"/>
    <x v="878"/>
    <x v="2680"/>
  </r>
  <r>
    <x v="1"/>
    <x v="0"/>
    <x v="2"/>
    <x v="230"/>
    <x v="17"/>
    <x v="823"/>
    <x v="2205"/>
    <x v="2681"/>
  </r>
  <r>
    <x v="3"/>
    <x v="0"/>
    <x v="2"/>
    <x v="146"/>
    <x v="0"/>
    <x v="793"/>
    <x v="2206"/>
    <x v="2682"/>
  </r>
  <r>
    <x v="3"/>
    <x v="0"/>
    <x v="2"/>
    <x v="90"/>
    <x v="5"/>
    <x v="194"/>
    <x v="2207"/>
    <x v="2683"/>
  </r>
  <r>
    <x v="3"/>
    <x v="0"/>
    <x v="2"/>
    <x v="127"/>
    <x v="12"/>
    <x v="595"/>
    <x v="342"/>
    <x v="2684"/>
  </r>
  <r>
    <x v="3"/>
    <x v="0"/>
    <x v="2"/>
    <x v="92"/>
    <x v="10"/>
    <x v="741"/>
    <x v="2208"/>
    <x v="2685"/>
  </r>
  <r>
    <x v="2"/>
    <x v="0"/>
    <x v="2"/>
    <x v="227"/>
    <x v="8"/>
    <x v="486"/>
    <x v="2209"/>
    <x v="2686"/>
  </r>
  <r>
    <x v="2"/>
    <x v="0"/>
    <x v="2"/>
    <x v="221"/>
    <x v="0"/>
    <x v="269"/>
    <x v="2210"/>
    <x v="2687"/>
  </r>
  <r>
    <x v="0"/>
    <x v="0"/>
    <x v="0"/>
    <x v="13"/>
    <x v="5"/>
    <x v="434"/>
    <x v="1898"/>
    <x v="2688"/>
  </r>
  <r>
    <x v="2"/>
    <x v="0"/>
    <x v="2"/>
    <x v="101"/>
    <x v="13"/>
    <x v="732"/>
    <x v="1241"/>
    <x v="2689"/>
  </r>
  <r>
    <x v="0"/>
    <x v="0"/>
    <x v="0"/>
    <x v="9"/>
    <x v="0"/>
    <x v="35"/>
    <x v="1552"/>
    <x v="2690"/>
  </r>
  <r>
    <x v="0"/>
    <x v="0"/>
    <x v="0"/>
    <x v="90"/>
    <x v="13"/>
    <x v="579"/>
    <x v="2211"/>
    <x v="2691"/>
  </r>
  <r>
    <x v="1"/>
    <x v="0"/>
    <x v="2"/>
    <x v="96"/>
    <x v="20"/>
    <x v="186"/>
    <x v="2212"/>
    <x v="2692"/>
  </r>
  <r>
    <x v="3"/>
    <x v="0"/>
    <x v="2"/>
    <x v="165"/>
    <x v="10"/>
    <x v="813"/>
    <x v="2213"/>
    <x v="2693"/>
  </r>
  <r>
    <x v="1"/>
    <x v="0"/>
    <x v="2"/>
    <x v="13"/>
    <x v="22"/>
    <x v="192"/>
    <x v="1676"/>
    <x v="2694"/>
  </r>
  <r>
    <x v="2"/>
    <x v="0"/>
    <x v="2"/>
    <x v="169"/>
    <x v="0"/>
    <x v="246"/>
    <x v="1592"/>
    <x v="2695"/>
  </r>
  <r>
    <x v="1"/>
    <x v="0"/>
    <x v="2"/>
    <x v="73"/>
    <x v="1"/>
    <x v="251"/>
    <x v="2214"/>
    <x v="2696"/>
  </r>
  <r>
    <x v="1"/>
    <x v="0"/>
    <x v="1"/>
    <x v="120"/>
    <x v="13"/>
    <x v="296"/>
    <x v="2111"/>
    <x v="220"/>
  </r>
  <r>
    <x v="1"/>
    <x v="0"/>
    <x v="2"/>
    <x v="223"/>
    <x v="1"/>
    <x v="428"/>
    <x v="2215"/>
    <x v="2697"/>
  </r>
  <r>
    <x v="0"/>
    <x v="0"/>
    <x v="0"/>
    <x v="41"/>
    <x v="0"/>
    <x v="123"/>
    <x v="2216"/>
    <x v="2698"/>
  </r>
  <r>
    <x v="2"/>
    <x v="0"/>
    <x v="2"/>
    <x v="248"/>
    <x v="5"/>
    <x v="797"/>
    <x v="2217"/>
    <x v="2699"/>
  </r>
  <r>
    <x v="2"/>
    <x v="0"/>
    <x v="2"/>
    <x v="151"/>
    <x v="3"/>
    <x v="371"/>
    <x v="1297"/>
    <x v="2700"/>
  </r>
  <r>
    <x v="1"/>
    <x v="0"/>
    <x v="2"/>
    <x v="93"/>
    <x v="1"/>
    <x v="278"/>
    <x v="1319"/>
    <x v="2701"/>
  </r>
  <r>
    <x v="0"/>
    <x v="0"/>
    <x v="0"/>
    <x v="246"/>
    <x v="21"/>
    <x v="406"/>
    <x v="2218"/>
    <x v="2702"/>
  </r>
  <r>
    <x v="1"/>
    <x v="0"/>
    <x v="1"/>
    <x v="29"/>
    <x v="14"/>
    <x v="824"/>
    <x v="2219"/>
    <x v="2703"/>
  </r>
  <r>
    <x v="2"/>
    <x v="0"/>
    <x v="2"/>
    <x v="238"/>
    <x v="1"/>
    <x v="785"/>
    <x v="2220"/>
    <x v="2704"/>
  </r>
  <r>
    <x v="3"/>
    <x v="0"/>
    <x v="2"/>
    <x v="187"/>
    <x v="7"/>
    <x v="104"/>
    <x v="452"/>
    <x v="2705"/>
  </r>
  <r>
    <x v="0"/>
    <x v="0"/>
    <x v="2"/>
    <x v="8"/>
    <x v="13"/>
    <x v="608"/>
    <x v="1726"/>
    <x v="2706"/>
  </r>
  <r>
    <x v="3"/>
    <x v="0"/>
    <x v="2"/>
    <x v="139"/>
    <x v="11"/>
    <x v="600"/>
    <x v="2221"/>
    <x v="2707"/>
  </r>
  <r>
    <x v="1"/>
    <x v="0"/>
    <x v="1"/>
    <x v="209"/>
    <x v="5"/>
    <x v="622"/>
    <x v="1988"/>
    <x v="2708"/>
  </r>
  <r>
    <x v="1"/>
    <x v="0"/>
    <x v="2"/>
    <x v="129"/>
    <x v="8"/>
    <x v="483"/>
    <x v="2222"/>
    <x v="2709"/>
  </r>
  <r>
    <x v="0"/>
    <x v="0"/>
    <x v="2"/>
    <x v="224"/>
    <x v="11"/>
    <x v="388"/>
    <x v="2223"/>
    <x v="2710"/>
  </r>
  <r>
    <x v="1"/>
    <x v="0"/>
    <x v="1"/>
    <x v="181"/>
    <x v="14"/>
    <x v="16"/>
    <x v="2016"/>
    <x v="2711"/>
  </r>
  <r>
    <x v="0"/>
    <x v="0"/>
    <x v="2"/>
    <x v="132"/>
    <x v="8"/>
    <x v="565"/>
    <x v="2224"/>
    <x v="2712"/>
  </r>
  <r>
    <x v="0"/>
    <x v="0"/>
    <x v="2"/>
    <x v="10"/>
    <x v="6"/>
    <x v="211"/>
    <x v="1559"/>
    <x v="2713"/>
  </r>
  <r>
    <x v="0"/>
    <x v="0"/>
    <x v="0"/>
    <x v="65"/>
    <x v="1"/>
    <x v="434"/>
    <x v="1980"/>
    <x v="2714"/>
  </r>
  <r>
    <x v="0"/>
    <x v="0"/>
    <x v="2"/>
    <x v="186"/>
    <x v="2"/>
    <x v="2"/>
    <x v="2225"/>
    <x v="2715"/>
  </r>
  <r>
    <x v="3"/>
    <x v="0"/>
    <x v="2"/>
    <x v="135"/>
    <x v="11"/>
    <x v="665"/>
    <x v="573"/>
    <x v="2716"/>
  </r>
  <r>
    <x v="2"/>
    <x v="0"/>
    <x v="2"/>
    <x v="146"/>
    <x v="2"/>
    <x v="2"/>
    <x v="1780"/>
    <x v="2717"/>
  </r>
  <r>
    <x v="1"/>
    <x v="0"/>
    <x v="2"/>
    <x v="107"/>
    <x v="13"/>
    <x v="653"/>
    <x v="1656"/>
    <x v="2718"/>
  </r>
  <r>
    <x v="1"/>
    <x v="0"/>
    <x v="1"/>
    <x v="110"/>
    <x v="5"/>
    <x v="211"/>
    <x v="2226"/>
    <x v="2719"/>
  </r>
  <r>
    <x v="3"/>
    <x v="0"/>
    <x v="2"/>
    <x v="35"/>
    <x v="16"/>
    <x v="357"/>
    <x v="1928"/>
    <x v="2720"/>
  </r>
  <r>
    <x v="1"/>
    <x v="0"/>
    <x v="1"/>
    <x v="203"/>
    <x v="16"/>
    <x v="295"/>
    <x v="2227"/>
    <x v="2721"/>
  </r>
  <r>
    <x v="1"/>
    <x v="0"/>
    <x v="1"/>
    <x v="171"/>
    <x v="25"/>
    <x v="444"/>
    <x v="2228"/>
    <x v="2722"/>
  </r>
  <r>
    <x v="0"/>
    <x v="0"/>
    <x v="0"/>
    <x v="147"/>
    <x v="7"/>
    <x v="55"/>
    <x v="1967"/>
    <x v="2723"/>
  </r>
  <r>
    <x v="0"/>
    <x v="0"/>
    <x v="0"/>
    <x v="247"/>
    <x v="0"/>
    <x v="825"/>
    <x v="2229"/>
    <x v="2724"/>
  </r>
  <r>
    <x v="1"/>
    <x v="0"/>
    <x v="2"/>
    <x v="112"/>
    <x v="15"/>
    <x v="448"/>
    <x v="2230"/>
    <x v="2725"/>
  </r>
  <r>
    <x v="0"/>
    <x v="0"/>
    <x v="0"/>
    <x v="54"/>
    <x v="3"/>
    <x v="826"/>
    <x v="2231"/>
    <x v="2726"/>
  </r>
  <r>
    <x v="1"/>
    <x v="0"/>
    <x v="1"/>
    <x v="41"/>
    <x v="0"/>
    <x v="123"/>
    <x v="2232"/>
    <x v="2727"/>
  </r>
  <r>
    <x v="1"/>
    <x v="0"/>
    <x v="1"/>
    <x v="183"/>
    <x v="1"/>
    <x v="412"/>
    <x v="2233"/>
    <x v="2728"/>
  </r>
  <r>
    <x v="1"/>
    <x v="0"/>
    <x v="2"/>
    <x v="190"/>
    <x v="0"/>
    <x v="827"/>
    <x v="2234"/>
    <x v="2729"/>
  </r>
  <r>
    <x v="0"/>
    <x v="0"/>
    <x v="2"/>
    <x v="138"/>
    <x v="16"/>
    <x v="37"/>
    <x v="1433"/>
    <x v="2730"/>
  </r>
  <r>
    <x v="2"/>
    <x v="0"/>
    <x v="2"/>
    <x v="236"/>
    <x v="1"/>
    <x v="828"/>
    <x v="2190"/>
    <x v="2731"/>
  </r>
  <r>
    <x v="3"/>
    <x v="0"/>
    <x v="2"/>
    <x v="4"/>
    <x v="14"/>
    <x v="3"/>
    <x v="2235"/>
    <x v="2732"/>
  </r>
  <r>
    <x v="3"/>
    <x v="0"/>
    <x v="2"/>
    <x v="167"/>
    <x v="5"/>
    <x v="766"/>
    <x v="2236"/>
    <x v="2733"/>
  </r>
  <r>
    <x v="1"/>
    <x v="0"/>
    <x v="2"/>
    <x v="134"/>
    <x v="17"/>
    <x v="674"/>
    <x v="2237"/>
    <x v="2734"/>
  </r>
  <r>
    <x v="0"/>
    <x v="0"/>
    <x v="0"/>
    <x v="100"/>
    <x v="7"/>
    <x v="189"/>
    <x v="525"/>
    <x v="2735"/>
  </r>
  <r>
    <x v="1"/>
    <x v="0"/>
    <x v="2"/>
    <x v="18"/>
    <x v="10"/>
    <x v="829"/>
    <x v="382"/>
    <x v="2736"/>
  </r>
  <r>
    <x v="1"/>
    <x v="0"/>
    <x v="1"/>
    <x v="95"/>
    <x v="15"/>
    <x v="496"/>
    <x v="133"/>
    <x v="2737"/>
  </r>
  <r>
    <x v="1"/>
    <x v="0"/>
    <x v="1"/>
    <x v="156"/>
    <x v="1"/>
    <x v="352"/>
    <x v="2238"/>
    <x v="2738"/>
  </r>
  <r>
    <x v="0"/>
    <x v="0"/>
    <x v="2"/>
    <x v="130"/>
    <x v="5"/>
    <x v="327"/>
    <x v="2239"/>
    <x v="2739"/>
  </r>
  <r>
    <x v="3"/>
    <x v="0"/>
    <x v="2"/>
    <x v="146"/>
    <x v="12"/>
    <x v="567"/>
    <x v="2240"/>
    <x v="2740"/>
  </r>
  <r>
    <x v="0"/>
    <x v="0"/>
    <x v="2"/>
    <x v="19"/>
    <x v="7"/>
    <x v="18"/>
    <x v="168"/>
    <x v="2741"/>
  </r>
  <r>
    <x v="0"/>
    <x v="0"/>
    <x v="0"/>
    <x v="133"/>
    <x v="1"/>
    <x v="395"/>
    <x v="2241"/>
    <x v="2742"/>
  </r>
  <r>
    <x v="1"/>
    <x v="0"/>
    <x v="2"/>
    <x v="37"/>
    <x v="5"/>
    <x v="260"/>
    <x v="189"/>
    <x v="2743"/>
  </r>
  <r>
    <x v="0"/>
    <x v="0"/>
    <x v="0"/>
    <x v="61"/>
    <x v="16"/>
    <x v="451"/>
    <x v="2242"/>
    <x v="2744"/>
  </r>
  <r>
    <x v="2"/>
    <x v="0"/>
    <x v="2"/>
    <x v="208"/>
    <x v="2"/>
    <x v="2"/>
    <x v="2243"/>
    <x v="2745"/>
  </r>
  <r>
    <x v="0"/>
    <x v="0"/>
    <x v="0"/>
    <x v="218"/>
    <x v="5"/>
    <x v="403"/>
    <x v="1328"/>
    <x v="2746"/>
  </r>
  <r>
    <x v="1"/>
    <x v="0"/>
    <x v="2"/>
    <x v="194"/>
    <x v="13"/>
    <x v="276"/>
    <x v="1187"/>
    <x v="2747"/>
  </r>
  <r>
    <x v="0"/>
    <x v="0"/>
    <x v="0"/>
    <x v="101"/>
    <x v="11"/>
    <x v="207"/>
    <x v="732"/>
    <x v="2748"/>
  </r>
  <r>
    <x v="1"/>
    <x v="0"/>
    <x v="2"/>
    <x v="13"/>
    <x v="22"/>
    <x v="192"/>
    <x v="2244"/>
    <x v="2749"/>
  </r>
  <r>
    <x v="2"/>
    <x v="0"/>
    <x v="2"/>
    <x v="118"/>
    <x v="16"/>
    <x v="211"/>
    <x v="2245"/>
    <x v="2750"/>
  </r>
  <r>
    <x v="0"/>
    <x v="0"/>
    <x v="2"/>
    <x v="159"/>
    <x v="20"/>
    <x v="789"/>
    <x v="2246"/>
    <x v="2751"/>
  </r>
  <r>
    <x v="2"/>
    <x v="0"/>
    <x v="2"/>
    <x v="43"/>
    <x v="1"/>
    <x v="620"/>
    <x v="2247"/>
    <x v="2752"/>
  </r>
  <r>
    <x v="2"/>
    <x v="0"/>
    <x v="2"/>
    <x v="9"/>
    <x v="2"/>
    <x v="2"/>
    <x v="1426"/>
    <x v="2753"/>
  </r>
  <r>
    <x v="3"/>
    <x v="0"/>
    <x v="2"/>
    <x v="146"/>
    <x v="1"/>
    <x v="818"/>
    <x v="1216"/>
    <x v="2754"/>
  </r>
  <r>
    <x v="3"/>
    <x v="0"/>
    <x v="2"/>
    <x v="91"/>
    <x v="7"/>
    <x v="90"/>
    <x v="2248"/>
    <x v="2755"/>
  </r>
  <r>
    <x v="0"/>
    <x v="0"/>
    <x v="0"/>
    <x v="208"/>
    <x v="12"/>
    <x v="797"/>
    <x v="2249"/>
    <x v="2756"/>
  </r>
  <r>
    <x v="2"/>
    <x v="0"/>
    <x v="2"/>
    <x v="7"/>
    <x v="16"/>
    <x v="150"/>
    <x v="2250"/>
    <x v="2757"/>
  </r>
  <r>
    <x v="0"/>
    <x v="0"/>
    <x v="2"/>
    <x v="11"/>
    <x v="16"/>
    <x v="755"/>
    <x v="2251"/>
    <x v="2758"/>
  </r>
  <r>
    <x v="3"/>
    <x v="0"/>
    <x v="2"/>
    <x v="76"/>
    <x v="8"/>
    <x v="799"/>
    <x v="2252"/>
    <x v="2759"/>
  </r>
  <r>
    <x v="3"/>
    <x v="0"/>
    <x v="2"/>
    <x v="85"/>
    <x v="3"/>
    <x v="547"/>
    <x v="2253"/>
    <x v="2760"/>
  </r>
  <r>
    <x v="0"/>
    <x v="0"/>
    <x v="2"/>
    <x v="169"/>
    <x v="5"/>
    <x v="648"/>
    <x v="2254"/>
    <x v="2761"/>
  </r>
  <r>
    <x v="1"/>
    <x v="0"/>
    <x v="1"/>
    <x v="173"/>
    <x v="17"/>
    <x v="283"/>
    <x v="2255"/>
    <x v="2762"/>
  </r>
  <r>
    <x v="3"/>
    <x v="0"/>
    <x v="2"/>
    <x v="178"/>
    <x v="23"/>
    <x v="39"/>
    <x v="1590"/>
    <x v="2763"/>
  </r>
  <r>
    <x v="1"/>
    <x v="0"/>
    <x v="1"/>
    <x v="178"/>
    <x v="28"/>
    <x v="712"/>
    <x v="1688"/>
    <x v="2764"/>
  </r>
  <r>
    <x v="0"/>
    <x v="0"/>
    <x v="2"/>
    <x v="50"/>
    <x v="20"/>
    <x v="493"/>
    <x v="1522"/>
    <x v="2765"/>
  </r>
  <r>
    <x v="1"/>
    <x v="0"/>
    <x v="2"/>
    <x v="201"/>
    <x v="8"/>
    <x v="502"/>
    <x v="2256"/>
    <x v="2766"/>
  </r>
  <r>
    <x v="0"/>
    <x v="0"/>
    <x v="0"/>
    <x v="36"/>
    <x v="15"/>
    <x v="34"/>
    <x v="840"/>
    <x v="2767"/>
  </r>
  <r>
    <x v="3"/>
    <x v="0"/>
    <x v="2"/>
    <x v="221"/>
    <x v="10"/>
    <x v="696"/>
    <x v="2257"/>
    <x v="2768"/>
  </r>
  <r>
    <x v="0"/>
    <x v="0"/>
    <x v="0"/>
    <x v="241"/>
    <x v="19"/>
    <x v="471"/>
    <x v="2258"/>
    <x v="2769"/>
  </r>
  <r>
    <x v="2"/>
    <x v="0"/>
    <x v="2"/>
    <x v="67"/>
    <x v="15"/>
    <x v="251"/>
    <x v="1050"/>
    <x v="2770"/>
  </r>
  <r>
    <x v="3"/>
    <x v="0"/>
    <x v="2"/>
    <x v="42"/>
    <x v="6"/>
    <x v="233"/>
    <x v="2259"/>
    <x v="2771"/>
  </r>
  <r>
    <x v="0"/>
    <x v="0"/>
    <x v="2"/>
    <x v="39"/>
    <x v="11"/>
    <x v="45"/>
    <x v="2260"/>
    <x v="2772"/>
  </r>
  <r>
    <x v="3"/>
    <x v="0"/>
    <x v="2"/>
    <x v="67"/>
    <x v="13"/>
    <x v="319"/>
    <x v="989"/>
    <x v="2773"/>
  </r>
  <r>
    <x v="0"/>
    <x v="0"/>
    <x v="0"/>
    <x v="206"/>
    <x v="5"/>
    <x v="101"/>
    <x v="2261"/>
    <x v="2774"/>
  </r>
  <r>
    <x v="0"/>
    <x v="0"/>
    <x v="2"/>
    <x v="43"/>
    <x v="1"/>
    <x v="620"/>
    <x v="2262"/>
    <x v="2775"/>
  </r>
  <r>
    <x v="3"/>
    <x v="0"/>
    <x v="2"/>
    <x v="212"/>
    <x v="2"/>
    <x v="2"/>
    <x v="1709"/>
    <x v="2776"/>
  </r>
  <r>
    <x v="2"/>
    <x v="0"/>
    <x v="2"/>
    <x v="148"/>
    <x v="1"/>
    <x v="495"/>
    <x v="2263"/>
    <x v="2777"/>
  </r>
  <r>
    <x v="0"/>
    <x v="0"/>
    <x v="2"/>
    <x v="17"/>
    <x v="28"/>
    <x v="275"/>
    <x v="2264"/>
    <x v="2778"/>
  </r>
  <r>
    <x v="2"/>
    <x v="0"/>
    <x v="2"/>
    <x v="160"/>
    <x v="14"/>
    <x v="101"/>
    <x v="280"/>
    <x v="2779"/>
  </r>
  <r>
    <x v="2"/>
    <x v="0"/>
    <x v="2"/>
    <x v="125"/>
    <x v="10"/>
    <x v="748"/>
    <x v="1503"/>
    <x v="2780"/>
  </r>
  <r>
    <x v="0"/>
    <x v="0"/>
    <x v="0"/>
    <x v="184"/>
    <x v="0"/>
    <x v="101"/>
    <x v="2265"/>
    <x v="2781"/>
  </r>
  <r>
    <x v="0"/>
    <x v="0"/>
    <x v="2"/>
    <x v="172"/>
    <x v="9"/>
    <x v="186"/>
    <x v="1007"/>
    <x v="2782"/>
  </r>
  <r>
    <x v="3"/>
    <x v="0"/>
    <x v="2"/>
    <x v="233"/>
    <x v="0"/>
    <x v="436"/>
    <x v="206"/>
    <x v="2783"/>
  </r>
  <r>
    <x v="2"/>
    <x v="0"/>
    <x v="2"/>
    <x v="232"/>
    <x v="14"/>
    <x v="142"/>
    <x v="2266"/>
    <x v="2784"/>
  </r>
  <r>
    <x v="3"/>
    <x v="0"/>
    <x v="2"/>
    <x v="112"/>
    <x v="23"/>
    <x v="666"/>
    <x v="1761"/>
    <x v="2785"/>
  </r>
  <r>
    <x v="2"/>
    <x v="0"/>
    <x v="2"/>
    <x v="102"/>
    <x v="0"/>
    <x v="352"/>
    <x v="2267"/>
    <x v="2786"/>
  </r>
  <r>
    <x v="0"/>
    <x v="0"/>
    <x v="0"/>
    <x v="43"/>
    <x v="2"/>
    <x v="2"/>
    <x v="2268"/>
    <x v="2787"/>
  </r>
  <r>
    <x v="3"/>
    <x v="0"/>
    <x v="2"/>
    <x v="177"/>
    <x v="25"/>
    <x v="157"/>
    <x v="1846"/>
    <x v="2788"/>
  </r>
  <r>
    <x v="2"/>
    <x v="0"/>
    <x v="2"/>
    <x v="100"/>
    <x v="6"/>
    <x v="599"/>
    <x v="2065"/>
    <x v="2789"/>
  </r>
  <r>
    <x v="0"/>
    <x v="0"/>
    <x v="2"/>
    <x v="64"/>
    <x v="8"/>
    <x v="122"/>
    <x v="1936"/>
    <x v="2790"/>
  </r>
  <r>
    <x v="3"/>
    <x v="0"/>
    <x v="2"/>
    <x v="218"/>
    <x v="3"/>
    <x v="0"/>
    <x v="411"/>
    <x v="2791"/>
  </r>
  <r>
    <x v="2"/>
    <x v="0"/>
    <x v="2"/>
    <x v="108"/>
    <x v="5"/>
    <x v="116"/>
    <x v="2269"/>
    <x v="2792"/>
  </r>
  <r>
    <x v="0"/>
    <x v="0"/>
    <x v="0"/>
    <x v="208"/>
    <x v="9"/>
    <x v="247"/>
    <x v="2270"/>
    <x v="2793"/>
  </r>
  <r>
    <x v="0"/>
    <x v="0"/>
    <x v="2"/>
    <x v="101"/>
    <x v="5"/>
    <x v="440"/>
    <x v="2271"/>
    <x v="2794"/>
  </r>
  <r>
    <x v="0"/>
    <x v="0"/>
    <x v="0"/>
    <x v="234"/>
    <x v="13"/>
    <x v="560"/>
    <x v="2272"/>
    <x v="2795"/>
  </r>
  <r>
    <x v="0"/>
    <x v="0"/>
    <x v="2"/>
    <x v="43"/>
    <x v="5"/>
    <x v="830"/>
    <x v="280"/>
    <x v="2796"/>
  </r>
  <r>
    <x v="1"/>
    <x v="0"/>
    <x v="1"/>
    <x v="84"/>
    <x v="2"/>
    <x v="2"/>
    <x v="2273"/>
    <x v="2797"/>
  </r>
  <r>
    <x v="0"/>
    <x v="0"/>
    <x v="0"/>
    <x v="95"/>
    <x v="0"/>
    <x v="720"/>
    <x v="2274"/>
    <x v="2798"/>
  </r>
  <r>
    <x v="0"/>
    <x v="0"/>
    <x v="2"/>
    <x v="165"/>
    <x v="2"/>
    <x v="2"/>
    <x v="1369"/>
    <x v="2799"/>
  </r>
  <r>
    <x v="0"/>
    <x v="0"/>
    <x v="2"/>
    <x v="45"/>
    <x v="3"/>
    <x v="662"/>
    <x v="2275"/>
    <x v="2800"/>
  </r>
  <r>
    <x v="3"/>
    <x v="0"/>
    <x v="2"/>
    <x v="98"/>
    <x v="8"/>
    <x v="831"/>
    <x v="2276"/>
    <x v="2801"/>
  </r>
  <r>
    <x v="1"/>
    <x v="0"/>
    <x v="2"/>
    <x v="68"/>
    <x v="20"/>
    <x v="398"/>
    <x v="598"/>
    <x v="2802"/>
  </r>
  <r>
    <x v="1"/>
    <x v="0"/>
    <x v="1"/>
    <x v="239"/>
    <x v="5"/>
    <x v="832"/>
    <x v="1433"/>
    <x v="2803"/>
  </r>
  <r>
    <x v="2"/>
    <x v="0"/>
    <x v="2"/>
    <x v="128"/>
    <x v="2"/>
    <x v="2"/>
    <x v="1485"/>
    <x v="2804"/>
  </r>
  <r>
    <x v="3"/>
    <x v="0"/>
    <x v="2"/>
    <x v="154"/>
    <x v="8"/>
    <x v="54"/>
    <x v="2277"/>
    <x v="2805"/>
  </r>
  <r>
    <x v="1"/>
    <x v="0"/>
    <x v="1"/>
    <x v="97"/>
    <x v="1"/>
    <x v="94"/>
    <x v="2278"/>
    <x v="2806"/>
  </r>
  <r>
    <x v="0"/>
    <x v="0"/>
    <x v="0"/>
    <x v="16"/>
    <x v="11"/>
    <x v="833"/>
    <x v="2057"/>
    <x v="2807"/>
  </r>
  <r>
    <x v="1"/>
    <x v="0"/>
    <x v="1"/>
    <x v="223"/>
    <x v="24"/>
    <x v="247"/>
    <x v="4"/>
    <x v="2808"/>
  </r>
  <r>
    <x v="1"/>
    <x v="0"/>
    <x v="2"/>
    <x v="200"/>
    <x v="0"/>
    <x v="450"/>
    <x v="330"/>
    <x v="2809"/>
  </r>
  <r>
    <x v="1"/>
    <x v="0"/>
    <x v="2"/>
    <x v="198"/>
    <x v="0"/>
    <x v="819"/>
    <x v="2279"/>
    <x v="2810"/>
  </r>
  <r>
    <x v="0"/>
    <x v="0"/>
    <x v="0"/>
    <x v="187"/>
    <x v="14"/>
    <x v="263"/>
    <x v="2280"/>
    <x v="2811"/>
  </r>
  <r>
    <x v="1"/>
    <x v="0"/>
    <x v="1"/>
    <x v="14"/>
    <x v="5"/>
    <x v="733"/>
    <x v="2281"/>
    <x v="2812"/>
  </r>
  <r>
    <x v="0"/>
    <x v="0"/>
    <x v="2"/>
    <x v="61"/>
    <x v="12"/>
    <x v="583"/>
    <x v="1751"/>
    <x v="2813"/>
  </r>
  <r>
    <x v="0"/>
    <x v="0"/>
    <x v="2"/>
    <x v="13"/>
    <x v="8"/>
    <x v="18"/>
    <x v="1084"/>
    <x v="2814"/>
  </r>
  <r>
    <x v="2"/>
    <x v="0"/>
    <x v="2"/>
    <x v="213"/>
    <x v="11"/>
    <x v="762"/>
    <x v="297"/>
    <x v="2815"/>
  </r>
  <r>
    <x v="1"/>
    <x v="0"/>
    <x v="1"/>
    <x v="217"/>
    <x v="15"/>
    <x v="418"/>
    <x v="2282"/>
    <x v="2816"/>
  </r>
  <r>
    <x v="1"/>
    <x v="0"/>
    <x v="2"/>
    <x v="230"/>
    <x v="16"/>
    <x v="189"/>
    <x v="2283"/>
    <x v="2817"/>
  </r>
  <r>
    <x v="3"/>
    <x v="0"/>
    <x v="2"/>
    <x v="236"/>
    <x v="3"/>
    <x v="79"/>
    <x v="2284"/>
    <x v="2818"/>
  </r>
  <r>
    <x v="3"/>
    <x v="0"/>
    <x v="2"/>
    <x v="67"/>
    <x v="6"/>
    <x v="207"/>
    <x v="475"/>
    <x v="2819"/>
  </r>
  <r>
    <x v="2"/>
    <x v="0"/>
    <x v="2"/>
    <x v="172"/>
    <x v="10"/>
    <x v="221"/>
    <x v="114"/>
    <x v="2820"/>
  </r>
  <r>
    <x v="0"/>
    <x v="0"/>
    <x v="2"/>
    <x v="36"/>
    <x v="14"/>
    <x v="741"/>
    <x v="2285"/>
    <x v="2821"/>
  </r>
  <r>
    <x v="2"/>
    <x v="0"/>
    <x v="2"/>
    <x v="200"/>
    <x v="2"/>
    <x v="2"/>
    <x v="2286"/>
    <x v="2822"/>
  </r>
  <r>
    <x v="3"/>
    <x v="0"/>
    <x v="2"/>
    <x v="94"/>
    <x v="5"/>
    <x v="834"/>
    <x v="2287"/>
    <x v="2823"/>
  </r>
  <r>
    <x v="2"/>
    <x v="0"/>
    <x v="2"/>
    <x v="242"/>
    <x v="8"/>
    <x v="523"/>
    <x v="2288"/>
    <x v="2824"/>
  </r>
  <r>
    <x v="3"/>
    <x v="0"/>
    <x v="2"/>
    <x v="112"/>
    <x v="24"/>
    <x v="26"/>
    <x v="2289"/>
    <x v="2825"/>
  </r>
  <r>
    <x v="0"/>
    <x v="0"/>
    <x v="2"/>
    <x v="19"/>
    <x v="11"/>
    <x v="278"/>
    <x v="2290"/>
    <x v="2826"/>
  </r>
  <r>
    <x v="0"/>
    <x v="0"/>
    <x v="2"/>
    <x v="33"/>
    <x v="1"/>
    <x v="97"/>
    <x v="1374"/>
    <x v="2827"/>
  </r>
  <r>
    <x v="0"/>
    <x v="0"/>
    <x v="2"/>
    <x v="210"/>
    <x v="0"/>
    <x v="114"/>
    <x v="2291"/>
    <x v="2828"/>
  </r>
  <r>
    <x v="2"/>
    <x v="0"/>
    <x v="2"/>
    <x v="64"/>
    <x v="2"/>
    <x v="2"/>
    <x v="95"/>
    <x v="527"/>
  </r>
  <r>
    <x v="3"/>
    <x v="0"/>
    <x v="2"/>
    <x v="238"/>
    <x v="5"/>
    <x v="546"/>
    <x v="783"/>
    <x v="2829"/>
  </r>
  <r>
    <x v="2"/>
    <x v="0"/>
    <x v="2"/>
    <x v="205"/>
    <x v="22"/>
    <x v="476"/>
    <x v="2292"/>
    <x v="2830"/>
  </r>
  <r>
    <x v="3"/>
    <x v="0"/>
    <x v="2"/>
    <x v="64"/>
    <x v="5"/>
    <x v="458"/>
    <x v="2293"/>
    <x v="2831"/>
  </r>
  <r>
    <x v="2"/>
    <x v="0"/>
    <x v="2"/>
    <x v="81"/>
    <x v="7"/>
    <x v="217"/>
    <x v="2294"/>
    <x v="2832"/>
  </r>
  <r>
    <x v="0"/>
    <x v="0"/>
    <x v="2"/>
    <x v="31"/>
    <x v="22"/>
    <x v="197"/>
    <x v="2295"/>
    <x v="2833"/>
  </r>
  <r>
    <x v="0"/>
    <x v="0"/>
    <x v="2"/>
    <x v="15"/>
    <x v="7"/>
    <x v="578"/>
    <x v="2296"/>
    <x v="2834"/>
  </r>
  <r>
    <x v="0"/>
    <x v="0"/>
    <x v="2"/>
    <x v="179"/>
    <x v="2"/>
    <x v="2"/>
    <x v="2297"/>
    <x v="2835"/>
  </r>
  <r>
    <x v="3"/>
    <x v="0"/>
    <x v="2"/>
    <x v="165"/>
    <x v="7"/>
    <x v="635"/>
    <x v="593"/>
    <x v="2836"/>
  </r>
  <r>
    <x v="1"/>
    <x v="0"/>
    <x v="2"/>
    <x v="196"/>
    <x v="17"/>
    <x v="217"/>
    <x v="1330"/>
    <x v="2837"/>
  </r>
  <r>
    <x v="0"/>
    <x v="0"/>
    <x v="0"/>
    <x v="120"/>
    <x v="1"/>
    <x v="441"/>
    <x v="2298"/>
    <x v="2838"/>
  </r>
  <r>
    <x v="0"/>
    <x v="0"/>
    <x v="0"/>
    <x v="23"/>
    <x v="9"/>
    <x v="462"/>
    <x v="937"/>
    <x v="2839"/>
  </r>
  <r>
    <x v="0"/>
    <x v="0"/>
    <x v="2"/>
    <x v="190"/>
    <x v="23"/>
    <x v="295"/>
    <x v="2299"/>
    <x v="2840"/>
  </r>
  <r>
    <x v="1"/>
    <x v="0"/>
    <x v="1"/>
    <x v="26"/>
    <x v="7"/>
    <x v="25"/>
    <x v="2249"/>
    <x v="2841"/>
  </r>
  <r>
    <x v="0"/>
    <x v="0"/>
    <x v="0"/>
    <x v="83"/>
    <x v="0"/>
    <x v="835"/>
    <x v="2300"/>
    <x v="2842"/>
  </r>
  <r>
    <x v="0"/>
    <x v="0"/>
    <x v="2"/>
    <x v="213"/>
    <x v="11"/>
    <x v="762"/>
    <x v="2301"/>
    <x v="2843"/>
  </r>
  <r>
    <x v="1"/>
    <x v="0"/>
    <x v="2"/>
    <x v="168"/>
    <x v="0"/>
    <x v="342"/>
    <x v="2302"/>
    <x v="2844"/>
  </r>
  <r>
    <x v="3"/>
    <x v="0"/>
    <x v="2"/>
    <x v="69"/>
    <x v="6"/>
    <x v="818"/>
    <x v="2303"/>
    <x v="2845"/>
  </r>
  <r>
    <x v="0"/>
    <x v="0"/>
    <x v="0"/>
    <x v="133"/>
    <x v="13"/>
    <x v="234"/>
    <x v="2304"/>
    <x v="2846"/>
  </r>
  <r>
    <x v="2"/>
    <x v="0"/>
    <x v="2"/>
    <x v="38"/>
    <x v="2"/>
    <x v="2"/>
    <x v="2305"/>
    <x v="2847"/>
  </r>
  <r>
    <x v="1"/>
    <x v="0"/>
    <x v="1"/>
    <x v="119"/>
    <x v="8"/>
    <x v="735"/>
    <x v="2306"/>
    <x v="2848"/>
  </r>
  <r>
    <x v="1"/>
    <x v="0"/>
    <x v="1"/>
    <x v="189"/>
    <x v="17"/>
    <x v="716"/>
    <x v="2307"/>
    <x v="2849"/>
  </r>
  <r>
    <x v="0"/>
    <x v="0"/>
    <x v="2"/>
    <x v="191"/>
    <x v="13"/>
    <x v="315"/>
    <x v="2308"/>
    <x v="2850"/>
  </r>
  <r>
    <x v="0"/>
    <x v="0"/>
    <x v="2"/>
    <x v="228"/>
    <x v="16"/>
    <x v="511"/>
    <x v="2309"/>
    <x v="2851"/>
  </r>
  <r>
    <x v="0"/>
    <x v="0"/>
    <x v="0"/>
    <x v="188"/>
    <x v="3"/>
    <x v="611"/>
    <x v="2310"/>
    <x v="2852"/>
  </r>
  <r>
    <x v="3"/>
    <x v="0"/>
    <x v="2"/>
    <x v="240"/>
    <x v="2"/>
    <x v="2"/>
    <x v="2311"/>
    <x v="2853"/>
  </r>
  <r>
    <x v="0"/>
    <x v="0"/>
    <x v="0"/>
    <x v="27"/>
    <x v="11"/>
    <x v="253"/>
    <x v="699"/>
    <x v="2854"/>
  </r>
  <r>
    <x v="0"/>
    <x v="0"/>
    <x v="0"/>
    <x v="166"/>
    <x v="17"/>
    <x v="257"/>
    <x v="1254"/>
    <x v="2855"/>
  </r>
  <r>
    <x v="0"/>
    <x v="0"/>
    <x v="0"/>
    <x v="16"/>
    <x v="15"/>
    <x v="248"/>
    <x v="358"/>
    <x v="2856"/>
  </r>
  <r>
    <x v="2"/>
    <x v="0"/>
    <x v="2"/>
    <x v="166"/>
    <x v="14"/>
    <x v="798"/>
    <x v="2312"/>
    <x v="2857"/>
  </r>
  <r>
    <x v="0"/>
    <x v="0"/>
    <x v="0"/>
    <x v="31"/>
    <x v="19"/>
    <x v="0"/>
    <x v="2313"/>
    <x v="2858"/>
  </r>
  <r>
    <x v="1"/>
    <x v="0"/>
    <x v="2"/>
    <x v="238"/>
    <x v="6"/>
    <x v="45"/>
    <x v="1037"/>
    <x v="1402"/>
  </r>
  <r>
    <x v="1"/>
    <x v="0"/>
    <x v="2"/>
    <x v="74"/>
    <x v="9"/>
    <x v="142"/>
    <x v="2314"/>
    <x v="2859"/>
  </r>
  <r>
    <x v="1"/>
    <x v="0"/>
    <x v="2"/>
    <x v="211"/>
    <x v="18"/>
    <x v="243"/>
    <x v="501"/>
    <x v="2860"/>
  </r>
  <r>
    <x v="3"/>
    <x v="0"/>
    <x v="2"/>
    <x v="188"/>
    <x v="14"/>
    <x v="528"/>
    <x v="2315"/>
    <x v="2861"/>
  </r>
  <r>
    <x v="2"/>
    <x v="0"/>
    <x v="2"/>
    <x v="223"/>
    <x v="24"/>
    <x v="247"/>
    <x v="2304"/>
    <x v="2862"/>
  </r>
  <r>
    <x v="1"/>
    <x v="0"/>
    <x v="2"/>
    <x v="242"/>
    <x v="0"/>
    <x v="622"/>
    <x v="961"/>
    <x v="2863"/>
  </r>
  <r>
    <x v="0"/>
    <x v="0"/>
    <x v="2"/>
    <x v="206"/>
    <x v="13"/>
    <x v="310"/>
    <x v="774"/>
    <x v="2864"/>
  </r>
  <r>
    <x v="1"/>
    <x v="0"/>
    <x v="1"/>
    <x v="94"/>
    <x v="13"/>
    <x v="425"/>
    <x v="2316"/>
    <x v="2865"/>
  </r>
  <r>
    <x v="3"/>
    <x v="0"/>
    <x v="2"/>
    <x v="12"/>
    <x v="15"/>
    <x v="56"/>
    <x v="2317"/>
    <x v="2866"/>
  </r>
  <r>
    <x v="2"/>
    <x v="0"/>
    <x v="2"/>
    <x v="222"/>
    <x v="3"/>
    <x v="401"/>
    <x v="295"/>
    <x v="2867"/>
  </r>
  <r>
    <x v="0"/>
    <x v="0"/>
    <x v="0"/>
    <x v="93"/>
    <x v="17"/>
    <x v="658"/>
    <x v="2318"/>
    <x v="2868"/>
  </r>
  <r>
    <x v="0"/>
    <x v="0"/>
    <x v="0"/>
    <x v="62"/>
    <x v="5"/>
    <x v="61"/>
    <x v="2319"/>
    <x v="2869"/>
  </r>
  <r>
    <x v="1"/>
    <x v="0"/>
    <x v="2"/>
    <x v="0"/>
    <x v="5"/>
    <x v="142"/>
    <x v="1379"/>
    <x v="93"/>
  </r>
  <r>
    <x v="0"/>
    <x v="0"/>
    <x v="2"/>
    <x v="240"/>
    <x v="8"/>
    <x v="312"/>
    <x v="2320"/>
    <x v="2870"/>
  </r>
  <r>
    <x v="1"/>
    <x v="0"/>
    <x v="1"/>
    <x v="53"/>
    <x v="7"/>
    <x v="213"/>
    <x v="2321"/>
    <x v="2871"/>
  </r>
  <r>
    <x v="3"/>
    <x v="0"/>
    <x v="2"/>
    <x v="190"/>
    <x v="5"/>
    <x v="433"/>
    <x v="2322"/>
    <x v="2872"/>
  </r>
  <r>
    <x v="0"/>
    <x v="0"/>
    <x v="2"/>
    <x v="40"/>
    <x v="15"/>
    <x v="256"/>
    <x v="2323"/>
    <x v="2873"/>
  </r>
  <r>
    <x v="2"/>
    <x v="0"/>
    <x v="2"/>
    <x v="10"/>
    <x v="1"/>
    <x v="15"/>
    <x v="2324"/>
    <x v="2874"/>
  </r>
  <r>
    <x v="0"/>
    <x v="0"/>
    <x v="2"/>
    <x v="25"/>
    <x v="11"/>
    <x v="166"/>
    <x v="2325"/>
    <x v="2875"/>
  </r>
  <r>
    <x v="0"/>
    <x v="0"/>
    <x v="0"/>
    <x v="232"/>
    <x v="14"/>
    <x v="142"/>
    <x v="2326"/>
    <x v="2876"/>
  </r>
  <r>
    <x v="0"/>
    <x v="0"/>
    <x v="2"/>
    <x v="169"/>
    <x v="1"/>
    <x v="214"/>
    <x v="2327"/>
    <x v="2877"/>
  </r>
  <r>
    <x v="1"/>
    <x v="0"/>
    <x v="2"/>
    <x v="198"/>
    <x v="10"/>
    <x v="41"/>
    <x v="2328"/>
    <x v="2878"/>
  </r>
  <r>
    <x v="0"/>
    <x v="0"/>
    <x v="0"/>
    <x v="12"/>
    <x v="3"/>
    <x v="593"/>
    <x v="2329"/>
    <x v="2879"/>
  </r>
  <r>
    <x v="3"/>
    <x v="0"/>
    <x v="2"/>
    <x v="147"/>
    <x v="13"/>
    <x v="255"/>
    <x v="916"/>
    <x v="2880"/>
  </r>
  <r>
    <x v="2"/>
    <x v="0"/>
    <x v="2"/>
    <x v="108"/>
    <x v="8"/>
    <x v="639"/>
    <x v="2330"/>
    <x v="2881"/>
  </r>
  <r>
    <x v="0"/>
    <x v="0"/>
    <x v="0"/>
    <x v="55"/>
    <x v="7"/>
    <x v="587"/>
    <x v="2331"/>
    <x v="2882"/>
  </r>
  <r>
    <x v="1"/>
    <x v="0"/>
    <x v="1"/>
    <x v="217"/>
    <x v="25"/>
    <x v="190"/>
    <x v="2332"/>
    <x v="2883"/>
  </r>
  <r>
    <x v="3"/>
    <x v="0"/>
    <x v="2"/>
    <x v="195"/>
    <x v="14"/>
    <x v="454"/>
    <x v="15"/>
    <x v="2884"/>
  </r>
  <r>
    <x v="1"/>
    <x v="0"/>
    <x v="1"/>
    <x v="115"/>
    <x v="6"/>
    <x v="332"/>
    <x v="2333"/>
    <x v="2885"/>
  </r>
  <r>
    <x v="2"/>
    <x v="0"/>
    <x v="2"/>
    <x v="74"/>
    <x v="6"/>
    <x v="14"/>
    <x v="1911"/>
    <x v="2886"/>
  </r>
  <r>
    <x v="0"/>
    <x v="0"/>
    <x v="2"/>
    <x v="42"/>
    <x v="15"/>
    <x v="799"/>
    <x v="2334"/>
    <x v="2887"/>
  </r>
  <r>
    <x v="3"/>
    <x v="0"/>
    <x v="2"/>
    <x v="20"/>
    <x v="2"/>
    <x v="2"/>
    <x v="2335"/>
    <x v="2888"/>
  </r>
  <r>
    <x v="1"/>
    <x v="0"/>
    <x v="2"/>
    <x v="200"/>
    <x v="15"/>
    <x v="406"/>
    <x v="2336"/>
    <x v="2889"/>
  </r>
  <r>
    <x v="2"/>
    <x v="0"/>
    <x v="2"/>
    <x v="234"/>
    <x v="13"/>
    <x v="560"/>
    <x v="1375"/>
    <x v="2890"/>
  </r>
  <r>
    <x v="2"/>
    <x v="0"/>
    <x v="2"/>
    <x v="155"/>
    <x v="24"/>
    <x v="522"/>
    <x v="2337"/>
    <x v="2891"/>
  </r>
  <r>
    <x v="0"/>
    <x v="0"/>
    <x v="2"/>
    <x v="122"/>
    <x v="20"/>
    <x v="609"/>
    <x v="2338"/>
    <x v="2892"/>
  </r>
  <r>
    <x v="3"/>
    <x v="0"/>
    <x v="2"/>
    <x v="63"/>
    <x v="7"/>
    <x v="731"/>
    <x v="1326"/>
    <x v="2893"/>
  </r>
  <r>
    <x v="0"/>
    <x v="0"/>
    <x v="0"/>
    <x v="87"/>
    <x v="23"/>
    <x v="459"/>
    <x v="2339"/>
    <x v="2894"/>
  </r>
  <r>
    <x v="0"/>
    <x v="0"/>
    <x v="2"/>
    <x v="134"/>
    <x v="22"/>
    <x v="243"/>
    <x v="340"/>
    <x v="2895"/>
  </r>
  <r>
    <x v="3"/>
    <x v="0"/>
    <x v="2"/>
    <x v="101"/>
    <x v="16"/>
    <x v="729"/>
    <x v="2143"/>
    <x v="2896"/>
  </r>
  <r>
    <x v="2"/>
    <x v="0"/>
    <x v="2"/>
    <x v="5"/>
    <x v="0"/>
    <x v="733"/>
    <x v="2340"/>
    <x v="2897"/>
  </r>
  <r>
    <x v="0"/>
    <x v="0"/>
    <x v="2"/>
    <x v="70"/>
    <x v="6"/>
    <x v="17"/>
    <x v="2341"/>
    <x v="2898"/>
  </r>
  <r>
    <x v="0"/>
    <x v="0"/>
    <x v="0"/>
    <x v="62"/>
    <x v="11"/>
    <x v="499"/>
    <x v="2342"/>
    <x v="2899"/>
  </r>
  <r>
    <x v="0"/>
    <x v="0"/>
    <x v="2"/>
    <x v="202"/>
    <x v="17"/>
    <x v="345"/>
    <x v="2343"/>
    <x v="2900"/>
  </r>
  <r>
    <x v="1"/>
    <x v="0"/>
    <x v="1"/>
    <x v="217"/>
    <x v="0"/>
    <x v="832"/>
    <x v="2344"/>
    <x v="2901"/>
  </r>
  <r>
    <x v="3"/>
    <x v="0"/>
    <x v="2"/>
    <x v="145"/>
    <x v="1"/>
    <x v="315"/>
    <x v="1937"/>
    <x v="2902"/>
  </r>
  <r>
    <x v="0"/>
    <x v="0"/>
    <x v="2"/>
    <x v="131"/>
    <x v="10"/>
    <x v="812"/>
    <x v="2138"/>
    <x v="2903"/>
  </r>
  <r>
    <x v="0"/>
    <x v="0"/>
    <x v="0"/>
    <x v="150"/>
    <x v="3"/>
    <x v="568"/>
    <x v="2345"/>
    <x v="2904"/>
  </r>
  <r>
    <x v="0"/>
    <x v="0"/>
    <x v="0"/>
    <x v="185"/>
    <x v="5"/>
    <x v="252"/>
    <x v="1155"/>
    <x v="2905"/>
  </r>
  <r>
    <x v="2"/>
    <x v="0"/>
    <x v="2"/>
    <x v="86"/>
    <x v="15"/>
    <x v="8"/>
    <x v="1392"/>
    <x v="2906"/>
  </r>
  <r>
    <x v="2"/>
    <x v="0"/>
    <x v="2"/>
    <x v="144"/>
    <x v="2"/>
    <x v="2"/>
    <x v="2346"/>
    <x v="2907"/>
  </r>
  <r>
    <x v="0"/>
    <x v="0"/>
    <x v="0"/>
    <x v="184"/>
    <x v="5"/>
    <x v="283"/>
    <x v="2347"/>
    <x v="2908"/>
  </r>
  <r>
    <x v="1"/>
    <x v="0"/>
    <x v="2"/>
    <x v="80"/>
    <x v="11"/>
    <x v="315"/>
    <x v="2348"/>
    <x v="2909"/>
  </r>
  <r>
    <x v="1"/>
    <x v="0"/>
    <x v="2"/>
    <x v="108"/>
    <x v="25"/>
    <x v="521"/>
    <x v="2101"/>
    <x v="2910"/>
  </r>
  <r>
    <x v="3"/>
    <x v="0"/>
    <x v="2"/>
    <x v="181"/>
    <x v="7"/>
    <x v="223"/>
    <x v="786"/>
    <x v="830"/>
  </r>
  <r>
    <x v="0"/>
    <x v="0"/>
    <x v="0"/>
    <x v="158"/>
    <x v="14"/>
    <x v="609"/>
    <x v="2349"/>
    <x v="2911"/>
  </r>
  <r>
    <x v="0"/>
    <x v="0"/>
    <x v="0"/>
    <x v="106"/>
    <x v="12"/>
    <x v="67"/>
    <x v="300"/>
    <x v="2912"/>
  </r>
  <r>
    <x v="2"/>
    <x v="0"/>
    <x v="2"/>
    <x v="2"/>
    <x v="1"/>
    <x v="96"/>
    <x v="2350"/>
    <x v="2913"/>
  </r>
  <r>
    <x v="1"/>
    <x v="0"/>
    <x v="1"/>
    <x v="230"/>
    <x v="0"/>
    <x v="599"/>
    <x v="2351"/>
    <x v="2914"/>
  </r>
  <r>
    <x v="0"/>
    <x v="0"/>
    <x v="2"/>
    <x v="38"/>
    <x v="1"/>
    <x v="538"/>
    <x v="2352"/>
    <x v="2915"/>
  </r>
  <r>
    <x v="0"/>
    <x v="0"/>
    <x v="0"/>
    <x v="47"/>
    <x v="9"/>
    <x v="304"/>
    <x v="2353"/>
    <x v="2916"/>
  </r>
  <r>
    <x v="0"/>
    <x v="0"/>
    <x v="2"/>
    <x v="47"/>
    <x v="8"/>
    <x v="461"/>
    <x v="2354"/>
    <x v="2917"/>
  </r>
  <r>
    <x v="1"/>
    <x v="0"/>
    <x v="2"/>
    <x v="244"/>
    <x v="13"/>
    <x v="363"/>
    <x v="2355"/>
    <x v="2918"/>
  </r>
  <r>
    <x v="3"/>
    <x v="0"/>
    <x v="2"/>
    <x v="1"/>
    <x v="17"/>
    <x v="734"/>
    <x v="2356"/>
    <x v="2919"/>
  </r>
  <r>
    <x v="2"/>
    <x v="0"/>
    <x v="2"/>
    <x v="186"/>
    <x v="16"/>
    <x v="367"/>
    <x v="2357"/>
    <x v="2920"/>
  </r>
  <r>
    <x v="0"/>
    <x v="0"/>
    <x v="0"/>
    <x v="164"/>
    <x v="5"/>
    <x v="131"/>
    <x v="1368"/>
    <x v="2921"/>
  </r>
  <r>
    <x v="3"/>
    <x v="0"/>
    <x v="2"/>
    <x v="71"/>
    <x v="1"/>
    <x v="836"/>
    <x v="2358"/>
    <x v="2922"/>
  </r>
  <r>
    <x v="1"/>
    <x v="0"/>
    <x v="1"/>
    <x v="208"/>
    <x v="10"/>
    <x v="282"/>
    <x v="2359"/>
    <x v="2923"/>
  </r>
  <r>
    <x v="1"/>
    <x v="0"/>
    <x v="1"/>
    <x v="51"/>
    <x v="22"/>
    <x v="690"/>
    <x v="2360"/>
    <x v="2924"/>
  </r>
  <r>
    <x v="3"/>
    <x v="0"/>
    <x v="2"/>
    <x v="117"/>
    <x v="13"/>
    <x v="141"/>
    <x v="2066"/>
    <x v="2925"/>
  </r>
  <r>
    <x v="1"/>
    <x v="0"/>
    <x v="2"/>
    <x v="28"/>
    <x v="11"/>
    <x v="548"/>
    <x v="505"/>
    <x v="2926"/>
  </r>
  <r>
    <x v="1"/>
    <x v="0"/>
    <x v="2"/>
    <x v="98"/>
    <x v="25"/>
    <x v="528"/>
    <x v="2361"/>
    <x v="2927"/>
  </r>
  <r>
    <x v="1"/>
    <x v="0"/>
    <x v="1"/>
    <x v="87"/>
    <x v="2"/>
    <x v="2"/>
    <x v="2362"/>
    <x v="2928"/>
  </r>
  <r>
    <x v="0"/>
    <x v="0"/>
    <x v="0"/>
    <x v="121"/>
    <x v="14"/>
    <x v="837"/>
    <x v="2257"/>
    <x v="2929"/>
  </r>
  <r>
    <x v="2"/>
    <x v="0"/>
    <x v="2"/>
    <x v="84"/>
    <x v="13"/>
    <x v="268"/>
    <x v="315"/>
    <x v="2930"/>
  </r>
  <r>
    <x v="1"/>
    <x v="0"/>
    <x v="1"/>
    <x v="154"/>
    <x v="6"/>
    <x v="356"/>
    <x v="2363"/>
    <x v="2931"/>
  </r>
  <r>
    <x v="1"/>
    <x v="0"/>
    <x v="2"/>
    <x v="141"/>
    <x v="15"/>
    <x v="130"/>
    <x v="2364"/>
    <x v="2932"/>
  </r>
  <r>
    <x v="0"/>
    <x v="0"/>
    <x v="0"/>
    <x v="195"/>
    <x v="22"/>
    <x v="274"/>
    <x v="2362"/>
    <x v="2933"/>
  </r>
  <r>
    <x v="0"/>
    <x v="0"/>
    <x v="0"/>
    <x v="230"/>
    <x v="1"/>
    <x v="106"/>
    <x v="2365"/>
    <x v="2934"/>
  </r>
  <r>
    <x v="3"/>
    <x v="0"/>
    <x v="2"/>
    <x v="45"/>
    <x v="7"/>
    <x v="211"/>
    <x v="2366"/>
    <x v="2935"/>
  </r>
  <r>
    <x v="2"/>
    <x v="0"/>
    <x v="2"/>
    <x v="187"/>
    <x v="20"/>
    <x v="497"/>
    <x v="2367"/>
    <x v="2936"/>
  </r>
  <r>
    <x v="0"/>
    <x v="0"/>
    <x v="2"/>
    <x v="200"/>
    <x v="0"/>
    <x v="450"/>
    <x v="1196"/>
    <x v="2937"/>
  </r>
  <r>
    <x v="1"/>
    <x v="0"/>
    <x v="2"/>
    <x v="52"/>
    <x v="17"/>
    <x v="185"/>
    <x v="2368"/>
    <x v="2938"/>
  </r>
  <r>
    <x v="3"/>
    <x v="0"/>
    <x v="2"/>
    <x v="72"/>
    <x v="6"/>
    <x v="335"/>
    <x v="2369"/>
    <x v="2939"/>
  </r>
  <r>
    <x v="0"/>
    <x v="0"/>
    <x v="0"/>
    <x v="229"/>
    <x v="5"/>
    <x v="838"/>
    <x v="67"/>
    <x v="2940"/>
  </r>
  <r>
    <x v="0"/>
    <x v="0"/>
    <x v="0"/>
    <x v="9"/>
    <x v="6"/>
    <x v="9"/>
    <x v="89"/>
    <x v="2941"/>
  </r>
  <r>
    <x v="0"/>
    <x v="0"/>
    <x v="0"/>
    <x v="69"/>
    <x v="1"/>
    <x v="293"/>
    <x v="2370"/>
    <x v="2942"/>
  </r>
  <r>
    <x v="2"/>
    <x v="0"/>
    <x v="2"/>
    <x v="28"/>
    <x v="22"/>
    <x v="839"/>
    <x v="2371"/>
    <x v="2943"/>
  </r>
  <r>
    <x v="1"/>
    <x v="0"/>
    <x v="2"/>
    <x v="157"/>
    <x v="18"/>
    <x v="398"/>
    <x v="2372"/>
    <x v="2944"/>
  </r>
  <r>
    <x v="3"/>
    <x v="0"/>
    <x v="2"/>
    <x v="231"/>
    <x v="17"/>
    <x v="135"/>
    <x v="2373"/>
    <x v="2945"/>
  </r>
  <r>
    <x v="0"/>
    <x v="0"/>
    <x v="0"/>
    <x v="46"/>
    <x v="20"/>
    <x v="143"/>
    <x v="2374"/>
    <x v="2946"/>
  </r>
  <r>
    <x v="3"/>
    <x v="0"/>
    <x v="2"/>
    <x v="208"/>
    <x v="26"/>
    <x v="48"/>
    <x v="2375"/>
    <x v="2947"/>
  </r>
  <r>
    <x v="1"/>
    <x v="0"/>
    <x v="2"/>
    <x v="161"/>
    <x v="5"/>
    <x v="356"/>
    <x v="2376"/>
    <x v="2948"/>
  </r>
  <r>
    <x v="1"/>
    <x v="0"/>
    <x v="2"/>
    <x v="148"/>
    <x v="0"/>
    <x v="439"/>
    <x v="2377"/>
    <x v="2949"/>
  </r>
  <r>
    <x v="1"/>
    <x v="0"/>
    <x v="2"/>
    <x v="188"/>
    <x v="17"/>
    <x v="476"/>
    <x v="2378"/>
    <x v="2950"/>
  </r>
  <r>
    <x v="1"/>
    <x v="0"/>
    <x v="2"/>
    <x v="88"/>
    <x v="20"/>
    <x v="716"/>
    <x v="2379"/>
    <x v="2951"/>
  </r>
  <r>
    <x v="3"/>
    <x v="0"/>
    <x v="2"/>
    <x v="18"/>
    <x v="22"/>
    <x v="523"/>
    <x v="2380"/>
    <x v="2952"/>
  </r>
  <r>
    <x v="0"/>
    <x v="0"/>
    <x v="2"/>
    <x v="184"/>
    <x v="1"/>
    <x v="213"/>
    <x v="2381"/>
    <x v="2953"/>
  </r>
  <r>
    <x v="0"/>
    <x v="0"/>
    <x v="2"/>
    <x v="222"/>
    <x v="17"/>
    <x v="24"/>
    <x v="266"/>
    <x v="2954"/>
  </r>
  <r>
    <x v="0"/>
    <x v="0"/>
    <x v="2"/>
    <x v="46"/>
    <x v="1"/>
    <x v="765"/>
    <x v="2382"/>
    <x v="2955"/>
  </r>
  <r>
    <x v="1"/>
    <x v="0"/>
    <x v="2"/>
    <x v="172"/>
    <x v="12"/>
    <x v="510"/>
    <x v="1336"/>
    <x v="2956"/>
  </r>
  <r>
    <x v="0"/>
    <x v="0"/>
    <x v="0"/>
    <x v="246"/>
    <x v="8"/>
    <x v="61"/>
    <x v="2383"/>
    <x v="2957"/>
  </r>
  <r>
    <x v="3"/>
    <x v="0"/>
    <x v="2"/>
    <x v="226"/>
    <x v="7"/>
    <x v="181"/>
    <x v="2384"/>
    <x v="2958"/>
  </r>
  <r>
    <x v="2"/>
    <x v="0"/>
    <x v="2"/>
    <x v="231"/>
    <x v="6"/>
    <x v="27"/>
    <x v="2385"/>
    <x v="2959"/>
  </r>
  <r>
    <x v="1"/>
    <x v="0"/>
    <x v="2"/>
    <x v="4"/>
    <x v="0"/>
    <x v="620"/>
    <x v="2386"/>
    <x v="2960"/>
  </r>
  <r>
    <x v="0"/>
    <x v="0"/>
    <x v="2"/>
    <x v="194"/>
    <x v="5"/>
    <x v="606"/>
    <x v="2387"/>
    <x v="2961"/>
  </r>
  <r>
    <x v="3"/>
    <x v="0"/>
    <x v="2"/>
    <x v="58"/>
    <x v="9"/>
    <x v="131"/>
    <x v="1993"/>
    <x v="2962"/>
  </r>
  <r>
    <x v="1"/>
    <x v="0"/>
    <x v="1"/>
    <x v="235"/>
    <x v="2"/>
    <x v="2"/>
    <x v="767"/>
    <x v="2963"/>
  </r>
  <r>
    <x v="2"/>
    <x v="0"/>
    <x v="2"/>
    <x v="14"/>
    <x v="24"/>
    <x v="840"/>
    <x v="2388"/>
    <x v="2964"/>
  </r>
  <r>
    <x v="1"/>
    <x v="0"/>
    <x v="2"/>
    <x v="220"/>
    <x v="2"/>
    <x v="2"/>
    <x v="2389"/>
    <x v="2965"/>
  </r>
  <r>
    <x v="0"/>
    <x v="0"/>
    <x v="0"/>
    <x v="175"/>
    <x v="8"/>
    <x v="746"/>
    <x v="1187"/>
    <x v="2966"/>
  </r>
  <r>
    <x v="0"/>
    <x v="0"/>
    <x v="2"/>
    <x v="186"/>
    <x v="0"/>
    <x v="200"/>
    <x v="2110"/>
    <x v="2967"/>
  </r>
  <r>
    <x v="0"/>
    <x v="0"/>
    <x v="0"/>
    <x v="223"/>
    <x v="0"/>
    <x v="722"/>
    <x v="2390"/>
    <x v="2968"/>
  </r>
  <r>
    <x v="0"/>
    <x v="0"/>
    <x v="0"/>
    <x v="228"/>
    <x v="3"/>
    <x v="361"/>
    <x v="1012"/>
    <x v="2969"/>
  </r>
  <r>
    <x v="0"/>
    <x v="0"/>
    <x v="2"/>
    <x v="85"/>
    <x v="19"/>
    <x v="84"/>
    <x v="2391"/>
    <x v="2970"/>
  </r>
  <r>
    <x v="0"/>
    <x v="0"/>
    <x v="2"/>
    <x v="230"/>
    <x v="15"/>
    <x v="529"/>
    <x v="2392"/>
    <x v="2971"/>
  </r>
  <r>
    <x v="0"/>
    <x v="0"/>
    <x v="2"/>
    <x v="57"/>
    <x v="28"/>
    <x v="5"/>
    <x v="2393"/>
    <x v="2972"/>
  </r>
  <r>
    <x v="0"/>
    <x v="0"/>
    <x v="0"/>
    <x v="137"/>
    <x v="1"/>
    <x v="174"/>
    <x v="2394"/>
    <x v="2973"/>
  </r>
  <r>
    <x v="0"/>
    <x v="0"/>
    <x v="2"/>
    <x v="26"/>
    <x v="0"/>
    <x v="3"/>
    <x v="2395"/>
    <x v="2974"/>
  </r>
  <r>
    <x v="1"/>
    <x v="0"/>
    <x v="1"/>
    <x v="161"/>
    <x v="13"/>
    <x v="710"/>
    <x v="2396"/>
    <x v="2975"/>
  </r>
  <r>
    <x v="1"/>
    <x v="0"/>
    <x v="2"/>
    <x v="157"/>
    <x v="28"/>
    <x v="198"/>
    <x v="583"/>
    <x v="2976"/>
  </r>
  <r>
    <x v="2"/>
    <x v="0"/>
    <x v="2"/>
    <x v="227"/>
    <x v="15"/>
    <x v="455"/>
    <x v="227"/>
    <x v="2977"/>
  </r>
  <r>
    <x v="1"/>
    <x v="0"/>
    <x v="2"/>
    <x v="81"/>
    <x v="13"/>
    <x v="498"/>
    <x v="2397"/>
    <x v="2978"/>
  </r>
  <r>
    <x v="3"/>
    <x v="0"/>
    <x v="2"/>
    <x v="115"/>
    <x v="18"/>
    <x v="275"/>
    <x v="1530"/>
    <x v="2979"/>
  </r>
  <r>
    <x v="3"/>
    <x v="0"/>
    <x v="2"/>
    <x v="66"/>
    <x v="13"/>
    <x v="298"/>
    <x v="2398"/>
    <x v="2980"/>
  </r>
  <r>
    <x v="3"/>
    <x v="0"/>
    <x v="2"/>
    <x v="44"/>
    <x v="11"/>
    <x v="134"/>
    <x v="507"/>
    <x v="2981"/>
  </r>
  <r>
    <x v="1"/>
    <x v="0"/>
    <x v="1"/>
    <x v="166"/>
    <x v="10"/>
    <x v="692"/>
    <x v="303"/>
    <x v="2982"/>
  </r>
  <r>
    <x v="0"/>
    <x v="0"/>
    <x v="2"/>
    <x v="81"/>
    <x v="2"/>
    <x v="2"/>
    <x v="979"/>
    <x v="2983"/>
  </r>
  <r>
    <x v="0"/>
    <x v="0"/>
    <x v="0"/>
    <x v="134"/>
    <x v="14"/>
    <x v="114"/>
    <x v="2399"/>
    <x v="2984"/>
  </r>
  <r>
    <x v="3"/>
    <x v="0"/>
    <x v="2"/>
    <x v="136"/>
    <x v="17"/>
    <x v="211"/>
    <x v="1040"/>
    <x v="2985"/>
  </r>
  <r>
    <x v="0"/>
    <x v="0"/>
    <x v="2"/>
    <x v="245"/>
    <x v="6"/>
    <x v="246"/>
    <x v="2400"/>
    <x v="2986"/>
  </r>
  <r>
    <x v="0"/>
    <x v="0"/>
    <x v="0"/>
    <x v="210"/>
    <x v="6"/>
    <x v="287"/>
    <x v="2401"/>
    <x v="2987"/>
  </r>
  <r>
    <x v="0"/>
    <x v="0"/>
    <x v="2"/>
    <x v="17"/>
    <x v="3"/>
    <x v="769"/>
    <x v="1286"/>
    <x v="2988"/>
  </r>
  <r>
    <x v="1"/>
    <x v="0"/>
    <x v="2"/>
    <x v="103"/>
    <x v="6"/>
    <x v="339"/>
    <x v="2402"/>
    <x v="2989"/>
  </r>
  <r>
    <x v="0"/>
    <x v="0"/>
    <x v="0"/>
    <x v="34"/>
    <x v="13"/>
    <x v="330"/>
    <x v="1028"/>
    <x v="2990"/>
  </r>
  <r>
    <x v="2"/>
    <x v="0"/>
    <x v="2"/>
    <x v="181"/>
    <x v="22"/>
    <x v="734"/>
    <x v="2077"/>
    <x v="2991"/>
  </r>
  <r>
    <x v="2"/>
    <x v="0"/>
    <x v="2"/>
    <x v="195"/>
    <x v="19"/>
    <x v="533"/>
    <x v="1406"/>
    <x v="2992"/>
  </r>
  <r>
    <x v="1"/>
    <x v="0"/>
    <x v="1"/>
    <x v="157"/>
    <x v="10"/>
    <x v="214"/>
    <x v="2403"/>
    <x v="2993"/>
  </r>
  <r>
    <x v="1"/>
    <x v="0"/>
    <x v="1"/>
    <x v="86"/>
    <x v="0"/>
    <x v="357"/>
    <x v="2404"/>
    <x v="2994"/>
  </r>
  <r>
    <x v="1"/>
    <x v="0"/>
    <x v="2"/>
    <x v="224"/>
    <x v="1"/>
    <x v="56"/>
    <x v="2405"/>
    <x v="2995"/>
  </r>
  <r>
    <x v="3"/>
    <x v="0"/>
    <x v="2"/>
    <x v="109"/>
    <x v="1"/>
    <x v="325"/>
    <x v="2406"/>
    <x v="2996"/>
  </r>
  <r>
    <x v="2"/>
    <x v="0"/>
    <x v="2"/>
    <x v="146"/>
    <x v="9"/>
    <x v="631"/>
    <x v="2407"/>
    <x v="2997"/>
  </r>
  <r>
    <x v="0"/>
    <x v="0"/>
    <x v="2"/>
    <x v="7"/>
    <x v="11"/>
    <x v="239"/>
    <x v="2408"/>
    <x v="2998"/>
  </r>
  <r>
    <x v="3"/>
    <x v="0"/>
    <x v="2"/>
    <x v="53"/>
    <x v="0"/>
    <x v="395"/>
    <x v="1104"/>
    <x v="2999"/>
  </r>
  <r>
    <x v="2"/>
    <x v="0"/>
    <x v="2"/>
    <x v="16"/>
    <x v="15"/>
    <x v="248"/>
    <x v="2409"/>
    <x v="3000"/>
  </r>
  <r>
    <x v="3"/>
    <x v="0"/>
    <x v="2"/>
    <x v="58"/>
    <x v="8"/>
    <x v="841"/>
    <x v="1893"/>
    <x v="3001"/>
  </r>
  <r>
    <x v="2"/>
    <x v="0"/>
    <x v="2"/>
    <x v="177"/>
    <x v="9"/>
    <x v="685"/>
    <x v="2410"/>
    <x v="3002"/>
  </r>
  <r>
    <x v="0"/>
    <x v="0"/>
    <x v="0"/>
    <x v="104"/>
    <x v="2"/>
    <x v="2"/>
    <x v="2411"/>
    <x v="3003"/>
  </r>
  <r>
    <x v="1"/>
    <x v="0"/>
    <x v="2"/>
    <x v="113"/>
    <x v="9"/>
    <x v="68"/>
    <x v="2412"/>
    <x v="3004"/>
  </r>
  <r>
    <x v="0"/>
    <x v="0"/>
    <x v="0"/>
    <x v="198"/>
    <x v="13"/>
    <x v="284"/>
    <x v="2413"/>
    <x v="3005"/>
  </r>
  <r>
    <x v="1"/>
    <x v="0"/>
    <x v="1"/>
    <x v="177"/>
    <x v="3"/>
    <x v="842"/>
    <x v="2414"/>
    <x v="3006"/>
  </r>
  <r>
    <x v="1"/>
    <x v="0"/>
    <x v="1"/>
    <x v="173"/>
    <x v="24"/>
    <x v="475"/>
    <x v="2415"/>
    <x v="3007"/>
  </r>
  <r>
    <x v="1"/>
    <x v="0"/>
    <x v="2"/>
    <x v="187"/>
    <x v="8"/>
    <x v="798"/>
    <x v="2183"/>
    <x v="3008"/>
  </r>
  <r>
    <x v="2"/>
    <x v="0"/>
    <x v="2"/>
    <x v="227"/>
    <x v="11"/>
    <x v="665"/>
    <x v="1579"/>
    <x v="3009"/>
  </r>
  <r>
    <x v="0"/>
    <x v="0"/>
    <x v="0"/>
    <x v="95"/>
    <x v="11"/>
    <x v="494"/>
    <x v="970"/>
    <x v="3010"/>
  </r>
  <r>
    <x v="1"/>
    <x v="0"/>
    <x v="2"/>
    <x v="73"/>
    <x v="6"/>
    <x v="697"/>
    <x v="455"/>
    <x v="3011"/>
  </r>
  <r>
    <x v="3"/>
    <x v="0"/>
    <x v="2"/>
    <x v="113"/>
    <x v="10"/>
    <x v="388"/>
    <x v="2416"/>
    <x v="1900"/>
  </r>
  <r>
    <x v="1"/>
    <x v="0"/>
    <x v="1"/>
    <x v="221"/>
    <x v="9"/>
    <x v="80"/>
    <x v="2417"/>
    <x v="3012"/>
  </r>
  <r>
    <x v="0"/>
    <x v="0"/>
    <x v="2"/>
    <x v="114"/>
    <x v="10"/>
    <x v="753"/>
    <x v="2418"/>
    <x v="3013"/>
  </r>
  <r>
    <x v="0"/>
    <x v="0"/>
    <x v="0"/>
    <x v="189"/>
    <x v="13"/>
    <x v="38"/>
    <x v="92"/>
    <x v="3014"/>
  </r>
  <r>
    <x v="0"/>
    <x v="0"/>
    <x v="0"/>
    <x v="235"/>
    <x v="0"/>
    <x v="104"/>
    <x v="2419"/>
    <x v="3015"/>
  </r>
  <r>
    <x v="0"/>
    <x v="0"/>
    <x v="2"/>
    <x v="224"/>
    <x v="1"/>
    <x v="56"/>
    <x v="837"/>
    <x v="3016"/>
  </r>
  <r>
    <x v="3"/>
    <x v="0"/>
    <x v="2"/>
    <x v="156"/>
    <x v="1"/>
    <x v="352"/>
    <x v="2420"/>
    <x v="3017"/>
  </r>
  <r>
    <x v="3"/>
    <x v="0"/>
    <x v="2"/>
    <x v="34"/>
    <x v="5"/>
    <x v="379"/>
    <x v="2421"/>
    <x v="3018"/>
  </r>
  <r>
    <x v="3"/>
    <x v="0"/>
    <x v="2"/>
    <x v="76"/>
    <x v="18"/>
    <x v="727"/>
    <x v="2422"/>
    <x v="3019"/>
  </r>
  <r>
    <x v="0"/>
    <x v="0"/>
    <x v="0"/>
    <x v="187"/>
    <x v="21"/>
    <x v="271"/>
    <x v="2423"/>
    <x v="3020"/>
  </r>
  <r>
    <x v="1"/>
    <x v="0"/>
    <x v="1"/>
    <x v="141"/>
    <x v="2"/>
    <x v="2"/>
    <x v="1378"/>
    <x v="3021"/>
  </r>
  <r>
    <x v="0"/>
    <x v="0"/>
    <x v="0"/>
    <x v="156"/>
    <x v="6"/>
    <x v="35"/>
    <x v="2424"/>
    <x v="3022"/>
  </r>
  <r>
    <x v="3"/>
    <x v="0"/>
    <x v="2"/>
    <x v="69"/>
    <x v="5"/>
    <x v="412"/>
    <x v="1888"/>
    <x v="3023"/>
  </r>
  <r>
    <x v="1"/>
    <x v="0"/>
    <x v="1"/>
    <x v="164"/>
    <x v="1"/>
    <x v="100"/>
    <x v="2147"/>
    <x v="3024"/>
  </r>
  <r>
    <x v="0"/>
    <x v="0"/>
    <x v="2"/>
    <x v="197"/>
    <x v="22"/>
    <x v="706"/>
    <x v="909"/>
    <x v="3025"/>
  </r>
  <r>
    <x v="3"/>
    <x v="0"/>
    <x v="2"/>
    <x v="35"/>
    <x v="21"/>
    <x v="225"/>
    <x v="65"/>
    <x v="3026"/>
  </r>
  <r>
    <x v="1"/>
    <x v="0"/>
    <x v="1"/>
    <x v="158"/>
    <x v="22"/>
    <x v="595"/>
    <x v="2425"/>
    <x v="3027"/>
  </r>
  <r>
    <x v="1"/>
    <x v="0"/>
    <x v="1"/>
    <x v="124"/>
    <x v="1"/>
    <x v="167"/>
    <x v="2426"/>
    <x v="3028"/>
  </r>
  <r>
    <x v="0"/>
    <x v="0"/>
    <x v="0"/>
    <x v="242"/>
    <x v="10"/>
    <x v="455"/>
    <x v="2427"/>
    <x v="3029"/>
  </r>
  <r>
    <x v="0"/>
    <x v="0"/>
    <x v="0"/>
    <x v="185"/>
    <x v="11"/>
    <x v="440"/>
    <x v="2428"/>
    <x v="3030"/>
  </r>
  <r>
    <x v="0"/>
    <x v="0"/>
    <x v="2"/>
    <x v="82"/>
    <x v="13"/>
    <x v="665"/>
    <x v="1526"/>
    <x v="3031"/>
  </r>
  <r>
    <x v="3"/>
    <x v="0"/>
    <x v="2"/>
    <x v="88"/>
    <x v="9"/>
    <x v="520"/>
    <x v="2429"/>
    <x v="3032"/>
  </r>
  <r>
    <x v="0"/>
    <x v="0"/>
    <x v="2"/>
    <x v="41"/>
    <x v="13"/>
    <x v="191"/>
    <x v="1807"/>
    <x v="3033"/>
  </r>
  <r>
    <x v="2"/>
    <x v="0"/>
    <x v="2"/>
    <x v="134"/>
    <x v="3"/>
    <x v="131"/>
    <x v="2430"/>
    <x v="3034"/>
  </r>
  <r>
    <x v="0"/>
    <x v="0"/>
    <x v="0"/>
    <x v="65"/>
    <x v="15"/>
    <x v="473"/>
    <x v="2365"/>
    <x v="3035"/>
  </r>
  <r>
    <x v="2"/>
    <x v="0"/>
    <x v="2"/>
    <x v="209"/>
    <x v="12"/>
    <x v="36"/>
    <x v="558"/>
    <x v="3036"/>
  </r>
  <r>
    <x v="1"/>
    <x v="0"/>
    <x v="1"/>
    <x v="127"/>
    <x v="3"/>
    <x v="843"/>
    <x v="2431"/>
    <x v="3037"/>
  </r>
  <r>
    <x v="0"/>
    <x v="0"/>
    <x v="2"/>
    <x v="121"/>
    <x v="12"/>
    <x v="313"/>
    <x v="2432"/>
    <x v="3038"/>
  </r>
  <r>
    <x v="1"/>
    <x v="0"/>
    <x v="1"/>
    <x v="211"/>
    <x v="2"/>
    <x v="2"/>
    <x v="2433"/>
    <x v="3039"/>
  </r>
  <r>
    <x v="1"/>
    <x v="0"/>
    <x v="2"/>
    <x v="225"/>
    <x v="2"/>
    <x v="2"/>
    <x v="1035"/>
    <x v="3040"/>
  </r>
  <r>
    <x v="3"/>
    <x v="0"/>
    <x v="2"/>
    <x v="234"/>
    <x v="6"/>
    <x v="283"/>
    <x v="2434"/>
    <x v="3041"/>
  </r>
  <r>
    <x v="1"/>
    <x v="0"/>
    <x v="2"/>
    <x v="228"/>
    <x v="2"/>
    <x v="2"/>
    <x v="2435"/>
    <x v="3042"/>
  </r>
  <r>
    <x v="1"/>
    <x v="0"/>
    <x v="2"/>
    <x v="13"/>
    <x v="22"/>
    <x v="192"/>
    <x v="2436"/>
    <x v="3043"/>
  </r>
  <r>
    <x v="0"/>
    <x v="0"/>
    <x v="2"/>
    <x v="58"/>
    <x v="14"/>
    <x v="283"/>
    <x v="2437"/>
    <x v="3044"/>
  </r>
  <r>
    <x v="1"/>
    <x v="0"/>
    <x v="2"/>
    <x v="242"/>
    <x v="17"/>
    <x v="162"/>
    <x v="2438"/>
    <x v="3045"/>
  </r>
  <r>
    <x v="1"/>
    <x v="0"/>
    <x v="2"/>
    <x v="118"/>
    <x v="12"/>
    <x v="126"/>
    <x v="2325"/>
    <x v="3046"/>
  </r>
  <r>
    <x v="1"/>
    <x v="0"/>
    <x v="2"/>
    <x v="52"/>
    <x v="16"/>
    <x v="181"/>
    <x v="1126"/>
    <x v="3047"/>
  </r>
  <r>
    <x v="0"/>
    <x v="0"/>
    <x v="0"/>
    <x v="75"/>
    <x v="11"/>
    <x v="818"/>
    <x v="2117"/>
    <x v="3048"/>
  </r>
  <r>
    <x v="0"/>
    <x v="0"/>
    <x v="0"/>
    <x v="29"/>
    <x v="14"/>
    <x v="824"/>
    <x v="2439"/>
    <x v="3049"/>
  </r>
  <r>
    <x v="2"/>
    <x v="0"/>
    <x v="2"/>
    <x v="153"/>
    <x v="11"/>
    <x v="530"/>
    <x v="2440"/>
    <x v="3050"/>
  </r>
  <r>
    <x v="1"/>
    <x v="0"/>
    <x v="2"/>
    <x v="119"/>
    <x v="1"/>
    <x v="429"/>
    <x v="2441"/>
    <x v="3051"/>
  </r>
  <r>
    <x v="2"/>
    <x v="0"/>
    <x v="2"/>
    <x v="65"/>
    <x v="17"/>
    <x v="247"/>
    <x v="2442"/>
    <x v="3052"/>
  </r>
  <r>
    <x v="1"/>
    <x v="0"/>
    <x v="2"/>
    <x v="165"/>
    <x v="7"/>
    <x v="635"/>
    <x v="630"/>
    <x v="3053"/>
  </r>
  <r>
    <x v="2"/>
    <x v="0"/>
    <x v="2"/>
    <x v="134"/>
    <x v="10"/>
    <x v="403"/>
    <x v="2443"/>
    <x v="3054"/>
  </r>
  <r>
    <x v="3"/>
    <x v="0"/>
    <x v="2"/>
    <x v="105"/>
    <x v="13"/>
    <x v="278"/>
    <x v="1714"/>
    <x v="3055"/>
  </r>
  <r>
    <x v="3"/>
    <x v="0"/>
    <x v="2"/>
    <x v="229"/>
    <x v="20"/>
    <x v="595"/>
    <x v="2444"/>
    <x v="3056"/>
  </r>
  <r>
    <x v="0"/>
    <x v="0"/>
    <x v="0"/>
    <x v="208"/>
    <x v="17"/>
    <x v="844"/>
    <x v="2445"/>
    <x v="3057"/>
  </r>
  <r>
    <x v="1"/>
    <x v="0"/>
    <x v="2"/>
    <x v="24"/>
    <x v="10"/>
    <x v="551"/>
    <x v="823"/>
    <x v="3058"/>
  </r>
  <r>
    <x v="2"/>
    <x v="0"/>
    <x v="2"/>
    <x v="61"/>
    <x v="3"/>
    <x v="584"/>
    <x v="222"/>
    <x v="3059"/>
  </r>
  <r>
    <x v="1"/>
    <x v="0"/>
    <x v="1"/>
    <x v="96"/>
    <x v="5"/>
    <x v="342"/>
    <x v="2446"/>
    <x v="3060"/>
  </r>
  <r>
    <x v="1"/>
    <x v="0"/>
    <x v="1"/>
    <x v="3"/>
    <x v="13"/>
    <x v="210"/>
    <x v="2447"/>
    <x v="3061"/>
  </r>
  <r>
    <x v="1"/>
    <x v="0"/>
    <x v="2"/>
    <x v="131"/>
    <x v="15"/>
    <x v="677"/>
    <x v="2329"/>
    <x v="3062"/>
  </r>
  <r>
    <x v="0"/>
    <x v="0"/>
    <x v="2"/>
    <x v="225"/>
    <x v="6"/>
    <x v="85"/>
    <x v="364"/>
    <x v="3063"/>
  </r>
  <r>
    <x v="0"/>
    <x v="0"/>
    <x v="2"/>
    <x v="127"/>
    <x v="11"/>
    <x v="239"/>
    <x v="2448"/>
    <x v="3064"/>
  </r>
  <r>
    <x v="2"/>
    <x v="0"/>
    <x v="2"/>
    <x v="76"/>
    <x v="2"/>
    <x v="2"/>
    <x v="2449"/>
    <x v="3065"/>
  </r>
  <r>
    <x v="0"/>
    <x v="0"/>
    <x v="2"/>
    <x v="151"/>
    <x v="7"/>
    <x v="599"/>
    <x v="2450"/>
    <x v="3066"/>
  </r>
  <r>
    <x v="2"/>
    <x v="0"/>
    <x v="2"/>
    <x v="86"/>
    <x v="1"/>
    <x v="136"/>
    <x v="2451"/>
    <x v="3067"/>
  </r>
  <r>
    <x v="0"/>
    <x v="0"/>
    <x v="2"/>
    <x v="145"/>
    <x v="7"/>
    <x v="646"/>
    <x v="644"/>
    <x v="3068"/>
  </r>
  <r>
    <x v="1"/>
    <x v="0"/>
    <x v="2"/>
    <x v="156"/>
    <x v="10"/>
    <x v="143"/>
    <x v="2452"/>
    <x v="3069"/>
  </r>
  <r>
    <x v="2"/>
    <x v="0"/>
    <x v="2"/>
    <x v="69"/>
    <x v="9"/>
    <x v="313"/>
    <x v="1128"/>
    <x v="3070"/>
  </r>
  <r>
    <x v="0"/>
    <x v="0"/>
    <x v="0"/>
    <x v="185"/>
    <x v="6"/>
    <x v="131"/>
    <x v="2261"/>
    <x v="3071"/>
  </r>
  <r>
    <x v="0"/>
    <x v="0"/>
    <x v="2"/>
    <x v="156"/>
    <x v="13"/>
    <x v="765"/>
    <x v="2453"/>
    <x v="3072"/>
  </r>
  <r>
    <x v="0"/>
    <x v="0"/>
    <x v="0"/>
    <x v="221"/>
    <x v="15"/>
    <x v="201"/>
    <x v="1149"/>
    <x v="3073"/>
  </r>
  <r>
    <x v="0"/>
    <x v="0"/>
    <x v="0"/>
    <x v="181"/>
    <x v="13"/>
    <x v="249"/>
    <x v="2454"/>
    <x v="3074"/>
  </r>
  <r>
    <x v="2"/>
    <x v="0"/>
    <x v="2"/>
    <x v="94"/>
    <x v="13"/>
    <x v="425"/>
    <x v="1994"/>
    <x v="3075"/>
  </r>
  <r>
    <x v="2"/>
    <x v="0"/>
    <x v="2"/>
    <x v="82"/>
    <x v="11"/>
    <x v="272"/>
    <x v="2455"/>
    <x v="3076"/>
  </r>
  <r>
    <x v="2"/>
    <x v="0"/>
    <x v="2"/>
    <x v="147"/>
    <x v="10"/>
    <x v="716"/>
    <x v="1816"/>
    <x v="3077"/>
  </r>
  <r>
    <x v="2"/>
    <x v="0"/>
    <x v="2"/>
    <x v="7"/>
    <x v="24"/>
    <x v="845"/>
    <x v="2120"/>
    <x v="3078"/>
  </r>
  <r>
    <x v="1"/>
    <x v="0"/>
    <x v="1"/>
    <x v="141"/>
    <x v="0"/>
    <x v="237"/>
    <x v="262"/>
    <x v="3079"/>
  </r>
  <r>
    <x v="0"/>
    <x v="0"/>
    <x v="2"/>
    <x v="96"/>
    <x v="13"/>
    <x v="276"/>
    <x v="516"/>
    <x v="3080"/>
  </r>
  <r>
    <x v="2"/>
    <x v="0"/>
    <x v="2"/>
    <x v="193"/>
    <x v="22"/>
    <x v="163"/>
    <x v="2456"/>
    <x v="3081"/>
  </r>
  <r>
    <x v="0"/>
    <x v="0"/>
    <x v="0"/>
    <x v="142"/>
    <x v="3"/>
    <x v="232"/>
    <x v="1744"/>
    <x v="3082"/>
  </r>
  <r>
    <x v="2"/>
    <x v="0"/>
    <x v="2"/>
    <x v="14"/>
    <x v="2"/>
    <x v="2"/>
    <x v="2457"/>
    <x v="3083"/>
  </r>
  <r>
    <x v="3"/>
    <x v="0"/>
    <x v="2"/>
    <x v="31"/>
    <x v="11"/>
    <x v="320"/>
    <x v="2458"/>
    <x v="3084"/>
  </r>
  <r>
    <x v="0"/>
    <x v="0"/>
    <x v="0"/>
    <x v="147"/>
    <x v="0"/>
    <x v="520"/>
    <x v="1127"/>
    <x v="3085"/>
  </r>
  <r>
    <x v="2"/>
    <x v="0"/>
    <x v="2"/>
    <x v="232"/>
    <x v="13"/>
    <x v="323"/>
    <x v="2459"/>
    <x v="3086"/>
  </r>
  <r>
    <x v="0"/>
    <x v="0"/>
    <x v="0"/>
    <x v="168"/>
    <x v="19"/>
    <x v="846"/>
    <x v="2460"/>
    <x v="3087"/>
  </r>
  <r>
    <x v="3"/>
    <x v="0"/>
    <x v="2"/>
    <x v="190"/>
    <x v="10"/>
    <x v="20"/>
    <x v="2461"/>
    <x v="3088"/>
  </r>
  <r>
    <x v="1"/>
    <x v="0"/>
    <x v="2"/>
    <x v="181"/>
    <x v="12"/>
    <x v="101"/>
    <x v="2462"/>
    <x v="3089"/>
  </r>
  <r>
    <x v="2"/>
    <x v="0"/>
    <x v="2"/>
    <x v="2"/>
    <x v="2"/>
    <x v="2"/>
    <x v="823"/>
    <x v="3090"/>
  </r>
  <r>
    <x v="3"/>
    <x v="0"/>
    <x v="2"/>
    <x v="144"/>
    <x v="11"/>
    <x v="637"/>
    <x v="245"/>
    <x v="3091"/>
  </r>
  <r>
    <x v="0"/>
    <x v="0"/>
    <x v="2"/>
    <x v="109"/>
    <x v="0"/>
    <x v="589"/>
    <x v="2463"/>
    <x v="3092"/>
  </r>
  <r>
    <x v="0"/>
    <x v="0"/>
    <x v="2"/>
    <x v="109"/>
    <x v="2"/>
    <x v="2"/>
    <x v="722"/>
    <x v="3093"/>
  </r>
  <r>
    <x v="0"/>
    <x v="0"/>
    <x v="2"/>
    <x v="150"/>
    <x v="13"/>
    <x v="320"/>
    <x v="2464"/>
    <x v="3094"/>
  </r>
  <r>
    <x v="1"/>
    <x v="0"/>
    <x v="2"/>
    <x v="9"/>
    <x v="15"/>
    <x v="538"/>
    <x v="2465"/>
    <x v="3095"/>
  </r>
  <r>
    <x v="0"/>
    <x v="0"/>
    <x v="2"/>
    <x v="178"/>
    <x v="12"/>
    <x v="704"/>
    <x v="2466"/>
    <x v="3096"/>
  </r>
  <r>
    <x v="0"/>
    <x v="0"/>
    <x v="2"/>
    <x v="154"/>
    <x v="18"/>
    <x v="36"/>
    <x v="2467"/>
    <x v="3097"/>
  </r>
  <r>
    <x v="0"/>
    <x v="0"/>
    <x v="0"/>
    <x v="1"/>
    <x v="10"/>
    <x v="619"/>
    <x v="2468"/>
    <x v="3098"/>
  </r>
  <r>
    <x v="1"/>
    <x v="0"/>
    <x v="1"/>
    <x v="232"/>
    <x v="10"/>
    <x v="436"/>
    <x v="912"/>
    <x v="3099"/>
  </r>
  <r>
    <x v="1"/>
    <x v="0"/>
    <x v="1"/>
    <x v="242"/>
    <x v="2"/>
    <x v="2"/>
    <x v="2469"/>
    <x v="3100"/>
  </r>
  <r>
    <x v="3"/>
    <x v="0"/>
    <x v="2"/>
    <x v="157"/>
    <x v="28"/>
    <x v="198"/>
    <x v="2470"/>
    <x v="3101"/>
  </r>
  <r>
    <x v="0"/>
    <x v="0"/>
    <x v="0"/>
    <x v="89"/>
    <x v="0"/>
    <x v="469"/>
    <x v="703"/>
    <x v="3102"/>
  </r>
  <r>
    <x v="2"/>
    <x v="0"/>
    <x v="2"/>
    <x v="6"/>
    <x v="17"/>
    <x v="153"/>
    <x v="2471"/>
    <x v="3103"/>
  </r>
  <r>
    <x v="3"/>
    <x v="0"/>
    <x v="2"/>
    <x v="135"/>
    <x v="17"/>
    <x v="619"/>
    <x v="1065"/>
    <x v="3104"/>
  </r>
  <r>
    <x v="2"/>
    <x v="0"/>
    <x v="2"/>
    <x v="63"/>
    <x v="20"/>
    <x v="219"/>
    <x v="2472"/>
    <x v="3105"/>
  </r>
  <r>
    <x v="3"/>
    <x v="0"/>
    <x v="2"/>
    <x v="20"/>
    <x v="7"/>
    <x v="478"/>
    <x v="2473"/>
    <x v="3106"/>
  </r>
  <r>
    <x v="3"/>
    <x v="0"/>
    <x v="2"/>
    <x v="232"/>
    <x v="6"/>
    <x v="259"/>
    <x v="2474"/>
    <x v="3107"/>
  </r>
  <r>
    <x v="1"/>
    <x v="0"/>
    <x v="2"/>
    <x v="68"/>
    <x v="1"/>
    <x v="836"/>
    <x v="2087"/>
    <x v="3108"/>
  </r>
  <r>
    <x v="2"/>
    <x v="0"/>
    <x v="2"/>
    <x v="108"/>
    <x v="3"/>
    <x v="350"/>
    <x v="2475"/>
    <x v="3109"/>
  </r>
  <r>
    <x v="0"/>
    <x v="0"/>
    <x v="2"/>
    <x v="115"/>
    <x v="10"/>
    <x v="419"/>
    <x v="2476"/>
    <x v="3110"/>
  </r>
  <r>
    <x v="1"/>
    <x v="0"/>
    <x v="1"/>
    <x v="207"/>
    <x v="7"/>
    <x v="776"/>
    <x v="1767"/>
    <x v="3111"/>
  </r>
  <r>
    <x v="0"/>
    <x v="0"/>
    <x v="2"/>
    <x v="63"/>
    <x v="18"/>
    <x v="483"/>
    <x v="1257"/>
    <x v="3112"/>
  </r>
  <r>
    <x v="3"/>
    <x v="0"/>
    <x v="2"/>
    <x v="185"/>
    <x v="11"/>
    <x v="440"/>
    <x v="2152"/>
    <x v="3113"/>
  </r>
  <r>
    <x v="2"/>
    <x v="0"/>
    <x v="2"/>
    <x v="236"/>
    <x v="14"/>
    <x v="216"/>
    <x v="2477"/>
    <x v="3114"/>
  </r>
  <r>
    <x v="1"/>
    <x v="0"/>
    <x v="2"/>
    <x v="168"/>
    <x v="4"/>
    <x v="761"/>
    <x v="2478"/>
    <x v="3115"/>
  </r>
  <r>
    <x v="1"/>
    <x v="0"/>
    <x v="2"/>
    <x v="42"/>
    <x v="10"/>
    <x v="211"/>
    <x v="2479"/>
    <x v="3116"/>
  </r>
  <r>
    <x v="1"/>
    <x v="0"/>
    <x v="1"/>
    <x v="181"/>
    <x v="18"/>
    <x v="475"/>
    <x v="2480"/>
    <x v="3117"/>
  </r>
  <r>
    <x v="0"/>
    <x v="0"/>
    <x v="0"/>
    <x v="109"/>
    <x v="24"/>
    <x v="127"/>
    <x v="2481"/>
    <x v="3118"/>
  </r>
  <r>
    <x v="2"/>
    <x v="0"/>
    <x v="2"/>
    <x v="24"/>
    <x v="14"/>
    <x v="746"/>
    <x v="1762"/>
    <x v="3119"/>
  </r>
  <r>
    <x v="1"/>
    <x v="0"/>
    <x v="1"/>
    <x v="103"/>
    <x v="22"/>
    <x v="642"/>
    <x v="2482"/>
    <x v="3120"/>
  </r>
  <r>
    <x v="1"/>
    <x v="0"/>
    <x v="1"/>
    <x v="85"/>
    <x v="15"/>
    <x v="172"/>
    <x v="2483"/>
    <x v="3121"/>
  </r>
  <r>
    <x v="3"/>
    <x v="0"/>
    <x v="2"/>
    <x v="63"/>
    <x v="4"/>
    <x v="62"/>
    <x v="1466"/>
    <x v="3122"/>
  </r>
  <r>
    <x v="1"/>
    <x v="0"/>
    <x v="2"/>
    <x v="125"/>
    <x v="14"/>
    <x v="113"/>
    <x v="2484"/>
    <x v="3123"/>
  </r>
  <r>
    <x v="1"/>
    <x v="0"/>
    <x v="2"/>
    <x v="17"/>
    <x v="0"/>
    <x v="698"/>
    <x v="1775"/>
    <x v="3124"/>
  </r>
  <r>
    <x v="0"/>
    <x v="0"/>
    <x v="2"/>
    <x v="88"/>
    <x v="21"/>
    <x v="489"/>
    <x v="2485"/>
    <x v="3125"/>
  </r>
  <r>
    <x v="3"/>
    <x v="0"/>
    <x v="2"/>
    <x v="238"/>
    <x v="2"/>
    <x v="2"/>
    <x v="36"/>
    <x v="3126"/>
  </r>
  <r>
    <x v="0"/>
    <x v="0"/>
    <x v="0"/>
    <x v="86"/>
    <x v="5"/>
    <x v="669"/>
    <x v="2047"/>
    <x v="3127"/>
  </r>
  <r>
    <x v="0"/>
    <x v="0"/>
    <x v="0"/>
    <x v="154"/>
    <x v="25"/>
    <x v="64"/>
    <x v="2486"/>
    <x v="3128"/>
  </r>
  <r>
    <x v="1"/>
    <x v="0"/>
    <x v="2"/>
    <x v="161"/>
    <x v="17"/>
    <x v="45"/>
    <x v="2487"/>
    <x v="3129"/>
  </r>
  <r>
    <x v="2"/>
    <x v="0"/>
    <x v="2"/>
    <x v="165"/>
    <x v="5"/>
    <x v="209"/>
    <x v="819"/>
    <x v="3130"/>
  </r>
  <r>
    <x v="1"/>
    <x v="0"/>
    <x v="2"/>
    <x v="0"/>
    <x v="2"/>
    <x v="2"/>
    <x v="2399"/>
    <x v="3131"/>
  </r>
  <r>
    <x v="1"/>
    <x v="0"/>
    <x v="1"/>
    <x v="249"/>
    <x v="2"/>
    <x v="2"/>
    <x v="1413"/>
    <x v="3132"/>
  </r>
  <r>
    <x v="1"/>
    <x v="0"/>
    <x v="2"/>
    <x v="1"/>
    <x v="0"/>
    <x v="790"/>
    <x v="2488"/>
    <x v="3133"/>
  </r>
  <r>
    <x v="3"/>
    <x v="0"/>
    <x v="2"/>
    <x v="224"/>
    <x v="5"/>
    <x v="582"/>
    <x v="2489"/>
    <x v="3134"/>
  </r>
  <r>
    <x v="1"/>
    <x v="0"/>
    <x v="1"/>
    <x v="206"/>
    <x v="13"/>
    <x v="310"/>
    <x v="2490"/>
    <x v="3135"/>
  </r>
  <r>
    <x v="3"/>
    <x v="0"/>
    <x v="2"/>
    <x v="23"/>
    <x v="15"/>
    <x v="447"/>
    <x v="2491"/>
    <x v="3136"/>
  </r>
  <r>
    <x v="2"/>
    <x v="0"/>
    <x v="2"/>
    <x v="206"/>
    <x v="2"/>
    <x v="2"/>
    <x v="357"/>
    <x v="3137"/>
  </r>
  <r>
    <x v="2"/>
    <x v="0"/>
    <x v="2"/>
    <x v="194"/>
    <x v="12"/>
    <x v="532"/>
    <x v="2492"/>
    <x v="3138"/>
  </r>
  <r>
    <x v="1"/>
    <x v="0"/>
    <x v="1"/>
    <x v="162"/>
    <x v="7"/>
    <x v="492"/>
    <x v="2493"/>
    <x v="3139"/>
  </r>
  <r>
    <x v="0"/>
    <x v="0"/>
    <x v="0"/>
    <x v="42"/>
    <x v="22"/>
    <x v="385"/>
    <x v="1352"/>
    <x v="3140"/>
  </r>
  <r>
    <x v="0"/>
    <x v="0"/>
    <x v="2"/>
    <x v="97"/>
    <x v="11"/>
    <x v="93"/>
    <x v="2494"/>
    <x v="3141"/>
  </r>
  <r>
    <x v="0"/>
    <x v="0"/>
    <x v="0"/>
    <x v="164"/>
    <x v="5"/>
    <x v="131"/>
    <x v="2495"/>
    <x v="3142"/>
  </r>
  <r>
    <x v="0"/>
    <x v="0"/>
    <x v="0"/>
    <x v="99"/>
    <x v="23"/>
    <x v="840"/>
    <x v="2496"/>
    <x v="3143"/>
  </r>
  <r>
    <x v="0"/>
    <x v="0"/>
    <x v="2"/>
    <x v="90"/>
    <x v="13"/>
    <x v="579"/>
    <x v="2497"/>
    <x v="3144"/>
  </r>
  <r>
    <x v="3"/>
    <x v="0"/>
    <x v="2"/>
    <x v="175"/>
    <x v="18"/>
    <x v="176"/>
    <x v="2498"/>
    <x v="3145"/>
  </r>
  <r>
    <x v="2"/>
    <x v="0"/>
    <x v="2"/>
    <x v="230"/>
    <x v="3"/>
    <x v="572"/>
    <x v="1708"/>
    <x v="3146"/>
  </r>
  <r>
    <x v="0"/>
    <x v="0"/>
    <x v="0"/>
    <x v="37"/>
    <x v="15"/>
    <x v="304"/>
    <x v="2499"/>
    <x v="3147"/>
  </r>
  <r>
    <x v="2"/>
    <x v="0"/>
    <x v="2"/>
    <x v="28"/>
    <x v="6"/>
    <x v="649"/>
    <x v="2500"/>
    <x v="3148"/>
  </r>
  <r>
    <x v="0"/>
    <x v="0"/>
    <x v="2"/>
    <x v="241"/>
    <x v="6"/>
    <x v="102"/>
    <x v="2501"/>
    <x v="3149"/>
  </r>
  <r>
    <x v="0"/>
    <x v="0"/>
    <x v="2"/>
    <x v="205"/>
    <x v="24"/>
    <x v="739"/>
    <x v="2502"/>
    <x v="3150"/>
  </r>
  <r>
    <x v="2"/>
    <x v="0"/>
    <x v="2"/>
    <x v="142"/>
    <x v="16"/>
    <x v="819"/>
    <x v="2503"/>
    <x v="3151"/>
  </r>
  <r>
    <x v="3"/>
    <x v="0"/>
    <x v="2"/>
    <x v="12"/>
    <x v="14"/>
    <x v="678"/>
    <x v="2098"/>
    <x v="3152"/>
  </r>
  <r>
    <x v="0"/>
    <x v="0"/>
    <x v="2"/>
    <x v="242"/>
    <x v="9"/>
    <x v="808"/>
    <x v="1632"/>
    <x v="3153"/>
  </r>
  <r>
    <x v="0"/>
    <x v="0"/>
    <x v="2"/>
    <x v="31"/>
    <x v="12"/>
    <x v="283"/>
    <x v="2246"/>
    <x v="3154"/>
  </r>
  <r>
    <x v="1"/>
    <x v="0"/>
    <x v="1"/>
    <x v="212"/>
    <x v="13"/>
    <x v="443"/>
    <x v="746"/>
    <x v="3155"/>
  </r>
  <r>
    <x v="3"/>
    <x v="0"/>
    <x v="2"/>
    <x v="184"/>
    <x v="11"/>
    <x v="375"/>
    <x v="2504"/>
    <x v="3156"/>
  </r>
  <r>
    <x v="0"/>
    <x v="0"/>
    <x v="2"/>
    <x v="53"/>
    <x v="11"/>
    <x v="234"/>
    <x v="2505"/>
    <x v="3157"/>
  </r>
  <r>
    <x v="0"/>
    <x v="0"/>
    <x v="0"/>
    <x v="139"/>
    <x v="22"/>
    <x v="357"/>
    <x v="2506"/>
    <x v="3158"/>
  </r>
  <r>
    <x v="0"/>
    <x v="0"/>
    <x v="0"/>
    <x v="210"/>
    <x v="2"/>
    <x v="2"/>
    <x v="556"/>
    <x v="3159"/>
  </r>
  <r>
    <x v="2"/>
    <x v="0"/>
    <x v="2"/>
    <x v="80"/>
    <x v="15"/>
    <x v="80"/>
    <x v="2507"/>
    <x v="3160"/>
  </r>
  <r>
    <x v="0"/>
    <x v="0"/>
    <x v="0"/>
    <x v="110"/>
    <x v="13"/>
    <x v="570"/>
    <x v="2508"/>
    <x v="3161"/>
  </r>
  <r>
    <x v="1"/>
    <x v="0"/>
    <x v="2"/>
    <x v="206"/>
    <x v="13"/>
    <x v="310"/>
    <x v="2071"/>
    <x v="3162"/>
  </r>
  <r>
    <x v="3"/>
    <x v="0"/>
    <x v="2"/>
    <x v="180"/>
    <x v="2"/>
    <x v="2"/>
    <x v="2509"/>
    <x v="3163"/>
  </r>
  <r>
    <x v="1"/>
    <x v="0"/>
    <x v="1"/>
    <x v="91"/>
    <x v="6"/>
    <x v="4"/>
    <x v="2510"/>
    <x v="3164"/>
  </r>
  <r>
    <x v="0"/>
    <x v="0"/>
    <x v="0"/>
    <x v="245"/>
    <x v="5"/>
    <x v="528"/>
    <x v="1537"/>
    <x v="3165"/>
  </r>
  <r>
    <x v="0"/>
    <x v="0"/>
    <x v="0"/>
    <x v="100"/>
    <x v="1"/>
    <x v="455"/>
    <x v="2511"/>
    <x v="3166"/>
  </r>
  <r>
    <x v="1"/>
    <x v="0"/>
    <x v="2"/>
    <x v="180"/>
    <x v="2"/>
    <x v="2"/>
    <x v="2512"/>
    <x v="3167"/>
  </r>
  <r>
    <x v="1"/>
    <x v="0"/>
    <x v="1"/>
    <x v="21"/>
    <x v="7"/>
    <x v="541"/>
    <x v="153"/>
    <x v="3168"/>
  </r>
  <r>
    <x v="0"/>
    <x v="0"/>
    <x v="2"/>
    <x v="211"/>
    <x v="0"/>
    <x v="458"/>
    <x v="121"/>
    <x v="3169"/>
  </r>
  <r>
    <x v="2"/>
    <x v="0"/>
    <x v="2"/>
    <x v="214"/>
    <x v="5"/>
    <x v="465"/>
    <x v="2277"/>
    <x v="3170"/>
  </r>
  <r>
    <x v="2"/>
    <x v="0"/>
    <x v="2"/>
    <x v="183"/>
    <x v="6"/>
    <x v="733"/>
    <x v="2495"/>
    <x v="3171"/>
  </r>
  <r>
    <x v="2"/>
    <x v="0"/>
    <x v="2"/>
    <x v="9"/>
    <x v="17"/>
    <x v="101"/>
    <x v="311"/>
    <x v="1365"/>
  </r>
  <r>
    <x v="0"/>
    <x v="0"/>
    <x v="0"/>
    <x v="178"/>
    <x v="11"/>
    <x v="397"/>
    <x v="258"/>
    <x v="3172"/>
  </r>
  <r>
    <x v="1"/>
    <x v="0"/>
    <x v="2"/>
    <x v="64"/>
    <x v="1"/>
    <x v="400"/>
    <x v="2513"/>
    <x v="3173"/>
  </r>
  <r>
    <x v="1"/>
    <x v="0"/>
    <x v="2"/>
    <x v="213"/>
    <x v="6"/>
    <x v="26"/>
    <x v="809"/>
    <x v="3174"/>
  </r>
  <r>
    <x v="2"/>
    <x v="0"/>
    <x v="2"/>
    <x v="40"/>
    <x v="1"/>
    <x v="812"/>
    <x v="2198"/>
    <x v="3175"/>
  </r>
  <r>
    <x v="1"/>
    <x v="0"/>
    <x v="2"/>
    <x v="164"/>
    <x v="11"/>
    <x v="597"/>
    <x v="2514"/>
    <x v="3176"/>
  </r>
  <r>
    <x v="1"/>
    <x v="0"/>
    <x v="1"/>
    <x v="54"/>
    <x v="13"/>
    <x v="53"/>
    <x v="2515"/>
    <x v="3177"/>
  </r>
  <r>
    <x v="1"/>
    <x v="0"/>
    <x v="1"/>
    <x v="126"/>
    <x v="7"/>
    <x v="448"/>
    <x v="2000"/>
    <x v="3178"/>
  </r>
  <r>
    <x v="1"/>
    <x v="0"/>
    <x v="1"/>
    <x v="67"/>
    <x v="15"/>
    <x v="251"/>
    <x v="2516"/>
    <x v="3179"/>
  </r>
  <r>
    <x v="0"/>
    <x v="0"/>
    <x v="0"/>
    <x v="239"/>
    <x v="16"/>
    <x v="527"/>
    <x v="135"/>
    <x v="3180"/>
  </r>
  <r>
    <x v="3"/>
    <x v="0"/>
    <x v="2"/>
    <x v="210"/>
    <x v="13"/>
    <x v="400"/>
    <x v="2517"/>
    <x v="3181"/>
  </r>
  <r>
    <x v="1"/>
    <x v="0"/>
    <x v="2"/>
    <x v="116"/>
    <x v="28"/>
    <x v="453"/>
    <x v="2518"/>
    <x v="3182"/>
  </r>
  <r>
    <x v="1"/>
    <x v="0"/>
    <x v="1"/>
    <x v="77"/>
    <x v="14"/>
    <x v="140"/>
    <x v="2519"/>
    <x v="2832"/>
  </r>
  <r>
    <x v="3"/>
    <x v="0"/>
    <x v="2"/>
    <x v="156"/>
    <x v="11"/>
    <x v="433"/>
    <x v="2325"/>
    <x v="3183"/>
  </r>
  <r>
    <x v="3"/>
    <x v="0"/>
    <x v="2"/>
    <x v="80"/>
    <x v="17"/>
    <x v="271"/>
    <x v="2520"/>
    <x v="3184"/>
  </r>
  <r>
    <x v="0"/>
    <x v="0"/>
    <x v="0"/>
    <x v="135"/>
    <x v="5"/>
    <x v="747"/>
    <x v="2205"/>
    <x v="3185"/>
  </r>
  <r>
    <x v="1"/>
    <x v="0"/>
    <x v="2"/>
    <x v="62"/>
    <x v="1"/>
    <x v="200"/>
    <x v="466"/>
    <x v="3186"/>
  </r>
  <r>
    <x v="0"/>
    <x v="0"/>
    <x v="2"/>
    <x v="216"/>
    <x v="1"/>
    <x v="590"/>
    <x v="2521"/>
    <x v="3187"/>
  </r>
  <r>
    <x v="3"/>
    <x v="0"/>
    <x v="2"/>
    <x v="16"/>
    <x v="24"/>
    <x v="575"/>
    <x v="2522"/>
    <x v="3188"/>
  </r>
  <r>
    <x v="0"/>
    <x v="0"/>
    <x v="2"/>
    <x v="33"/>
    <x v="11"/>
    <x v="709"/>
    <x v="2523"/>
    <x v="3189"/>
  </r>
  <r>
    <x v="0"/>
    <x v="0"/>
    <x v="0"/>
    <x v="52"/>
    <x v="13"/>
    <x v="178"/>
    <x v="2524"/>
    <x v="3190"/>
  </r>
  <r>
    <x v="1"/>
    <x v="0"/>
    <x v="1"/>
    <x v="150"/>
    <x v="0"/>
    <x v="811"/>
    <x v="2525"/>
    <x v="3191"/>
  </r>
  <r>
    <x v="0"/>
    <x v="0"/>
    <x v="0"/>
    <x v="110"/>
    <x v="13"/>
    <x v="570"/>
    <x v="2526"/>
    <x v="3192"/>
  </r>
  <r>
    <x v="1"/>
    <x v="0"/>
    <x v="1"/>
    <x v="240"/>
    <x v="20"/>
    <x v="629"/>
    <x v="1108"/>
    <x v="3193"/>
  </r>
  <r>
    <x v="1"/>
    <x v="0"/>
    <x v="2"/>
    <x v="184"/>
    <x v="10"/>
    <x v="466"/>
    <x v="1022"/>
    <x v="3194"/>
  </r>
  <r>
    <x v="0"/>
    <x v="0"/>
    <x v="2"/>
    <x v="43"/>
    <x v="11"/>
    <x v="182"/>
    <x v="2527"/>
    <x v="3195"/>
  </r>
  <r>
    <x v="1"/>
    <x v="0"/>
    <x v="2"/>
    <x v="186"/>
    <x v="3"/>
    <x v="120"/>
    <x v="2528"/>
    <x v="3196"/>
  </r>
  <r>
    <x v="2"/>
    <x v="0"/>
    <x v="2"/>
    <x v="28"/>
    <x v="17"/>
    <x v="797"/>
    <x v="2529"/>
    <x v="3197"/>
  </r>
  <r>
    <x v="3"/>
    <x v="0"/>
    <x v="2"/>
    <x v="193"/>
    <x v="20"/>
    <x v="275"/>
    <x v="2530"/>
    <x v="3198"/>
  </r>
  <r>
    <x v="2"/>
    <x v="0"/>
    <x v="2"/>
    <x v="181"/>
    <x v="24"/>
    <x v="784"/>
    <x v="827"/>
    <x v="3199"/>
  </r>
  <r>
    <x v="1"/>
    <x v="0"/>
    <x v="2"/>
    <x v="204"/>
    <x v="0"/>
    <x v="221"/>
    <x v="1967"/>
    <x v="3200"/>
  </r>
  <r>
    <x v="1"/>
    <x v="0"/>
    <x v="1"/>
    <x v="96"/>
    <x v="28"/>
    <x v="401"/>
    <x v="2531"/>
    <x v="3201"/>
  </r>
  <r>
    <x v="0"/>
    <x v="0"/>
    <x v="0"/>
    <x v="70"/>
    <x v="6"/>
    <x v="17"/>
    <x v="272"/>
    <x v="3202"/>
  </r>
  <r>
    <x v="1"/>
    <x v="0"/>
    <x v="1"/>
    <x v="182"/>
    <x v="14"/>
    <x v="476"/>
    <x v="2532"/>
    <x v="3203"/>
  </r>
  <r>
    <x v="2"/>
    <x v="0"/>
    <x v="2"/>
    <x v="136"/>
    <x v="0"/>
    <x v="172"/>
    <x v="2533"/>
    <x v="3204"/>
  </r>
  <r>
    <x v="1"/>
    <x v="0"/>
    <x v="2"/>
    <x v="42"/>
    <x v="7"/>
    <x v="270"/>
    <x v="1750"/>
    <x v="3205"/>
  </r>
  <r>
    <x v="3"/>
    <x v="0"/>
    <x v="2"/>
    <x v="90"/>
    <x v="1"/>
    <x v="465"/>
    <x v="2491"/>
    <x v="3206"/>
  </r>
  <r>
    <x v="2"/>
    <x v="0"/>
    <x v="2"/>
    <x v="17"/>
    <x v="22"/>
    <x v="556"/>
    <x v="260"/>
    <x v="3207"/>
  </r>
  <r>
    <x v="2"/>
    <x v="0"/>
    <x v="2"/>
    <x v="209"/>
    <x v="14"/>
    <x v="184"/>
    <x v="2534"/>
    <x v="3208"/>
  </r>
  <r>
    <x v="0"/>
    <x v="0"/>
    <x v="0"/>
    <x v="108"/>
    <x v="0"/>
    <x v="847"/>
    <x v="381"/>
    <x v="3209"/>
  </r>
  <r>
    <x v="0"/>
    <x v="0"/>
    <x v="2"/>
    <x v="242"/>
    <x v="9"/>
    <x v="808"/>
    <x v="2535"/>
    <x v="3210"/>
  </r>
  <r>
    <x v="1"/>
    <x v="0"/>
    <x v="2"/>
    <x v="241"/>
    <x v="16"/>
    <x v="773"/>
    <x v="966"/>
    <x v="3211"/>
  </r>
  <r>
    <x v="1"/>
    <x v="0"/>
    <x v="2"/>
    <x v="113"/>
    <x v="24"/>
    <x v="585"/>
    <x v="2430"/>
    <x v="3212"/>
  </r>
  <r>
    <x v="2"/>
    <x v="0"/>
    <x v="2"/>
    <x v="213"/>
    <x v="2"/>
    <x v="2"/>
    <x v="1831"/>
    <x v="3213"/>
  </r>
  <r>
    <x v="3"/>
    <x v="0"/>
    <x v="2"/>
    <x v="47"/>
    <x v="7"/>
    <x v="49"/>
    <x v="1299"/>
    <x v="3214"/>
  </r>
  <r>
    <x v="1"/>
    <x v="0"/>
    <x v="2"/>
    <x v="182"/>
    <x v="22"/>
    <x v="56"/>
    <x v="954"/>
    <x v="3215"/>
  </r>
  <r>
    <x v="2"/>
    <x v="0"/>
    <x v="2"/>
    <x v="80"/>
    <x v="6"/>
    <x v="300"/>
    <x v="2536"/>
    <x v="3216"/>
  </r>
  <r>
    <x v="0"/>
    <x v="0"/>
    <x v="2"/>
    <x v="110"/>
    <x v="7"/>
    <x v="340"/>
    <x v="2537"/>
    <x v="3217"/>
  </r>
  <r>
    <x v="0"/>
    <x v="0"/>
    <x v="0"/>
    <x v="160"/>
    <x v="20"/>
    <x v="0"/>
    <x v="2538"/>
    <x v="290"/>
  </r>
  <r>
    <x v="0"/>
    <x v="0"/>
    <x v="2"/>
    <x v="150"/>
    <x v="17"/>
    <x v="510"/>
    <x v="2539"/>
    <x v="3218"/>
  </r>
  <r>
    <x v="2"/>
    <x v="0"/>
    <x v="2"/>
    <x v="32"/>
    <x v="13"/>
    <x v="30"/>
    <x v="1598"/>
    <x v="3219"/>
  </r>
  <r>
    <x v="1"/>
    <x v="0"/>
    <x v="2"/>
    <x v="105"/>
    <x v="13"/>
    <x v="278"/>
    <x v="1495"/>
    <x v="3220"/>
  </r>
  <r>
    <x v="2"/>
    <x v="0"/>
    <x v="2"/>
    <x v="2"/>
    <x v="1"/>
    <x v="96"/>
    <x v="1486"/>
    <x v="3221"/>
  </r>
  <r>
    <x v="1"/>
    <x v="0"/>
    <x v="1"/>
    <x v="7"/>
    <x v="13"/>
    <x v="266"/>
    <x v="2098"/>
    <x v="3222"/>
  </r>
  <r>
    <x v="1"/>
    <x v="0"/>
    <x v="1"/>
    <x v="92"/>
    <x v="11"/>
    <x v="102"/>
    <x v="2540"/>
    <x v="3223"/>
  </r>
  <r>
    <x v="3"/>
    <x v="0"/>
    <x v="2"/>
    <x v="110"/>
    <x v="11"/>
    <x v="303"/>
    <x v="2541"/>
    <x v="3224"/>
  </r>
  <r>
    <x v="0"/>
    <x v="0"/>
    <x v="0"/>
    <x v="30"/>
    <x v="10"/>
    <x v="138"/>
    <x v="2542"/>
    <x v="3225"/>
  </r>
  <r>
    <x v="1"/>
    <x v="0"/>
    <x v="1"/>
    <x v="95"/>
    <x v="7"/>
    <x v="848"/>
    <x v="2543"/>
    <x v="3226"/>
  </r>
  <r>
    <x v="2"/>
    <x v="0"/>
    <x v="2"/>
    <x v="176"/>
    <x v="6"/>
    <x v="388"/>
    <x v="2544"/>
    <x v="3227"/>
  </r>
  <r>
    <x v="1"/>
    <x v="0"/>
    <x v="1"/>
    <x v="29"/>
    <x v="22"/>
    <x v="378"/>
    <x v="988"/>
    <x v="3228"/>
  </r>
  <r>
    <x v="1"/>
    <x v="0"/>
    <x v="1"/>
    <x v="51"/>
    <x v="14"/>
    <x v="627"/>
    <x v="2545"/>
    <x v="3229"/>
  </r>
  <r>
    <x v="0"/>
    <x v="0"/>
    <x v="2"/>
    <x v="11"/>
    <x v="2"/>
    <x v="2"/>
    <x v="2546"/>
    <x v="3230"/>
  </r>
  <r>
    <x v="0"/>
    <x v="0"/>
    <x v="0"/>
    <x v="90"/>
    <x v="0"/>
    <x v="68"/>
    <x v="2547"/>
    <x v="3231"/>
  </r>
  <r>
    <x v="0"/>
    <x v="0"/>
    <x v="2"/>
    <x v="63"/>
    <x v="14"/>
    <x v="703"/>
    <x v="2548"/>
    <x v="3232"/>
  </r>
  <r>
    <x v="1"/>
    <x v="0"/>
    <x v="2"/>
    <x v="67"/>
    <x v="20"/>
    <x v="140"/>
    <x v="662"/>
    <x v="3233"/>
  </r>
  <r>
    <x v="2"/>
    <x v="0"/>
    <x v="2"/>
    <x v="36"/>
    <x v="25"/>
    <x v="746"/>
    <x v="2549"/>
    <x v="3234"/>
  </r>
  <r>
    <x v="2"/>
    <x v="0"/>
    <x v="2"/>
    <x v="3"/>
    <x v="1"/>
    <x v="298"/>
    <x v="2550"/>
    <x v="3235"/>
  </r>
  <r>
    <x v="1"/>
    <x v="0"/>
    <x v="1"/>
    <x v="248"/>
    <x v="13"/>
    <x v="548"/>
    <x v="735"/>
    <x v="3236"/>
  </r>
  <r>
    <x v="3"/>
    <x v="0"/>
    <x v="2"/>
    <x v="83"/>
    <x v="4"/>
    <x v="849"/>
    <x v="2551"/>
    <x v="3237"/>
  </r>
  <r>
    <x v="2"/>
    <x v="0"/>
    <x v="2"/>
    <x v="249"/>
    <x v="10"/>
    <x v="454"/>
    <x v="2552"/>
    <x v="3238"/>
  </r>
  <r>
    <x v="2"/>
    <x v="0"/>
    <x v="2"/>
    <x v="218"/>
    <x v="3"/>
    <x v="0"/>
    <x v="2553"/>
    <x v="3239"/>
  </r>
  <r>
    <x v="2"/>
    <x v="0"/>
    <x v="2"/>
    <x v="85"/>
    <x v="17"/>
    <x v="333"/>
    <x v="2554"/>
    <x v="3240"/>
  </r>
  <r>
    <x v="1"/>
    <x v="0"/>
    <x v="2"/>
    <x v="41"/>
    <x v="22"/>
    <x v="777"/>
    <x v="408"/>
    <x v="3241"/>
  </r>
  <r>
    <x v="0"/>
    <x v="0"/>
    <x v="0"/>
    <x v="181"/>
    <x v="12"/>
    <x v="101"/>
    <x v="2555"/>
    <x v="3242"/>
  </r>
  <r>
    <x v="1"/>
    <x v="0"/>
    <x v="2"/>
    <x v="89"/>
    <x v="7"/>
    <x v="840"/>
    <x v="435"/>
    <x v="3243"/>
  </r>
  <r>
    <x v="1"/>
    <x v="0"/>
    <x v="2"/>
    <x v="114"/>
    <x v="0"/>
    <x v="850"/>
    <x v="537"/>
    <x v="3244"/>
  </r>
  <r>
    <x v="1"/>
    <x v="0"/>
    <x v="2"/>
    <x v="94"/>
    <x v="2"/>
    <x v="2"/>
    <x v="2556"/>
    <x v="3245"/>
  </r>
  <r>
    <x v="1"/>
    <x v="0"/>
    <x v="2"/>
    <x v="3"/>
    <x v="8"/>
    <x v="803"/>
    <x v="893"/>
    <x v="3246"/>
  </r>
  <r>
    <x v="0"/>
    <x v="0"/>
    <x v="2"/>
    <x v="37"/>
    <x v="15"/>
    <x v="304"/>
    <x v="2541"/>
    <x v="3247"/>
  </r>
  <r>
    <x v="1"/>
    <x v="0"/>
    <x v="2"/>
    <x v="173"/>
    <x v="9"/>
    <x v="0"/>
    <x v="2557"/>
    <x v="3248"/>
  </r>
  <r>
    <x v="1"/>
    <x v="0"/>
    <x v="1"/>
    <x v="229"/>
    <x v="5"/>
    <x v="838"/>
    <x v="2011"/>
    <x v="3249"/>
  </r>
  <r>
    <x v="2"/>
    <x v="0"/>
    <x v="2"/>
    <x v="198"/>
    <x v="0"/>
    <x v="819"/>
    <x v="2515"/>
    <x v="3250"/>
  </r>
  <r>
    <x v="3"/>
    <x v="0"/>
    <x v="2"/>
    <x v="173"/>
    <x v="0"/>
    <x v="213"/>
    <x v="2094"/>
    <x v="3251"/>
  </r>
  <r>
    <x v="1"/>
    <x v="0"/>
    <x v="1"/>
    <x v="72"/>
    <x v="6"/>
    <x v="335"/>
    <x v="2383"/>
    <x v="3252"/>
  </r>
  <r>
    <x v="0"/>
    <x v="0"/>
    <x v="2"/>
    <x v="92"/>
    <x v="13"/>
    <x v="384"/>
    <x v="143"/>
    <x v="3253"/>
  </r>
  <r>
    <x v="3"/>
    <x v="0"/>
    <x v="2"/>
    <x v="22"/>
    <x v="11"/>
    <x v="43"/>
    <x v="2558"/>
    <x v="3254"/>
  </r>
  <r>
    <x v="0"/>
    <x v="0"/>
    <x v="0"/>
    <x v="118"/>
    <x v="5"/>
    <x v="604"/>
    <x v="2206"/>
    <x v="3255"/>
  </r>
  <r>
    <x v="3"/>
    <x v="0"/>
    <x v="2"/>
    <x v="131"/>
    <x v="3"/>
    <x v="616"/>
    <x v="2559"/>
    <x v="3256"/>
  </r>
  <r>
    <x v="1"/>
    <x v="0"/>
    <x v="1"/>
    <x v="191"/>
    <x v="6"/>
    <x v="553"/>
    <x v="2560"/>
    <x v="3257"/>
  </r>
  <r>
    <x v="1"/>
    <x v="0"/>
    <x v="1"/>
    <x v="165"/>
    <x v="6"/>
    <x v="21"/>
    <x v="235"/>
    <x v="3258"/>
  </r>
  <r>
    <x v="1"/>
    <x v="0"/>
    <x v="1"/>
    <x v="85"/>
    <x v="4"/>
    <x v="652"/>
    <x v="2561"/>
    <x v="3259"/>
  </r>
  <r>
    <x v="1"/>
    <x v="0"/>
    <x v="2"/>
    <x v="174"/>
    <x v="6"/>
    <x v="815"/>
    <x v="2562"/>
    <x v="3260"/>
  </r>
  <r>
    <x v="2"/>
    <x v="0"/>
    <x v="2"/>
    <x v="185"/>
    <x v="2"/>
    <x v="2"/>
    <x v="2563"/>
    <x v="3261"/>
  </r>
  <r>
    <x v="0"/>
    <x v="0"/>
    <x v="2"/>
    <x v="161"/>
    <x v="8"/>
    <x v="676"/>
    <x v="2564"/>
    <x v="3262"/>
  </r>
  <r>
    <x v="3"/>
    <x v="0"/>
    <x v="2"/>
    <x v="38"/>
    <x v="6"/>
    <x v="299"/>
    <x v="379"/>
    <x v="3263"/>
  </r>
  <r>
    <x v="1"/>
    <x v="0"/>
    <x v="2"/>
    <x v="79"/>
    <x v="5"/>
    <x v="66"/>
    <x v="2225"/>
    <x v="3264"/>
  </r>
  <r>
    <x v="0"/>
    <x v="0"/>
    <x v="0"/>
    <x v="112"/>
    <x v="16"/>
    <x v="185"/>
    <x v="1046"/>
    <x v="3265"/>
  </r>
  <r>
    <x v="1"/>
    <x v="0"/>
    <x v="2"/>
    <x v="232"/>
    <x v="15"/>
    <x v="314"/>
    <x v="2204"/>
    <x v="3266"/>
  </r>
  <r>
    <x v="1"/>
    <x v="0"/>
    <x v="2"/>
    <x v="224"/>
    <x v="11"/>
    <x v="388"/>
    <x v="2565"/>
    <x v="3267"/>
  </r>
  <r>
    <x v="1"/>
    <x v="0"/>
    <x v="2"/>
    <x v="137"/>
    <x v="11"/>
    <x v="27"/>
    <x v="2566"/>
    <x v="3268"/>
  </r>
  <r>
    <x v="1"/>
    <x v="0"/>
    <x v="2"/>
    <x v="4"/>
    <x v="2"/>
    <x v="2"/>
    <x v="1941"/>
    <x v="3269"/>
  </r>
  <r>
    <x v="1"/>
    <x v="0"/>
    <x v="1"/>
    <x v="26"/>
    <x v="17"/>
    <x v="292"/>
    <x v="2567"/>
    <x v="3270"/>
  </r>
  <r>
    <x v="0"/>
    <x v="0"/>
    <x v="2"/>
    <x v="233"/>
    <x v="14"/>
    <x v="415"/>
    <x v="2568"/>
    <x v="3271"/>
  </r>
  <r>
    <x v="3"/>
    <x v="0"/>
    <x v="2"/>
    <x v="188"/>
    <x v="25"/>
    <x v="256"/>
    <x v="2569"/>
    <x v="3272"/>
  </r>
  <r>
    <x v="3"/>
    <x v="0"/>
    <x v="2"/>
    <x v="57"/>
    <x v="15"/>
    <x v="778"/>
    <x v="2570"/>
    <x v="3273"/>
  </r>
  <r>
    <x v="0"/>
    <x v="0"/>
    <x v="0"/>
    <x v="198"/>
    <x v="6"/>
    <x v="179"/>
    <x v="2571"/>
    <x v="3274"/>
  </r>
  <r>
    <x v="1"/>
    <x v="0"/>
    <x v="1"/>
    <x v="200"/>
    <x v="15"/>
    <x v="406"/>
    <x v="2572"/>
    <x v="3275"/>
  </r>
  <r>
    <x v="0"/>
    <x v="0"/>
    <x v="0"/>
    <x v="84"/>
    <x v="5"/>
    <x v="345"/>
    <x v="2573"/>
    <x v="3276"/>
  </r>
  <r>
    <x v="2"/>
    <x v="0"/>
    <x v="2"/>
    <x v="80"/>
    <x v="0"/>
    <x v="248"/>
    <x v="2156"/>
    <x v="3277"/>
  </r>
  <r>
    <x v="2"/>
    <x v="0"/>
    <x v="2"/>
    <x v="69"/>
    <x v="23"/>
    <x v="75"/>
    <x v="1840"/>
    <x v="3278"/>
  </r>
  <r>
    <x v="2"/>
    <x v="0"/>
    <x v="2"/>
    <x v="18"/>
    <x v="16"/>
    <x v="242"/>
    <x v="2574"/>
    <x v="3279"/>
  </r>
  <r>
    <x v="0"/>
    <x v="0"/>
    <x v="0"/>
    <x v="144"/>
    <x v="1"/>
    <x v="506"/>
    <x v="1520"/>
    <x v="3280"/>
  </r>
  <r>
    <x v="3"/>
    <x v="0"/>
    <x v="2"/>
    <x v="63"/>
    <x v="6"/>
    <x v="560"/>
    <x v="2575"/>
    <x v="3281"/>
  </r>
  <r>
    <x v="1"/>
    <x v="0"/>
    <x v="1"/>
    <x v="69"/>
    <x v="18"/>
    <x v="493"/>
    <x v="2576"/>
    <x v="3282"/>
  </r>
  <r>
    <x v="1"/>
    <x v="0"/>
    <x v="1"/>
    <x v="224"/>
    <x v="11"/>
    <x v="388"/>
    <x v="2577"/>
    <x v="3283"/>
  </r>
  <r>
    <x v="1"/>
    <x v="0"/>
    <x v="2"/>
    <x v="100"/>
    <x v="13"/>
    <x v="625"/>
    <x v="2068"/>
    <x v="3284"/>
  </r>
  <r>
    <x v="1"/>
    <x v="0"/>
    <x v="1"/>
    <x v="143"/>
    <x v="11"/>
    <x v="579"/>
    <x v="2578"/>
    <x v="3285"/>
  </r>
  <r>
    <x v="1"/>
    <x v="0"/>
    <x v="2"/>
    <x v="12"/>
    <x v="15"/>
    <x v="56"/>
    <x v="2579"/>
    <x v="3286"/>
  </r>
  <r>
    <x v="1"/>
    <x v="0"/>
    <x v="1"/>
    <x v="100"/>
    <x v="13"/>
    <x v="625"/>
    <x v="2250"/>
    <x v="3287"/>
  </r>
  <r>
    <x v="0"/>
    <x v="0"/>
    <x v="0"/>
    <x v="20"/>
    <x v="10"/>
    <x v="224"/>
    <x v="2388"/>
    <x v="3288"/>
  </r>
  <r>
    <x v="3"/>
    <x v="0"/>
    <x v="2"/>
    <x v="149"/>
    <x v="0"/>
    <x v="762"/>
    <x v="221"/>
    <x v="3289"/>
  </r>
  <r>
    <x v="0"/>
    <x v="0"/>
    <x v="2"/>
    <x v="183"/>
    <x v="10"/>
    <x v="700"/>
    <x v="2580"/>
    <x v="3290"/>
  </r>
  <r>
    <x v="3"/>
    <x v="0"/>
    <x v="2"/>
    <x v="14"/>
    <x v="9"/>
    <x v="88"/>
    <x v="2581"/>
    <x v="3291"/>
  </r>
  <r>
    <x v="3"/>
    <x v="0"/>
    <x v="2"/>
    <x v="105"/>
    <x v="5"/>
    <x v="238"/>
    <x v="2582"/>
    <x v="3292"/>
  </r>
  <r>
    <x v="3"/>
    <x v="0"/>
    <x v="2"/>
    <x v="35"/>
    <x v="9"/>
    <x v="8"/>
    <x v="129"/>
    <x v="3293"/>
  </r>
  <r>
    <x v="3"/>
    <x v="0"/>
    <x v="2"/>
    <x v="66"/>
    <x v="10"/>
    <x v="114"/>
    <x v="55"/>
    <x v="3294"/>
  </r>
  <r>
    <x v="1"/>
    <x v="0"/>
    <x v="2"/>
    <x v="71"/>
    <x v="28"/>
    <x v="426"/>
    <x v="2583"/>
    <x v="3295"/>
  </r>
  <r>
    <x v="0"/>
    <x v="0"/>
    <x v="2"/>
    <x v="53"/>
    <x v="22"/>
    <x v="843"/>
    <x v="2584"/>
    <x v="3296"/>
  </r>
  <r>
    <x v="1"/>
    <x v="0"/>
    <x v="2"/>
    <x v="234"/>
    <x v="13"/>
    <x v="560"/>
    <x v="2585"/>
    <x v="3297"/>
  </r>
  <r>
    <x v="0"/>
    <x v="0"/>
    <x v="2"/>
    <x v="12"/>
    <x v="16"/>
    <x v="725"/>
    <x v="2586"/>
    <x v="3298"/>
  </r>
  <r>
    <x v="1"/>
    <x v="0"/>
    <x v="1"/>
    <x v="219"/>
    <x v="6"/>
    <x v="253"/>
    <x v="207"/>
    <x v="3299"/>
  </r>
  <r>
    <x v="0"/>
    <x v="0"/>
    <x v="2"/>
    <x v="83"/>
    <x v="4"/>
    <x v="849"/>
    <x v="2587"/>
    <x v="3300"/>
  </r>
  <r>
    <x v="3"/>
    <x v="0"/>
    <x v="2"/>
    <x v="139"/>
    <x v="21"/>
    <x v="849"/>
    <x v="2588"/>
    <x v="3301"/>
  </r>
  <r>
    <x v="1"/>
    <x v="0"/>
    <x v="2"/>
    <x v="2"/>
    <x v="2"/>
    <x v="2"/>
    <x v="2589"/>
    <x v="3302"/>
  </r>
  <r>
    <x v="2"/>
    <x v="0"/>
    <x v="2"/>
    <x v="233"/>
    <x v="1"/>
    <x v="414"/>
    <x v="2445"/>
    <x v="3303"/>
  </r>
  <r>
    <x v="1"/>
    <x v="0"/>
    <x v="1"/>
    <x v="68"/>
    <x v="0"/>
    <x v="815"/>
    <x v="2590"/>
    <x v="3304"/>
  </r>
  <r>
    <x v="0"/>
    <x v="0"/>
    <x v="0"/>
    <x v="116"/>
    <x v="22"/>
    <x v="544"/>
    <x v="2355"/>
    <x v="3305"/>
  </r>
  <r>
    <x v="0"/>
    <x v="0"/>
    <x v="2"/>
    <x v="26"/>
    <x v="15"/>
    <x v="131"/>
    <x v="2591"/>
    <x v="3306"/>
  </r>
  <r>
    <x v="1"/>
    <x v="0"/>
    <x v="1"/>
    <x v="203"/>
    <x v="13"/>
    <x v="730"/>
    <x v="1188"/>
    <x v="3307"/>
  </r>
  <r>
    <x v="1"/>
    <x v="0"/>
    <x v="2"/>
    <x v="5"/>
    <x v="6"/>
    <x v="577"/>
    <x v="2592"/>
    <x v="3308"/>
  </r>
  <r>
    <x v="0"/>
    <x v="0"/>
    <x v="2"/>
    <x v="119"/>
    <x v="28"/>
    <x v="140"/>
    <x v="2593"/>
    <x v="3309"/>
  </r>
  <r>
    <x v="0"/>
    <x v="0"/>
    <x v="2"/>
    <x v="79"/>
    <x v="6"/>
    <x v="505"/>
    <x v="2594"/>
    <x v="3310"/>
  </r>
  <r>
    <x v="3"/>
    <x v="0"/>
    <x v="2"/>
    <x v="172"/>
    <x v="17"/>
    <x v="445"/>
    <x v="2595"/>
    <x v="3311"/>
  </r>
  <r>
    <x v="3"/>
    <x v="0"/>
    <x v="2"/>
    <x v="248"/>
    <x v="6"/>
    <x v="764"/>
    <x v="62"/>
    <x v="3312"/>
  </r>
  <r>
    <x v="0"/>
    <x v="0"/>
    <x v="0"/>
    <x v="69"/>
    <x v="18"/>
    <x v="493"/>
    <x v="2596"/>
    <x v="3313"/>
  </r>
  <r>
    <x v="3"/>
    <x v="0"/>
    <x v="2"/>
    <x v="110"/>
    <x v="15"/>
    <x v="84"/>
    <x v="2597"/>
    <x v="3314"/>
  </r>
  <r>
    <x v="0"/>
    <x v="0"/>
    <x v="0"/>
    <x v="131"/>
    <x v="18"/>
    <x v="470"/>
    <x v="2598"/>
    <x v="3315"/>
  </r>
  <r>
    <x v="2"/>
    <x v="0"/>
    <x v="2"/>
    <x v="195"/>
    <x v="25"/>
    <x v="517"/>
    <x v="2599"/>
    <x v="3316"/>
  </r>
  <r>
    <x v="2"/>
    <x v="0"/>
    <x v="2"/>
    <x v="58"/>
    <x v="23"/>
    <x v="217"/>
    <x v="2533"/>
    <x v="3317"/>
  </r>
  <r>
    <x v="0"/>
    <x v="0"/>
    <x v="0"/>
    <x v="27"/>
    <x v="1"/>
    <x v="282"/>
    <x v="2600"/>
    <x v="3318"/>
  </r>
  <r>
    <x v="2"/>
    <x v="0"/>
    <x v="2"/>
    <x v="27"/>
    <x v="1"/>
    <x v="282"/>
    <x v="2601"/>
    <x v="3319"/>
  </r>
  <r>
    <x v="0"/>
    <x v="0"/>
    <x v="2"/>
    <x v="186"/>
    <x v="22"/>
    <x v="389"/>
    <x v="2602"/>
    <x v="3320"/>
  </r>
  <r>
    <x v="0"/>
    <x v="0"/>
    <x v="0"/>
    <x v="12"/>
    <x v="5"/>
    <x v="698"/>
    <x v="2603"/>
    <x v="3321"/>
  </r>
  <r>
    <x v="1"/>
    <x v="0"/>
    <x v="2"/>
    <x v="1"/>
    <x v="0"/>
    <x v="790"/>
    <x v="2604"/>
    <x v="3322"/>
  </r>
  <r>
    <x v="0"/>
    <x v="0"/>
    <x v="0"/>
    <x v="208"/>
    <x v="9"/>
    <x v="247"/>
    <x v="741"/>
    <x v="3323"/>
  </r>
  <r>
    <x v="2"/>
    <x v="0"/>
    <x v="2"/>
    <x v="132"/>
    <x v="25"/>
    <x v="6"/>
    <x v="2445"/>
    <x v="3324"/>
  </r>
  <r>
    <x v="1"/>
    <x v="0"/>
    <x v="1"/>
    <x v="153"/>
    <x v="5"/>
    <x v="269"/>
    <x v="2605"/>
    <x v="3325"/>
  </r>
  <r>
    <x v="0"/>
    <x v="0"/>
    <x v="2"/>
    <x v="93"/>
    <x v="0"/>
    <x v="333"/>
    <x v="2606"/>
    <x v="3326"/>
  </r>
  <r>
    <x v="2"/>
    <x v="0"/>
    <x v="2"/>
    <x v="51"/>
    <x v="22"/>
    <x v="690"/>
    <x v="1472"/>
    <x v="3327"/>
  </r>
  <r>
    <x v="3"/>
    <x v="0"/>
    <x v="2"/>
    <x v="26"/>
    <x v="6"/>
    <x v="60"/>
    <x v="1560"/>
    <x v="3328"/>
  </r>
  <r>
    <x v="2"/>
    <x v="0"/>
    <x v="2"/>
    <x v="192"/>
    <x v="0"/>
    <x v="452"/>
    <x v="2607"/>
    <x v="3329"/>
  </r>
  <r>
    <x v="2"/>
    <x v="0"/>
    <x v="2"/>
    <x v="25"/>
    <x v="0"/>
    <x v="755"/>
    <x v="924"/>
    <x v="3330"/>
  </r>
  <r>
    <x v="1"/>
    <x v="0"/>
    <x v="1"/>
    <x v="33"/>
    <x v="6"/>
    <x v="31"/>
    <x v="2608"/>
    <x v="3331"/>
  </r>
  <r>
    <x v="1"/>
    <x v="0"/>
    <x v="2"/>
    <x v="20"/>
    <x v="17"/>
    <x v="578"/>
    <x v="974"/>
    <x v="3332"/>
  </r>
  <r>
    <x v="0"/>
    <x v="0"/>
    <x v="2"/>
    <x v="171"/>
    <x v="20"/>
    <x v="220"/>
    <x v="2609"/>
    <x v="3333"/>
  </r>
  <r>
    <x v="2"/>
    <x v="0"/>
    <x v="2"/>
    <x v="94"/>
    <x v="5"/>
    <x v="834"/>
    <x v="443"/>
    <x v="3334"/>
  </r>
  <r>
    <x v="0"/>
    <x v="0"/>
    <x v="2"/>
    <x v="244"/>
    <x v="5"/>
    <x v="105"/>
    <x v="2610"/>
    <x v="3335"/>
  </r>
  <r>
    <x v="3"/>
    <x v="0"/>
    <x v="2"/>
    <x v="104"/>
    <x v="3"/>
    <x v="39"/>
    <x v="2611"/>
    <x v="3336"/>
  </r>
  <r>
    <x v="0"/>
    <x v="0"/>
    <x v="0"/>
    <x v="202"/>
    <x v="12"/>
    <x v="70"/>
    <x v="2612"/>
    <x v="3337"/>
  </r>
  <r>
    <x v="0"/>
    <x v="0"/>
    <x v="2"/>
    <x v="232"/>
    <x v="24"/>
    <x v="217"/>
    <x v="2613"/>
    <x v="3338"/>
  </r>
  <r>
    <x v="2"/>
    <x v="0"/>
    <x v="2"/>
    <x v="4"/>
    <x v="7"/>
    <x v="715"/>
    <x v="2614"/>
    <x v="3339"/>
  </r>
  <r>
    <x v="0"/>
    <x v="0"/>
    <x v="0"/>
    <x v="57"/>
    <x v="7"/>
    <x v="170"/>
    <x v="1795"/>
    <x v="3340"/>
  </r>
  <r>
    <x v="1"/>
    <x v="0"/>
    <x v="1"/>
    <x v="163"/>
    <x v="16"/>
    <x v="454"/>
    <x v="2615"/>
    <x v="3341"/>
  </r>
  <r>
    <x v="3"/>
    <x v="0"/>
    <x v="2"/>
    <x v="67"/>
    <x v="11"/>
    <x v="384"/>
    <x v="2616"/>
    <x v="3342"/>
  </r>
  <r>
    <x v="0"/>
    <x v="0"/>
    <x v="2"/>
    <x v="93"/>
    <x v="15"/>
    <x v="211"/>
    <x v="2617"/>
    <x v="3343"/>
  </r>
  <r>
    <x v="1"/>
    <x v="0"/>
    <x v="1"/>
    <x v="113"/>
    <x v="2"/>
    <x v="2"/>
    <x v="2618"/>
    <x v="3344"/>
  </r>
  <r>
    <x v="1"/>
    <x v="0"/>
    <x v="1"/>
    <x v="199"/>
    <x v="12"/>
    <x v="79"/>
    <x v="608"/>
    <x v="3345"/>
  </r>
  <r>
    <x v="1"/>
    <x v="0"/>
    <x v="1"/>
    <x v="167"/>
    <x v="3"/>
    <x v="142"/>
    <x v="2619"/>
    <x v="3346"/>
  </r>
  <r>
    <x v="2"/>
    <x v="0"/>
    <x v="2"/>
    <x v="179"/>
    <x v="7"/>
    <x v="845"/>
    <x v="2620"/>
    <x v="3347"/>
  </r>
  <r>
    <x v="1"/>
    <x v="0"/>
    <x v="1"/>
    <x v="181"/>
    <x v="22"/>
    <x v="734"/>
    <x v="758"/>
    <x v="3348"/>
  </r>
  <r>
    <x v="2"/>
    <x v="0"/>
    <x v="2"/>
    <x v="111"/>
    <x v="28"/>
    <x v="851"/>
    <x v="2076"/>
    <x v="3349"/>
  </r>
  <r>
    <x v="0"/>
    <x v="0"/>
    <x v="0"/>
    <x v="110"/>
    <x v="10"/>
    <x v="743"/>
    <x v="551"/>
    <x v="3350"/>
  </r>
  <r>
    <x v="0"/>
    <x v="0"/>
    <x v="0"/>
    <x v="181"/>
    <x v="3"/>
    <x v="852"/>
    <x v="2621"/>
    <x v="3351"/>
  </r>
  <r>
    <x v="0"/>
    <x v="0"/>
    <x v="2"/>
    <x v="51"/>
    <x v="13"/>
    <x v="702"/>
    <x v="2622"/>
    <x v="3352"/>
  </r>
  <r>
    <x v="3"/>
    <x v="0"/>
    <x v="2"/>
    <x v="228"/>
    <x v="7"/>
    <x v="246"/>
    <x v="643"/>
    <x v="3353"/>
  </r>
  <r>
    <x v="1"/>
    <x v="0"/>
    <x v="1"/>
    <x v="154"/>
    <x v="14"/>
    <x v="193"/>
    <x v="2623"/>
    <x v="3354"/>
  </r>
  <r>
    <x v="1"/>
    <x v="0"/>
    <x v="2"/>
    <x v="36"/>
    <x v="5"/>
    <x v="675"/>
    <x v="2624"/>
    <x v="3355"/>
  </r>
  <r>
    <x v="1"/>
    <x v="0"/>
    <x v="2"/>
    <x v="205"/>
    <x v="17"/>
    <x v="853"/>
    <x v="2551"/>
    <x v="3356"/>
  </r>
  <r>
    <x v="2"/>
    <x v="0"/>
    <x v="2"/>
    <x v="225"/>
    <x v="2"/>
    <x v="2"/>
    <x v="1034"/>
    <x v="3357"/>
  </r>
  <r>
    <x v="2"/>
    <x v="0"/>
    <x v="2"/>
    <x v="8"/>
    <x v="6"/>
    <x v="357"/>
    <x v="2625"/>
    <x v="3358"/>
  </r>
  <r>
    <x v="2"/>
    <x v="0"/>
    <x v="2"/>
    <x v="97"/>
    <x v="0"/>
    <x v="164"/>
    <x v="2010"/>
    <x v="3359"/>
  </r>
  <r>
    <x v="1"/>
    <x v="0"/>
    <x v="1"/>
    <x v="86"/>
    <x v="16"/>
    <x v="413"/>
    <x v="2626"/>
    <x v="3360"/>
  </r>
  <r>
    <x v="0"/>
    <x v="0"/>
    <x v="2"/>
    <x v="170"/>
    <x v="5"/>
    <x v="114"/>
    <x v="763"/>
    <x v="3361"/>
  </r>
  <r>
    <x v="3"/>
    <x v="0"/>
    <x v="2"/>
    <x v="221"/>
    <x v="9"/>
    <x v="80"/>
    <x v="2627"/>
    <x v="3362"/>
  </r>
  <r>
    <x v="3"/>
    <x v="0"/>
    <x v="2"/>
    <x v="223"/>
    <x v="0"/>
    <x v="722"/>
    <x v="1215"/>
    <x v="3363"/>
  </r>
  <r>
    <x v="0"/>
    <x v="0"/>
    <x v="0"/>
    <x v="226"/>
    <x v="0"/>
    <x v="506"/>
    <x v="2628"/>
    <x v="3364"/>
  </r>
  <r>
    <x v="0"/>
    <x v="0"/>
    <x v="2"/>
    <x v="215"/>
    <x v="17"/>
    <x v="241"/>
    <x v="2629"/>
    <x v="3365"/>
  </r>
  <r>
    <x v="1"/>
    <x v="0"/>
    <x v="2"/>
    <x v="95"/>
    <x v="11"/>
    <x v="494"/>
    <x v="2630"/>
    <x v="3366"/>
  </r>
  <r>
    <x v="2"/>
    <x v="0"/>
    <x v="2"/>
    <x v="196"/>
    <x v="2"/>
    <x v="2"/>
    <x v="2631"/>
    <x v="3367"/>
  </r>
  <r>
    <x v="0"/>
    <x v="0"/>
    <x v="2"/>
    <x v="197"/>
    <x v="20"/>
    <x v="854"/>
    <x v="2632"/>
    <x v="3368"/>
  </r>
  <r>
    <x v="1"/>
    <x v="0"/>
    <x v="1"/>
    <x v="245"/>
    <x v="10"/>
    <x v="391"/>
    <x v="525"/>
    <x v="3369"/>
  </r>
  <r>
    <x v="1"/>
    <x v="0"/>
    <x v="1"/>
    <x v="31"/>
    <x v="3"/>
    <x v="394"/>
    <x v="660"/>
    <x v="3370"/>
  </r>
  <r>
    <x v="0"/>
    <x v="0"/>
    <x v="2"/>
    <x v="199"/>
    <x v="20"/>
    <x v="117"/>
    <x v="2633"/>
    <x v="3371"/>
  </r>
  <r>
    <x v="0"/>
    <x v="0"/>
    <x v="0"/>
    <x v="183"/>
    <x v="5"/>
    <x v="251"/>
    <x v="2634"/>
    <x v="3372"/>
  </r>
  <r>
    <x v="1"/>
    <x v="0"/>
    <x v="2"/>
    <x v="29"/>
    <x v="3"/>
    <x v="264"/>
    <x v="2635"/>
    <x v="3373"/>
  </r>
  <r>
    <x v="1"/>
    <x v="0"/>
    <x v="2"/>
    <x v="193"/>
    <x v="17"/>
    <x v="357"/>
    <x v="2636"/>
    <x v="3374"/>
  </r>
  <r>
    <x v="0"/>
    <x v="0"/>
    <x v="0"/>
    <x v="44"/>
    <x v="1"/>
    <x v="613"/>
    <x v="2637"/>
    <x v="3375"/>
  </r>
  <r>
    <x v="2"/>
    <x v="0"/>
    <x v="2"/>
    <x v="234"/>
    <x v="2"/>
    <x v="2"/>
    <x v="2519"/>
    <x v="3376"/>
  </r>
  <r>
    <x v="2"/>
    <x v="0"/>
    <x v="2"/>
    <x v="164"/>
    <x v="10"/>
    <x v="0"/>
    <x v="272"/>
    <x v="3377"/>
  </r>
  <r>
    <x v="0"/>
    <x v="0"/>
    <x v="2"/>
    <x v="12"/>
    <x v="17"/>
    <x v="103"/>
    <x v="485"/>
    <x v="3378"/>
  </r>
  <r>
    <x v="1"/>
    <x v="0"/>
    <x v="1"/>
    <x v="59"/>
    <x v="15"/>
    <x v="852"/>
    <x v="2638"/>
    <x v="3379"/>
  </r>
  <r>
    <x v="1"/>
    <x v="0"/>
    <x v="2"/>
    <x v="231"/>
    <x v="0"/>
    <x v="174"/>
    <x v="481"/>
    <x v="3380"/>
  </r>
  <r>
    <x v="0"/>
    <x v="0"/>
    <x v="0"/>
    <x v="35"/>
    <x v="4"/>
    <x v="142"/>
    <x v="2639"/>
    <x v="3381"/>
  </r>
  <r>
    <x v="3"/>
    <x v="0"/>
    <x v="2"/>
    <x v="77"/>
    <x v="10"/>
    <x v="51"/>
    <x v="2640"/>
    <x v="3382"/>
  </r>
  <r>
    <x v="1"/>
    <x v="0"/>
    <x v="2"/>
    <x v="43"/>
    <x v="10"/>
    <x v="3"/>
    <x v="310"/>
    <x v="3383"/>
  </r>
  <r>
    <x v="0"/>
    <x v="0"/>
    <x v="2"/>
    <x v="191"/>
    <x v="5"/>
    <x v="271"/>
    <x v="2641"/>
    <x v="3384"/>
  </r>
  <r>
    <x v="0"/>
    <x v="0"/>
    <x v="2"/>
    <x v="172"/>
    <x v="9"/>
    <x v="186"/>
    <x v="2642"/>
    <x v="3385"/>
  </r>
  <r>
    <x v="1"/>
    <x v="0"/>
    <x v="2"/>
    <x v="131"/>
    <x v="24"/>
    <x v="714"/>
    <x v="1436"/>
    <x v="3386"/>
  </r>
  <r>
    <x v="3"/>
    <x v="0"/>
    <x v="2"/>
    <x v="50"/>
    <x v="7"/>
    <x v="855"/>
    <x v="2643"/>
    <x v="3387"/>
  </r>
  <r>
    <x v="3"/>
    <x v="0"/>
    <x v="2"/>
    <x v="66"/>
    <x v="13"/>
    <x v="298"/>
    <x v="2644"/>
    <x v="3388"/>
  </r>
  <r>
    <x v="0"/>
    <x v="0"/>
    <x v="0"/>
    <x v="222"/>
    <x v="1"/>
    <x v="504"/>
    <x v="2645"/>
    <x v="3389"/>
  </r>
  <r>
    <x v="0"/>
    <x v="0"/>
    <x v="0"/>
    <x v="104"/>
    <x v="2"/>
    <x v="2"/>
    <x v="1268"/>
    <x v="3390"/>
  </r>
  <r>
    <x v="2"/>
    <x v="0"/>
    <x v="2"/>
    <x v="143"/>
    <x v="22"/>
    <x v="142"/>
    <x v="1365"/>
    <x v="3391"/>
  </r>
  <r>
    <x v="3"/>
    <x v="0"/>
    <x v="2"/>
    <x v="76"/>
    <x v="24"/>
    <x v="644"/>
    <x v="1469"/>
    <x v="3392"/>
  </r>
  <r>
    <x v="0"/>
    <x v="0"/>
    <x v="2"/>
    <x v="48"/>
    <x v="8"/>
    <x v="823"/>
    <x v="2646"/>
    <x v="3393"/>
  </r>
  <r>
    <x v="3"/>
    <x v="0"/>
    <x v="2"/>
    <x v="107"/>
    <x v="1"/>
    <x v="13"/>
    <x v="2647"/>
    <x v="3394"/>
  </r>
  <r>
    <x v="1"/>
    <x v="0"/>
    <x v="1"/>
    <x v="231"/>
    <x v="7"/>
    <x v="247"/>
    <x v="556"/>
    <x v="3395"/>
  </r>
  <r>
    <x v="1"/>
    <x v="0"/>
    <x v="2"/>
    <x v="172"/>
    <x v="6"/>
    <x v="322"/>
    <x v="1699"/>
    <x v="3396"/>
  </r>
  <r>
    <x v="3"/>
    <x v="0"/>
    <x v="2"/>
    <x v="123"/>
    <x v="1"/>
    <x v="551"/>
    <x v="2648"/>
    <x v="3397"/>
  </r>
  <r>
    <x v="2"/>
    <x v="0"/>
    <x v="2"/>
    <x v="11"/>
    <x v="20"/>
    <x v="54"/>
    <x v="2649"/>
    <x v="3398"/>
  </r>
  <r>
    <x v="0"/>
    <x v="0"/>
    <x v="0"/>
    <x v="61"/>
    <x v="12"/>
    <x v="583"/>
    <x v="2650"/>
    <x v="3399"/>
  </r>
  <r>
    <x v="0"/>
    <x v="0"/>
    <x v="2"/>
    <x v="100"/>
    <x v="2"/>
    <x v="2"/>
    <x v="2651"/>
    <x v="3400"/>
  </r>
  <r>
    <x v="0"/>
    <x v="0"/>
    <x v="2"/>
    <x v="216"/>
    <x v="13"/>
    <x v="57"/>
    <x v="2037"/>
    <x v="3401"/>
  </r>
  <r>
    <x v="1"/>
    <x v="0"/>
    <x v="2"/>
    <x v="82"/>
    <x v="15"/>
    <x v="856"/>
    <x v="1264"/>
    <x v="3402"/>
  </r>
  <r>
    <x v="1"/>
    <x v="0"/>
    <x v="1"/>
    <x v="161"/>
    <x v="16"/>
    <x v="416"/>
    <x v="2652"/>
    <x v="3403"/>
  </r>
  <r>
    <x v="3"/>
    <x v="0"/>
    <x v="2"/>
    <x v="117"/>
    <x v="13"/>
    <x v="141"/>
    <x v="2653"/>
    <x v="3404"/>
  </r>
  <r>
    <x v="1"/>
    <x v="0"/>
    <x v="1"/>
    <x v="198"/>
    <x v="0"/>
    <x v="819"/>
    <x v="2654"/>
    <x v="3405"/>
  </r>
  <r>
    <x v="2"/>
    <x v="0"/>
    <x v="2"/>
    <x v="148"/>
    <x v="10"/>
    <x v="216"/>
    <x v="2655"/>
    <x v="3406"/>
  </r>
  <r>
    <x v="0"/>
    <x v="0"/>
    <x v="2"/>
    <x v="231"/>
    <x v="13"/>
    <x v="307"/>
    <x v="2656"/>
    <x v="3407"/>
  </r>
  <r>
    <x v="1"/>
    <x v="0"/>
    <x v="2"/>
    <x v="247"/>
    <x v="12"/>
    <x v="444"/>
    <x v="1589"/>
    <x v="3408"/>
  </r>
  <r>
    <x v="1"/>
    <x v="0"/>
    <x v="1"/>
    <x v="6"/>
    <x v="5"/>
    <x v="503"/>
    <x v="1597"/>
    <x v="3409"/>
  </r>
  <r>
    <x v="1"/>
    <x v="0"/>
    <x v="1"/>
    <x v="61"/>
    <x v="24"/>
    <x v="603"/>
    <x v="2657"/>
    <x v="3410"/>
  </r>
  <r>
    <x v="3"/>
    <x v="0"/>
    <x v="2"/>
    <x v="56"/>
    <x v="0"/>
    <x v="60"/>
    <x v="2658"/>
    <x v="3411"/>
  </r>
  <r>
    <x v="0"/>
    <x v="0"/>
    <x v="0"/>
    <x v="240"/>
    <x v="9"/>
    <x v="316"/>
    <x v="2659"/>
    <x v="3412"/>
  </r>
  <r>
    <x v="0"/>
    <x v="0"/>
    <x v="0"/>
    <x v="147"/>
    <x v="13"/>
    <x v="255"/>
    <x v="2660"/>
    <x v="3413"/>
  </r>
  <r>
    <x v="1"/>
    <x v="0"/>
    <x v="1"/>
    <x v="67"/>
    <x v="16"/>
    <x v="697"/>
    <x v="1125"/>
    <x v="3414"/>
  </r>
  <r>
    <x v="1"/>
    <x v="0"/>
    <x v="2"/>
    <x v="192"/>
    <x v="0"/>
    <x v="452"/>
    <x v="2661"/>
    <x v="3415"/>
  </r>
  <r>
    <x v="1"/>
    <x v="0"/>
    <x v="1"/>
    <x v="110"/>
    <x v="10"/>
    <x v="743"/>
    <x v="2662"/>
    <x v="3416"/>
  </r>
  <r>
    <x v="1"/>
    <x v="0"/>
    <x v="1"/>
    <x v="46"/>
    <x v="22"/>
    <x v="773"/>
    <x v="2663"/>
    <x v="3417"/>
  </r>
  <r>
    <x v="2"/>
    <x v="0"/>
    <x v="2"/>
    <x v="240"/>
    <x v="22"/>
    <x v="52"/>
    <x v="2630"/>
    <x v="3418"/>
  </r>
  <r>
    <x v="2"/>
    <x v="0"/>
    <x v="2"/>
    <x v="51"/>
    <x v="6"/>
    <x v="750"/>
    <x v="2664"/>
    <x v="3419"/>
  </r>
  <r>
    <x v="1"/>
    <x v="0"/>
    <x v="2"/>
    <x v="190"/>
    <x v="1"/>
    <x v="653"/>
    <x v="2665"/>
    <x v="3420"/>
  </r>
  <r>
    <x v="2"/>
    <x v="0"/>
    <x v="2"/>
    <x v="1"/>
    <x v="8"/>
    <x v="857"/>
    <x v="1178"/>
    <x v="3421"/>
  </r>
  <r>
    <x v="1"/>
    <x v="0"/>
    <x v="1"/>
    <x v="154"/>
    <x v="9"/>
    <x v="198"/>
    <x v="2666"/>
    <x v="3422"/>
  </r>
  <r>
    <x v="2"/>
    <x v="0"/>
    <x v="2"/>
    <x v="208"/>
    <x v="7"/>
    <x v="858"/>
    <x v="2667"/>
    <x v="3423"/>
  </r>
  <r>
    <x v="1"/>
    <x v="0"/>
    <x v="1"/>
    <x v="99"/>
    <x v="9"/>
    <x v="469"/>
    <x v="2423"/>
    <x v="3424"/>
  </r>
  <r>
    <x v="0"/>
    <x v="0"/>
    <x v="2"/>
    <x v="201"/>
    <x v="20"/>
    <x v="529"/>
    <x v="2668"/>
    <x v="3425"/>
  </r>
  <r>
    <x v="3"/>
    <x v="0"/>
    <x v="2"/>
    <x v="12"/>
    <x v="11"/>
    <x v="765"/>
    <x v="2669"/>
    <x v="3426"/>
  </r>
  <r>
    <x v="0"/>
    <x v="0"/>
    <x v="2"/>
    <x v="96"/>
    <x v="18"/>
    <x v="24"/>
    <x v="2670"/>
    <x v="3427"/>
  </r>
  <r>
    <x v="2"/>
    <x v="0"/>
    <x v="2"/>
    <x v="191"/>
    <x v="13"/>
    <x v="315"/>
    <x v="2671"/>
    <x v="3428"/>
  </r>
  <r>
    <x v="2"/>
    <x v="0"/>
    <x v="2"/>
    <x v="207"/>
    <x v="1"/>
    <x v="859"/>
    <x v="1735"/>
    <x v="3429"/>
  </r>
  <r>
    <x v="0"/>
    <x v="0"/>
    <x v="2"/>
    <x v="14"/>
    <x v="24"/>
    <x v="840"/>
    <x v="2672"/>
    <x v="3430"/>
  </r>
  <r>
    <x v="0"/>
    <x v="0"/>
    <x v="0"/>
    <x v="114"/>
    <x v="3"/>
    <x v="69"/>
    <x v="2411"/>
    <x v="3431"/>
  </r>
  <r>
    <x v="2"/>
    <x v="0"/>
    <x v="2"/>
    <x v="67"/>
    <x v="0"/>
    <x v="73"/>
    <x v="2673"/>
    <x v="3432"/>
  </r>
  <r>
    <x v="1"/>
    <x v="0"/>
    <x v="2"/>
    <x v="36"/>
    <x v="6"/>
    <x v="102"/>
    <x v="787"/>
    <x v="3433"/>
  </r>
  <r>
    <x v="3"/>
    <x v="0"/>
    <x v="2"/>
    <x v="84"/>
    <x v="2"/>
    <x v="2"/>
    <x v="2501"/>
    <x v="3434"/>
  </r>
  <r>
    <x v="1"/>
    <x v="0"/>
    <x v="2"/>
    <x v="250"/>
    <x v="13"/>
    <x v="291"/>
    <x v="1109"/>
    <x v="3435"/>
  </r>
  <r>
    <x v="1"/>
    <x v="0"/>
    <x v="1"/>
    <x v="205"/>
    <x v="7"/>
    <x v="696"/>
    <x v="2674"/>
    <x v="3436"/>
  </r>
  <r>
    <x v="2"/>
    <x v="0"/>
    <x v="2"/>
    <x v="99"/>
    <x v="18"/>
    <x v="318"/>
    <x v="2675"/>
    <x v="3437"/>
  </r>
  <r>
    <x v="0"/>
    <x v="0"/>
    <x v="2"/>
    <x v="126"/>
    <x v="5"/>
    <x v="46"/>
    <x v="2676"/>
    <x v="3438"/>
  </r>
  <r>
    <x v="2"/>
    <x v="0"/>
    <x v="2"/>
    <x v="229"/>
    <x v="27"/>
    <x v="756"/>
    <x v="2677"/>
    <x v="3439"/>
  </r>
  <r>
    <x v="1"/>
    <x v="0"/>
    <x v="1"/>
    <x v="87"/>
    <x v="11"/>
    <x v="38"/>
    <x v="2678"/>
    <x v="3440"/>
  </r>
  <r>
    <x v="1"/>
    <x v="0"/>
    <x v="2"/>
    <x v="94"/>
    <x v="5"/>
    <x v="834"/>
    <x v="2679"/>
    <x v="3441"/>
  </r>
  <r>
    <x v="1"/>
    <x v="0"/>
    <x v="1"/>
    <x v="147"/>
    <x v="7"/>
    <x v="55"/>
    <x v="1544"/>
    <x v="3442"/>
  </r>
  <r>
    <x v="3"/>
    <x v="0"/>
    <x v="2"/>
    <x v="51"/>
    <x v="28"/>
    <x v="361"/>
    <x v="2680"/>
    <x v="3443"/>
  </r>
  <r>
    <x v="2"/>
    <x v="0"/>
    <x v="2"/>
    <x v="21"/>
    <x v="22"/>
    <x v="114"/>
    <x v="1804"/>
    <x v="3444"/>
  </r>
  <r>
    <x v="1"/>
    <x v="0"/>
    <x v="1"/>
    <x v="36"/>
    <x v="4"/>
    <x v="712"/>
    <x v="2681"/>
    <x v="3445"/>
  </r>
  <r>
    <x v="0"/>
    <x v="0"/>
    <x v="2"/>
    <x v="209"/>
    <x v="10"/>
    <x v="49"/>
    <x v="2682"/>
    <x v="3446"/>
  </r>
  <r>
    <x v="1"/>
    <x v="0"/>
    <x v="2"/>
    <x v="15"/>
    <x v="15"/>
    <x v="142"/>
    <x v="1133"/>
    <x v="3447"/>
  </r>
  <r>
    <x v="2"/>
    <x v="0"/>
    <x v="2"/>
    <x v="42"/>
    <x v="11"/>
    <x v="87"/>
    <x v="2683"/>
    <x v="3448"/>
  </r>
  <r>
    <x v="1"/>
    <x v="0"/>
    <x v="1"/>
    <x v="229"/>
    <x v="5"/>
    <x v="838"/>
    <x v="2684"/>
    <x v="3449"/>
  </r>
  <r>
    <x v="1"/>
    <x v="0"/>
    <x v="1"/>
    <x v="52"/>
    <x v="10"/>
    <x v="612"/>
    <x v="988"/>
    <x v="3450"/>
  </r>
  <r>
    <x v="3"/>
    <x v="0"/>
    <x v="2"/>
    <x v="170"/>
    <x v="5"/>
    <x v="114"/>
    <x v="2379"/>
    <x v="3451"/>
  </r>
  <r>
    <x v="1"/>
    <x v="0"/>
    <x v="1"/>
    <x v="74"/>
    <x v="16"/>
    <x v="283"/>
    <x v="2685"/>
    <x v="3452"/>
  </r>
  <r>
    <x v="0"/>
    <x v="0"/>
    <x v="2"/>
    <x v="62"/>
    <x v="6"/>
    <x v="576"/>
    <x v="2686"/>
    <x v="3453"/>
  </r>
  <r>
    <x v="1"/>
    <x v="0"/>
    <x v="2"/>
    <x v="157"/>
    <x v="3"/>
    <x v="860"/>
    <x v="2687"/>
    <x v="3454"/>
  </r>
  <r>
    <x v="1"/>
    <x v="0"/>
    <x v="2"/>
    <x v="137"/>
    <x v="6"/>
    <x v="247"/>
    <x v="925"/>
    <x v="3455"/>
  </r>
  <r>
    <x v="1"/>
    <x v="0"/>
    <x v="1"/>
    <x v="26"/>
    <x v="6"/>
    <x v="60"/>
    <x v="2201"/>
    <x v="3456"/>
  </r>
  <r>
    <x v="0"/>
    <x v="0"/>
    <x v="2"/>
    <x v="237"/>
    <x v="11"/>
    <x v="747"/>
    <x v="2688"/>
    <x v="3457"/>
  </r>
  <r>
    <x v="2"/>
    <x v="0"/>
    <x v="2"/>
    <x v="55"/>
    <x v="11"/>
    <x v="322"/>
    <x v="2689"/>
    <x v="3458"/>
  </r>
  <r>
    <x v="1"/>
    <x v="0"/>
    <x v="1"/>
    <x v="7"/>
    <x v="25"/>
    <x v="481"/>
    <x v="361"/>
    <x v="3459"/>
  </r>
  <r>
    <x v="1"/>
    <x v="0"/>
    <x v="1"/>
    <x v="197"/>
    <x v="5"/>
    <x v="586"/>
    <x v="2131"/>
    <x v="3460"/>
  </r>
  <r>
    <x v="0"/>
    <x v="0"/>
    <x v="0"/>
    <x v="119"/>
    <x v="12"/>
    <x v="699"/>
    <x v="511"/>
    <x v="3461"/>
  </r>
  <r>
    <x v="1"/>
    <x v="0"/>
    <x v="1"/>
    <x v="211"/>
    <x v="4"/>
    <x v="229"/>
    <x v="1676"/>
    <x v="3462"/>
  </r>
  <r>
    <x v="1"/>
    <x v="0"/>
    <x v="1"/>
    <x v="180"/>
    <x v="11"/>
    <x v="119"/>
    <x v="2690"/>
    <x v="3463"/>
  </r>
  <r>
    <x v="0"/>
    <x v="0"/>
    <x v="2"/>
    <x v="212"/>
    <x v="17"/>
    <x v="128"/>
    <x v="2691"/>
    <x v="3464"/>
  </r>
  <r>
    <x v="2"/>
    <x v="0"/>
    <x v="2"/>
    <x v="151"/>
    <x v="11"/>
    <x v="625"/>
    <x v="1690"/>
    <x v="3465"/>
  </r>
  <r>
    <x v="0"/>
    <x v="0"/>
    <x v="2"/>
    <x v="239"/>
    <x v="6"/>
    <x v="604"/>
    <x v="2692"/>
    <x v="3466"/>
  </r>
  <r>
    <x v="2"/>
    <x v="0"/>
    <x v="2"/>
    <x v="54"/>
    <x v="10"/>
    <x v="241"/>
    <x v="2693"/>
    <x v="3467"/>
  </r>
  <r>
    <x v="3"/>
    <x v="0"/>
    <x v="2"/>
    <x v="53"/>
    <x v="28"/>
    <x v="277"/>
    <x v="2694"/>
    <x v="3468"/>
  </r>
  <r>
    <x v="1"/>
    <x v="0"/>
    <x v="2"/>
    <x v="73"/>
    <x v="1"/>
    <x v="251"/>
    <x v="2695"/>
    <x v="3469"/>
  </r>
  <r>
    <x v="0"/>
    <x v="0"/>
    <x v="2"/>
    <x v="209"/>
    <x v="22"/>
    <x v="309"/>
    <x v="1377"/>
    <x v="3470"/>
  </r>
  <r>
    <x v="2"/>
    <x v="0"/>
    <x v="2"/>
    <x v="15"/>
    <x v="17"/>
    <x v="615"/>
    <x v="238"/>
    <x v="3471"/>
  </r>
  <r>
    <x v="3"/>
    <x v="0"/>
    <x v="2"/>
    <x v="164"/>
    <x v="10"/>
    <x v="0"/>
    <x v="776"/>
    <x v="3472"/>
  </r>
  <r>
    <x v="2"/>
    <x v="0"/>
    <x v="2"/>
    <x v="156"/>
    <x v="5"/>
    <x v="52"/>
    <x v="2696"/>
    <x v="3473"/>
  </r>
  <r>
    <x v="0"/>
    <x v="0"/>
    <x v="0"/>
    <x v="188"/>
    <x v="9"/>
    <x v="413"/>
    <x v="2697"/>
    <x v="3474"/>
  </r>
  <r>
    <x v="1"/>
    <x v="0"/>
    <x v="1"/>
    <x v="14"/>
    <x v="6"/>
    <x v="446"/>
    <x v="2698"/>
    <x v="3475"/>
  </r>
  <r>
    <x v="2"/>
    <x v="0"/>
    <x v="2"/>
    <x v="185"/>
    <x v="6"/>
    <x v="131"/>
    <x v="2699"/>
    <x v="3476"/>
  </r>
  <r>
    <x v="2"/>
    <x v="0"/>
    <x v="2"/>
    <x v="206"/>
    <x v="6"/>
    <x v="71"/>
    <x v="2700"/>
    <x v="3477"/>
  </r>
  <r>
    <x v="2"/>
    <x v="0"/>
    <x v="2"/>
    <x v="174"/>
    <x v="8"/>
    <x v="717"/>
    <x v="1633"/>
    <x v="3478"/>
  </r>
  <r>
    <x v="0"/>
    <x v="0"/>
    <x v="0"/>
    <x v="44"/>
    <x v="2"/>
    <x v="2"/>
    <x v="2701"/>
    <x v="3479"/>
  </r>
  <r>
    <x v="0"/>
    <x v="0"/>
    <x v="0"/>
    <x v="129"/>
    <x v="15"/>
    <x v="288"/>
    <x v="2702"/>
    <x v="3480"/>
  </r>
  <r>
    <x v="1"/>
    <x v="0"/>
    <x v="2"/>
    <x v="23"/>
    <x v="24"/>
    <x v="725"/>
    <x v="2703"/>
    <x v="3481"/>
  </r>
  <r>
    <x v="2"/>
    <x v="0"/>
    <x v="2"/>
    <x v="185"/>
    <x v="11"/>
    <x v="440"/>
    <x v="2704"/>
    <x v="3482"/>
  </r>
  <r>
    <x v="2"/>
    <x v="0"/>
    <x v="2"/>
    <x v="128"/>
    <x v="6"/>
    <x v="587"/>
    <x v="488"/>
    <x v="3483"/>
  </r>
  <r>
    <x v="0"/>
    <x v="0"/>
    <x v="2"/>
    <x v="16"/>
    <x v="14"/>
    <x v="457"/>
    <x v="2705"/>
    <x v="3484"/>
  </r>
  <r>
    <x v="1"/>
    <x v="0"/>
    <x v="2"/>
    <x v="196"/>
    <x v="17"/>
    <x v="217"/>
    <x v="7"/>
    <x v="3485"/>
  </r>
  <r>
    <x v="0"/>
    <x v="0"/>
    <x v="0"/>
    <x v="143"/>
    <x v="1"/>
    <x v="363"/>
    <x v="2247"/>
    <x v="3486"/>
  </r>
  <r>
    <x v="3"/>
    <x v="0"/>
    <x v="2"/>
    <x v="233"/>
    <x v="16"/>
    <x v="142"/>
    <x v="2706"/>
    <x v="2483"/>
  </r>
  <r>
    <x v="3"/>
    <x v="0"/>
    <x v="2"/>
    <x v="148"/>
    <x v="1"/>
    <x v="495"/>
    <x v="2707"/>
    <x v="3487"/>
  </r>
  <r>
    <x v="1"/>
    <x v="0"/>
    <x v="2"/>
    <x v="30"/>
    <x v="16"/>
    <x v="326"/>
    <x v="2708"/>
    <x v="3488"/>
  </r>
  <r>
    <x v="2"/>
    <x v="0"/>
    <x v="2"/>
    <x v="28"/>
    <x v="7"/>
    <x v="764"/>
    <x v="2709"/>
    <x v="3489"/>
  </r>
  <r>
    <x v="3"/>
    <x v="0"/>
    <x v="2"/>
    <x v="21"/>
    <x v="16"/>
    <x v="681"/>
    <x v="2710"/>
    <x v="3490"/>
  </r>
  <r>
    <x v="0"/>
    <x v="0"/>
    <x v="2"/>
    <x v="215"/>
    <x v="25"/>
    <x v="338"/>
    <x v="73"/>
    <x v="3491"/>
  </r>
  <r>
    <x v="0"/>
    <x v="0"/>
    <x v="2"/>
    <x v="213"/>
    <x v="5"/>
    <x v="128"/>
    <x v="2711"/>
    <x v="3492"/>
  </r>
  <r>
    <x v="2"/>
    <x v="0"/>
    <x v="2"/>
    <x v="161"/>
    <x v="9"/>
    <x v="6"/>
    <x v="2712"/>
    <x v="3493"/>
  </r>
  <r>
    <x v="1"/>
    <x v="0"/>
    <x v="2"/>
    <x v="118"/>
    <x v="0"/>
    <x v="399"/>
    <x v="1972"/>
    <x v="3494"/>
  </r>
  <r>
    <x v="1"/>
    <x v="0"/>
    <x v="2"/>
    <x v="9"/>
    <x v="22"/>
    <x v="645"/>
    <x v="1664"/>
    <x v="3495"/>
  </r>
  <r>
    <x v="2"/>
    <x v="0"/>
    <x v="2"/>
    <x v="59"/>
    <x v="1"/>
    <x v="265"/>
    <x v="2713"/>
    <x v="3496"/>
  </r>
  <r>
    <x v="0"/>
    <x v="0"/>
    <x v="0"/>
    <x v="142"/>
    <x v="25"/>
    <x v="525"/>
    <x v="2714"/>
    <x v="3497"/>
  </r>
  <r>
    <x v="1"/>
    <x v="0"/>
    <x v="1"/>
    <x v="210"/>
    <x v="1"/>
    <x v="403"/>
    <x v="2715"/>
    <x v="3498"/>
  </r>
  <r>
    <x v="3"/>
    <x v="0"/>
    <x v="2"/>
    <x v="234"/>
    <x v="5"/>
    <x v="483"/>
    <x v="2716"/>
    <x v="3499"/>
  </r>
  <r>
    <x v="1"/>
    <x v="0"/>
    <x v="2"/>
    <x v="93"/>
    <x v="8"/>
    <x v="594"/>
    <x v="2717"/>
    <x v="3500"/>
  </r>
  <r>
    <x v="2"/>
    <x v="0"/>
    <x v="2"/>
    <x v="99"/>
    <x v="26"/>
    <x v="252"/>
    <x v="2463"/>
    <x v="3501"/>
  </r>
  <r>
    <x v="0"/>
    <x v="0"/>
    <x v="2"/>
    <x v="93"/>
    <x v="13"/>
    <x v="141"/>
    <x v="1759"/>
    <x v="3502"/>
  </r>
  <r>
    <x v="3"/>
    <x v="0"/>
    <x v="2"/>
    <x v="139"/>
    <x v="2"/>
    <x v="2"/>
    <x v="2718"/>
    <x v="3503"/>
  </r>
  <r>
    <x v="1"/>
    <x v="0"/>
    <x v="2"/>
    <x v="244"/>
    <x v="2"/>
    <x v="2"/>
    <x v="2500"/>
    <x v="3504"/>
  </r>
  <r>
    <x v="0"/>
    <x v="0"/>
    <x v="2"/>
    <x v="184"/>
    <x v="15"/>
    <x v="0"/>
    <x v="2719"/>
    <x v="3505"/>
  </r>
  <r>
    <x v="1"/>
    <x v="0"/>
    <x v="2"/>
    <x v="71"/>
    <x v="23"/>
    <x v="161"/>
    <x v="2720"/>
    <x v="3506"/>
  </r>
  <r>
    <x v="3"/>
    <x v="0"/>
    <x v="2"/>
    <x v="209"/>
    <x v="7"/>
    <x v="770"/>
    <x v="2721"/>
    <x v="3507"/>
  </r>
  <r>
    <x v="0"/>
    <x v="0"/>
    <x v="2"/>
    <x v="119"/>
    <x v="12"/>
    <x v="699"/>
    <x v="2722"/>
    <x v="3508"/>
  </r>
  <r>
    <x v="1"/>
    <x v="0"/>
    <x v="2"/>
    <x v="219"/>
    <x v="2"/>
    <x v="2"/>
    <x v="2723"/>
    <x v="3509"/>
  </r>
  <r>
    <x v="1"/>
    <x v="0"/>
    <x v="1"/>
    <x v="240"/>
    <x v="11"/>
    <x v="430"/>
    <x v="1387"/>
    <x v="3510"/>
  </r>
  <r>
    <x v="3"/>
    <x v="0"/>
    <x v="2"/>
    <x v="113"/>
    <x v="12"/>
    <x v="194"/>
    <x v="2724"/>
    <x v="3511"/>
  </r>
  <r>
    <x v="1"/>
    <x v="0"/>
    <x v="2"/>
    <x v="243"/>
    <x v="2"/>
    <x v="2"/>
    <x v="1853"/>
    <x v="3512"/>
  </r>
  <r>
    <x v="2"/>
    <x v="0"/>
    <x v="2"/>
    <x v="234"/>
    <x v="5"/>
    <x v="483"/>
    <x v="319"/>
    <x v="3513"/>
  </r>
  <r>
    <x v="0"/>
    <x v="0"/>
    <x v="2"/>
    <x v="246"/>
    <x v="15"/>
    <x v="793"/>
    <x v="121"/>
    <x v="3514"/>
  </r>
  <r>
    <x v="1"/>
    <x v="0"/>
    <x v="1"/>
    <x v="114"/>
    <x v="5"/>
    <x v="132"/>
    <x v="1929"/>
    <x v="3515"/>
  </r>
  <r>
    <x v="3"/>
    <x v="0"/>
    <x v="2"/>
    <x v="66"/>
    <x v="2"/>
    <x v="2"/>
    <x v="2725"/>
    <x v="3516"/>
  </r>
  <r>
    <x v="1"/>
    <x v="0"/>
    <x v="1"/>
    <x v="197"/>
    <x v="30"/>
    <x v="231"/>
    <x v="2726"/>
    <x v="3517"/>
  </r>
  <r>
    <x v="3"/>
    <x v="0"/>
    <x v="2"/>
    <x v="105"/>
    <x v="2"/>
    <x v="2"/>
    <x v="2727"/>
    <x v="3518"/>
  </r>
  <r>
    <x v="3"/>
    <x v="0"/>
    <x v="2"/>
    <x v="39"/>
    <x v="5"/>
    <x v="36"/>
    <x v="1254"/>
    <x v="3519"/>
  </r>
  <r>
    <x v="2"/>
    <x v="0"/>
    <x v="2"/>
    <x v="148"/>
    <x v="13"/>
    <x v="297"/>
    <x v="1297"/>
    <x v="3520"/>
  </r>
  <r>
    <x v="0"/>
    <x v="0"/>
    <x v="0"/>
    <x v="145"/>
    <x v="16"/>
    <x v="520"/>
    <x v="286"/>
    <x v="3521"/>
  </r>
  <r>
    <x v="2"/>
    <x v="0"/>
    <x v="2"/>
    <x v="16"/>
    <x v="8"/>
    <x v="295"/>
    <x v="2728"/>
    <x v="3522"/>
  </r>
  <r>
    <x v="1"/>
    <x v="0"/>
    <x v="1"/>
    <x v="82"/>
    <x v="0"/>
    <x v="81"/>
    <x v="2729"/>
    <x v="1740"/>
  </r>
  <r>
    <x v="0"/>
    <x v="0"/>
    <x v="0"/>
    <x v="174"/>
    <x v="22"/>
    <x v="95"/>
    <x v="2641"/>
    <x v="3523"/>
  </r>
  <r>
    <x v="1"/>
    <x v="0"/>
    <x v="1"/>
    <x v="170"/>
    <x v="2"/>
    <x v="2"/>
    <x v="2730"/>
    <x v="3524"/>
  </r>
  <r>
    <x v="1"/>
    <x v="0"/>
    <x v="2"/>
    <x v="123"/>
    <x v="0"/>
    <x v="686"/>
    <x v="1698"/>
    <x v="3525"/>
  </r>
  <r>
    <x v="0"/>
    <x v="0"/>
    <x v="0"/>
    <x v="179"/>
    <x v="13"/>
    <x v="239"/>
    <x v="2384"/>
    <x v="3526"/>
  </r>
  <r>
    <x v="1"/>
    <x v="0"/>
    <x v="1"/>
    <x v="39"/>
    <x v="6"/>
    <x v="196"/>
    <x v="2731"/>
    <x v="3527"/>
  </r>
  <r>
    <x v="1"/>
    <x v="0"/>
    <x v="1"/>
    <x v="58"/>
    <x v="28"/>
    <x v="470"/>
    <x v="2732"/>
    <x v="3528"/>
  </r>
  <r>
    <x v="3"/>
    <x v="0"/>
    <x v="2"/>
    <x v="20"/>
    <x v="7"/>
    <x v="478"/>
    <x v="2465"/>
    <x v="3529"/>
  </r>
  <r>
    <x v="3"/>
    <x v="0"/>
    <x v="2"/>
    <x v="152"/>
    <x v="11"/>
    <x v="753"/>
    <x v="2321"/>
    <x v="3530"/>
  </r>
  <r>
    <x v="0"/>
    <x v="0"/>
    <x v="0"/>
    <x v="233"/>
    <x v="10"/>
    <x v="703"/>
    <x v="2688"/>
    <x v="3531"/>
  </r>
  <r>
    <x v="1"/>
    <x v="0"/>
    <x v="2"/>
    <x v="159"/>
    <x v="16"/>
    <x v="576"/>
    <x v="2733"/>
    <x v="3532"/>
  </r>
  <r>
    <x v="2"/>
    <x v="0"/>
    <x v="2"/>
    <x v="78"/>
    <x v="16"/>
    <x v="861"/>
    <x v="2678"/>
    <x v="3533"/>
  </r>
  <r>
    <x v="0"/>
    <x v="0"/>
    <x v="2"/>
    <x v="109"/>
    <x v="12"/>
    <x v="54"/>
    <x v="1866"/>
    <x v="3534"/>
  </r>
  <r>
    <x v="0"/>
    <x v="0"/>
    <x v="0"/>
    <x v="184"/>
    <x v="10"/>
    <x v="466"/>
    <x v="2734"/>
    <x v="3535"/>
  </r>
  <r>
    <x v="2"/>
    <x v="0"/>
    <x v="2"/>
    <x v="154"/>
    <x v="11"/>
    <x v="86"/>
    <x v="2735"/>
    <x v="3536"/>
  </r>
  <r>
    <x v="0"/>
    <x v="0"/>
    <x v="0"/>
    <x v="37"/>
    <x v="1"/>
    <x v="679"/>
    <x v="2736"/>
    <x v="3537"/>
  </r>
  <r>
    <x v="2"/>
    <x v="0"/>
    <x v="2"/>
    <x v="240"/>
    <x v="4"/>
    <x v="689"/>
    <x v="2737"/>
    <x v="3538"/>
  </r>
  <r>
    <x v="2"/>
    <x v="0"/>
    <x v="2"/>
    <x v="2"/>
    <x v="1"/>
    <x v="96"/>
    <x v="2738"/>
    <x v="3539"/>
  </r>
  <r>
    <x v="2"/>
    <x v="0"/>
    <x v="2"/>
    <x v="12"/>
    <x v="5"/>
    <x v="698"/>
    <x v="296"/>
    <x v="3540"/>
  </r>
  <r>
    <x v="0"/>
    <x v="0"/>
    <x v="2"/>
    <x v="169"/>
    <x v="11"/>
    <x v="675"/>
    <x v="387"/>
    <x v="2607"/>
  </r>
  <r>
    <x v="0"/>
    <x v="0"/>
    <x v="0"/>
    <x v="210"/>
    <x v="1"/>
    <x v="403"/>
    <x v="2739"/>
    <x v="3541"/>
  </r>
  <r>
    <x v="2"/>
    <x v="0"/>
    <x v="2"/>
    <x v="97"/>
    <x v="12"/>
    <x v="564"/>
    <x v="2740"/>
    <x v="3542"/>
  </r>
  <r>
    <x v="1"/>
    <x v="0"/>
    <x v="2"/>
    <x v="165"/>
    <x v="16"/>
    <x v="374"/>
    <x v="2245"/>
    <x v="3543"/>
  </r>
  <r>
    <x v="0"/>
    <x v="0"/>
    <x v="2"/>
    <x v="100"/>
    <x v="13"/>
    <x v="625"/>
    <x v="2741"/>
    <x v="3544"/>
  </r>
  <r>
    <x v="3"/>
    <x v="0"/>
    <x v="2"/>
    <x v="116"/>
    <x v="10"/>
    <x v="751"/>
    <x v="2742"/>
    <x v="3545"/>
  </r>
  <r>
    <x v="1"/>
    <x v="0"/>
    <x v="1"/>
    <x v="66"/>
    <x v="1"/>
    <x v="691"/>
    <x v="968"/>
    <x v="3546"/>
  </r>
  <r>
    <x v="0"/>
    <x v="0"/>
    <x v="0"/>
    <x v="209"/>
    <x v="6"/>
    <x v="504"/>
    <x v="2743"/>
    <x v="3547"/>
  </r>
  <r>
    <x v="1"/>
    <x v="0"/>
    <x v="1"/>
    <x v="136"/>
    <x v="1"/>
    <x v="862"/>
    <x v="2744"/>
    <x v="3548"/>
  </r>
  <r>
    <x v="1"/>
    <x v="0"/>
    <x v="1"/>
    <x v="239"/>
    <x v="0"/>
    <x v="112"/>
    <x v="2745"/>
    <x v="3549"/>
  </r>
  <r>
    <x v="1"/>
    <x v="0"/>
    <x v="1"/>
    <x v="108"/>
    <x v="3"/>
    <x v="350"/>
    <x v="2746"/>
    <x v="3550"/>
  </r>
  <r>
    <x v="1"/>
    <x v="0"/>
    <x v="1"/>
    <x v="82"/>
    <x v="5"/>
    <x v="410"/>
    <x v="2747"/>
    <x v="3551"/>
  </r>
  <r>
    <x v="0"/>
    <x v="0"/>
    <x v="0"/>
    <x v="151"/>
    <x v="10"/>
    <x v="130"/>
    <x v="2537"/>
    <x v="3552"/>
  </r>
  <r>
    <x v="0"/>
    <x v="0"/>
    <x v="0"/>
    <x v="79"/>
    <x v="13"/>
    <x v="293"/>
    <x v="2748"/>
    <x v="3553"/>
  </r>
  <r>
    <x v="0"/>
    <x v="0"/>
    <x v="2"/>
    <x v="117"/>
    <x v="8"/>
    <x v="331"/>
    <x v="2749"/>
    <x v="3554"/>
  </r>
  <r>
    <x v="1"/>
    <x v="0"/>
    <x v="2"/>
    <x v="122"/>
    <x v="3"/>
    <x v="436"/>
    <x v="2750"/>
    <x v="3555"/>
  </r>
  <r>
    <x v="3"/>
    <x v="0"/>
    <x v="2"/>
    <x v="230"/>
    <x v="13"/>
    <x v="665"/>
    <x v="2751"/>
    <x v="3556"/>
  </r>
  <r>
    <x v="2"/>
    <x v="0"/>
    <x v="2"/>
    <x v="66"/>
    <x v="6"/>
    <x v="224"/>
    <x v="107"/>
    <x v="3557"/>
  </r>
  <r>
    <x v="0"/>
    <x v="0"/>
    <x v="0"/>
    <x v="215"/>
    <x v="27"/>
    <x v="36"/>
    <x v="2662"/>
    <x v="3558"/>
  </r>
  <r>
    <x v="2"/>
    <x v="0"/>
    <x v="2"/>
    <x v="50"/>
    <x v="25"/>
    <x v="264"/>
    <x v="2752"/>
    <x v="3559"/>
  </r>
  <r>
    <x v="1"/>
    <x v="0"/>
    <x v="1"/>
    <x v="78"/>
    <x v="8"/>
    <x v="109"/>
    <x v="1020"/>
    <x v="3560"/>
  </r>
  <r>
    <x v="3"/>
    <x v="0"/>
    <x v="2"/>
    <x v="16"/>
    <x v="11"/>
    <x v="833"/>
    <x v="2753"/>
    <x v="3561"/>
  </r>
  <r>
    <x v="0"/>
    <x v="0"/>
    <x v="0"/>
    <x v="119"/>
    <x v="20"/>
    <x v="451"/>
    <x v="1373"/>
    <x v="3562"/>
  </r>
  <r>
    <x v="1"/>
    <x v="0"/>
    <x v="1"/>
    <x v="193"/>
    <x v="8"/>
    <x v="595"/>
    <x v="2754"/>
    <x v="3563"/>
  </r>
  <r>
    <x v="3"/>
    <x v="0"/>
    <x v="2"/>
    <x v="196"/>
    <x v="11"/>
    <x v="347"/>
    <x v="2755"/>
    <x v="3564"/>
  </r>
  <r>
    <x v="0"/>
    <x v="0"/>
    <x v="2"/>
    <x v="38"/>
    <x v="5"/>
    <x v="0"/>
    <x v="1550"/>
    <x v="3565"/>
  </r>
  <r>
    <x v="3"/>
    <x v="0"/>
    <x v="2"/>
    <x v="197"/>
    <x v="27"/>
    <x v="383"/>
    <x v="1005"/>
    <x v="3566"/>
  </r>
  <r>
    <x v="1"/>
    <x v="0"/>
    <x v="1"/>
    <x v="223"/>
    <x v="20"/>
    <x v="261"/>
    <x v="2469"/>
    <x v="3567"/>
  </r>
  <r>
    <x v="0"/>
    <x v="0"/>
    <x v="0"/>
    <x v="106"/>
    <x v="5"/>
    <x v="17"/>
    <x v="1448"/>
    <x v="3568"/>
  </r>
  <r>
    <x v="1"/>
    <x v="0"/>
    <x v="1"/>
    <x v="88"/>
    <x v="17"/>
    <x v="495"/>
    <x v="1704"/>
    <x v="3569"/>
  </r>
  <r>
    <x v="0"/>
    <x v="0"/>
    <x v="0"/>
    <x v="106"/>
    <x v="22"/>
    <x v="71"/>
    <x v="965"/>
    <x v="3570"/>
  </r>
  <r>
    <x v="2"/>
    <x v="0"/>
    <x v="2"/>
    <x v="226"/>
    <x v="2"/>
    <x v="2"/>
    <x v="2286"/>
    <x v="3571"/>
  </r>
  <r>
    <x v="1"/>
    <x v="0"/>
    <x v="1"/>
    <x v="66"/>
    <x v="2"/>
    <x v="2"/>
    <x v="1069"/>
    <x v="3572"/>
  </r>
  <r>
    <x v="0"/>
    <x v="0"/>
    <x v="2"/>
    <x v="187"/>
    <x v="1"/>
    <x v="530"/>
    <x v="1219"/>
    <x v="3573"/>
  </r>
  <r>
    <x v="1"/>
    <x v="0"/>
    <x v="2"/>
    <x v="152"/>
    <x v="6"/>
    <x v="544"/>
    <x v="1434"/>
    <x v="3574"/>
  </r>
  <r>
    <x v="0"/>
    <x v="0"/>
    <x v="2"/>
    <x v="71"/>
    <x v="26"/>
    <x v="217"/>
    <x v="1612"/>
    <x v="3575"/>
  </r>
  <r>
    <x v="1"/>
    <x v="0"/>
    <x v="1"/>
    <x v="156"/>
    <x v="17"/>
    <x v="0"/>
    <x v="669"/>
    <x v="3576"/>
  </r>
  <r>
    <x v="0"/>
    <x v="0"/>
    <x v="2"/>
    <x v="133"/>
    <x v="6"/>
    <x v="213"/>
    <x v="901"/>
    <x v="3577"/>
  </r>
  <r>
    <x v="3"/>
    <x v="0"/>
    <x v="2"/>
    <x v="138"/>
    <x v="11"/>
    <x v="530"/>
    <x v="2106"/>
    <x v="3578"/>
  </r>
  <r>
    <x v="3"/>
    <x v="0"/>
    <x v="2"/>
    <x v="43"/>
    <x v="22"/>
    <x v="145"/>
    <x v="2756"/>
    <x v="3579"/>
  </r>
  <r>
    <x v="3"/>
    <x v="0"/>
    <x v="2"/>
    <x v="197"/>
    <x v="8"/>
    <x v="514"/>
    <x v="801"/>
    <x v="3580"/>
  </r>
  <r>
    <x v="1"/>
    <x v="0"/>
    <x v="1"/>
    <x v="112"/>
    <x v="23"/>
    <x v="666"/>
    <x v="2757"/>
    <x v="3581"/>
  </r>
  <r>
    <x v="2"/>
    <x v="0"/>
    <x v="2"/>
    <x v="52"/>
    <x v="3"/>
    <x v="660"/>
    <x v="2758"/>
    <x v="3582"/>
  </r>
  <r>
    <x v="0"/>
    <x v="0"/>
    <x v="2"/>
    <x v="113"/>
    <x v="16"/>
    <x v="386"/>
    <x v="2759"/>
    <x v="3583"/>
  </r>
  <r>
    <x v="3"/>
    <x v="0"/>
    <x v="2"/>
    <x v="197"/>
    <x v="1"/>
    <x v="672"/>
    <x v="1197"/>
    <x v="3584"/>
  </r>
  <r>
    <x v="0"/>
    <x v="0"/>
    <x v="0"/>
    <x v="202"/>
    <x v="7"/>
    <x v="83"/>
    <x v="1945"/>
    <x v="3585"/>
  </r>
  <r>
    <x v="1"/>
    <x v="0"/>
    <x v="2"/>
    <x v="189"/>
    <x v="16"/>
    <x v="673"/>
    <x v="2760"/>
    <x v="3586"/>
  </r>
  <r>
    <x v="1"/>
    <x v="0"/>
    <x v="1"/>
    <x v="18"/>
    <x v="2"/>
    <x v="2"/>
    <x v="2761"/>
    <x v="3587"/>
  </r>
  <r>
    <x v="2"/>
    <x v="0"/>
    <x v="2"/>
    <x v="193"/>
    <x v="3"/>
    <x v="65"/>
    <x v="2762"/>
    <x v="3588"/>
  </r>
  <r>
    <x v="3"/>
    <x v="0"/>
    <x v="2"/>
    <x v="232"/>
    <x v="11"/>
    <x v="498"/>
    <x v="2763"/>
    <x v="3589"/>
  </r>
  <r>
    <x v="1"/>
    <x v="0"/>
    <x v="2"/>
    <x v="248"/>
    <x v="5"/>
    <x v="797"/>
    <x v="2474"/>
    <x v="3590"/>
  </r>
  <r>
    <x v="0"/>
    <x v="0"/>
    <x v="2"/>
    <x v="9"/>
    <x v="12"/>
    <x v="0"/>
    <x v="2764"/>
    <x v="3591"/>
  </r>
  <r>
    <x v="3"/>
    <x v="0"/>
    <x v="2"/>
    <x v="44"/>
    <x v="1"/>
    <x v="613"/>
    <x v="2765"/>
    <x v="3592"/>
  </r>
  <r>
    <x v="1"/>
    <x v="0"/>
    <x v="1"/>
    <x v="221"/>
    <x v="7"/>
    <x v="300"/>
    <x v="2766"/>
    <x v="3593"/>
  </r>
  <r>
    <x v="3"/>
    <x v="0"/>
    <x v="2"/>
    <x v="64"/>
    <x v="25"/>
    <x v="295"/>
    <x v="2767"/>
    <x v="3594"/>
  </r>
  <r>
    <x v="1"/>
    <x v="0"/>
    <x v="1"/>
    <x v="25"/>
    <x v="15"/>
    <x v="318"/>
    <x v="2768"/>
    <x v="3595"/>
  </r>
  <r>
    <x v="1"/>
    <x v="0"/>
    <x v="2"/>
    <x v="114"/>
    <x v="7"/>
    <x v="785"/>
    <x v="2271"/>
    <x v="3596"/>
  </r>
  <r>
    <x v="2"/>
    <x v="0"/>
    <x v="2"/>
    <x v="110"/>
    <x v="13"/>
    <x v="570"/>
    <x v="2769"/>
    <x v="3597"/>
  </r>
  <r>
    <x v="0"/>
    <x v="0"/>
    <x v="2"/>
    <x v="157"/>
    <x v="1"/>
    <x v="293"/>
    <x v="2770"/>
    <x v="3598"/>
  </r>
  <r>
    <x v="0"/>
    <x v="0"/>
    <x v="2"/>
    <x v="26"/>
    <x v="2"/>
    <x v="2"/>
    <x v="2771"/>
    <x v="3599"/>
  </r>
  <r>
    <x v="1"/>
    <x v="0"/>
    <x v="2"/>
    <x v="9"/>
    <x v="14"/>
    <x v="631"/>
    <x v="2772"/>
    <x v="3600"/>
  </r>
  <r>
    <x v="2"/>
    <x v="0"/>
    <x v="2"/>
    <x v="228"/>
    <x v="2"/>
    <x v="2"/>
    <x v="2773"/>
    <x v="3601"/>
  </r>
  <r>
    <x v="0"/>
    <x v="0"/>
    <x v="0"/>
    <x v="142"/>
    <x v="10"/>
    <x v="830"/>
    <x v="2774"/>
    <x v="3602"/>
  </r>
  <r>
    <x v="1"/>
    <x v="0"/>
    <x v="1"/>
    <x v="119"/>
    <x v="10"/>
    <x v="827"/>
    <x v="2775"/>
    <x v="3603"/>
  </r>
  <r>
    <x v="0"/>
    <x v="0"/>
    <x v="2"/>
    <x v="76"/>
    <x v="23"/>
    <x v="76"/>
    <x v="2776"/>
    <x v="3604"/>
  </r>
  <r>
    <x v="1"/>
    <x v="0"/>
    <x v="2"/>
    <x v="49"/>
    <x v="11"/>
    <x v="132"/>
    <x v="2185"/>
    <x v="3605"/>
  </r>
  <r>
    <x v="1"/>
    <x v="0"/>
    <x v="1"/>
    <x v="17"/>
    <x v="1"/>
    <x v="422"/>
    <x v="2031"/>
    <x v="3606"/>
  </r>
  <r>
    <x v="2"/>
    <x v="0"/>
    <x v="2"/>
    <x v="93"/>
    <x v="17"/>
    <x v="658"/>
    <x v="330"/>
    <x v="3607"/>
  </r>
  <r>
    <x v="3"/>
    <x v="0"/>
    <x v="2"/>
    <x v="218"/>
    <x v="11"/>
    <x v="545"/>
    <x v="2777"/>
    <x v="3608"/>
  </r>
  <r>
    <x v="1"/>
    <x v="0"/>
    <x v="1"/>
    <x v="196"/>
    <x v="6"/>
    <x v="201"/>
    <x v="2778"/>
    <x v="3609"/>
  </r>
  <r>
    <x v="0"/>
    <x v="0"/>
    <x v="2"/>
    <x v="107"/>
    <x v="2"/>
    <x v="2"/>
    <x v="2779"/>
    <x v="3610"/>
  </r>
  <r>
    <x v="0"/>
    <x v="0"/>
    <x v="0"/>
    <x v="8"/>
    <x v="0"/>
    <x v="8"/>
    <x v="1561"/>
    <x v="3611"/>
  </r>
  <r>
    <x v="0"/>
    <x v="0"/>
    <x v="0"/>
    <x v="246"/>
    <x v="6"/>
    <x v="516"/>
    <x v="771"/>
    <x v="3612"/>
  </r>
  <r>
    <x v="1"/>
    <x v="0"/>
    <x v="2"/>
    <x v="110"/>
    <x v="11"/>
    <x v="303"/>
    <x v="2132"/>
    <x v="3613"/>
  </r>
  <r>
    <x v="2"/>
    <x v="0"/>
    <x v="2"/>
    <x v="192"/>
    <x v="1"/>
    <x v="81"/>
    <x v="2772"/>
    <x v="3614"/>
  </r>
  <r>
    <x v="0"/>
    <x v="0"/>
    <x v="2"/>
    <x v="126"/>
    <x v="0"/>
    <x v="668"/>
    <x v="2780"/>
    <x v="3615"/>
  </r>
  <r>
    <x v="1"/>
    <x v="0"/>
    <x v="2"/>
    <x v="172"/>
    <x v="0"/>
    <x v="863"/>
    <x v="2781"/>
    <x v="3616"/>
  </r>
  <r>
    <x v="1"/>
    <x v="0"/>
    <x v="1"/>
    <x v="73"/>
    <x v="5"/>
    <x v="380"/>
    <x v="2167"/>
    <x v="3617"/>
  </r>
  <r>
    <x v="1"/>
    <x v="0"/>
    <x v="2"/>
    <x v="83"/>
    <x v="23"/>
    <x v="470"/>
    <x v="2782"/>
    <x v="3618"/>
  </r>
  <r>
    <x v="2"/>
    <x v="0"/>
    <x v="2"/>
    <x v="134"/>
    <x v="12"/>
    <x v="240"/>
    <x v="2783"/>
    <x v="3619"/>
  </r>
  <r>
    <x v="1"/>
    <x v="0"/>
    <x v="1"/>
    <x v="232"/>
    <x v="16"/>
    <x v="131"/>
    <x v="2784"/>
    <x v="3620"/>
  </r>
  <r>
    <x v="1"/>
    <x v="0"/>
    <x v="2"/>
    <x v="61"/>
    <x v="24"/>
    <x v="603"/>
    <x v="2785"/>
    <x v="3621"/>
  </r>
  <r>
    <x v="2"/>
    <x v="0"/>
    <x v="2"/>
    <x v="164"/>
    <x v="13"/>
    <x v="207"/>
    <x v="2786"/>
    <x v="3622"/>
  </r>
  <r>
    <x v="2"/>
    <x v="0"/>
    <x v="2"/>
    <x v="204"/>
    <x v="14"/>
    <x v="299"/>
    <x v="1946"/>
    <x v="3623"/>
  </r>
  <r>
    <x v="1"/>
    <x v="0"/>
    <x v="1"/>
    <x v="48"/>
    <x v="6"/>
    <x v="456"/>
    <x v="832"/>
    <x v="3624"/>
  </r>
  <r>
    <x v="1"/>
    <x v="0"/>
    <x v="1"/>
    <x v="14"/>
    <x v="7"/>
    <x v="257"/>
    <x v="2787"/>
    <x v="3625"/>
  </r>
  <r>
    <x v="0"/>
    <x v="0"/>
    <x v="2"/>
    <x v="35"/>
    <x v="20"/>
    <x v="205"/>
    <x v="692"/>
    <x v="3626"/>
  </r>
  <r>
    <x v="3"/>
    <x v="0"/>
    <x v="2"/>
    <x v="79"/>
    <x v="10"/>
    <x v="614"/>
    <x v="2616"/>
    <x v="3627"/>
  </r>
  <r>
    <x v="1"/>
    <x v="0"/>
    <x v="1"/>
    <x v="86"/>
    <x v="7"/>
    <x v="85"/>
    <x v="196"/>
    <x v="3628"/>
  </r>
  <r>
    <x v="3"/>
    <x v="0"/>
    <x v="2"/>
    <x v="160"/>
    <x v="5"/>
    <x v="259"/>
    <x v="381"/>
    <x v="3629"/>
  </r>
  <r>
    <x v="1"/>
    <x v="0"/>
    <x v="2"/>
    <x v="241"/>
    <x v="26"/>
    <x v="717"/>
    <x v="2788"/>
    <x v="3630"/>
  </r>
  <r>
    <x v="1"/>
    <x v="0"/>
    <x v="1"/>
    <x v="98"/>
    <x v="14"/>
    <x v="103"/>
    <x v="2789"/>
    <x v="3631"/>
  </r>
  <r>
    <x v="0"/>
    <x v="0"/>
    <x v="2"/>
    <x v="231"/>
    <x v="0"/>
    <x v="174"/>
    <x v="2790"/>
    <x v="3632"/>
  </r>
  <r>
    <x v="3"/>
    <x v="0"/>
    <x v="2"/>
    <x v="84"/>
    <x v="5"/>
    <x v="345"/>
    <x v="2791"/>
    <x v="3633"/>
  </r>
  <r>
    <x v="2"/>
    <x v="0"/>
    <x v="2"/>
    <x v="183"/>
    <x v="6"/>
    <x v="733"/>
    <x v="2792"/>
    <x v="3634"/>
  </r>
  <r>
    <x v="1"/>
    <x v="0"/>
    <x v="2"/>
    <x v="211"/>
    <x v="9"/>
    <x v="634"/>
    <x v="2793"/>
    <x v="3635"/>
  </r>
  <r>
    <x v="1"/>
    <x v="0"/>
    <x v="1"/>
    <x v="178"/>
    <x v="9"/>
    <x v="799"/>
    <x v="2794"/>
    <x v="3636"/>
  </r>
  <r>
    <x v="0"/>
    <x v="0"/>
    <x v="2"/>
    <x v="177"/>
    <x v="7"/>
    <x v="786"/>
    <x v="2304"/>
    <x v="3637"/>
  </r>
  <r>
    <x v="0"/>
    <x v="0"/>
    <x v="0"/>
    <x v="38"/>
    <x v="13"/>
    <x v="433"/>
    <x v="2795"/>
    <x v="3638"/>
  </r>
  <r>
    <x v="2"/>
    <x v="0"/>
    <x v="2"/>
    <x v="192"/>
    <x v="2"/>
    <x v="2"/>
    <x v="2796"/>
    <x v="3639"/>
  </r>
  <r>
    <x v="1"/>
    <x v="0"/>
    <x v="1"/>
    <x v="197"/>
    <x v="25"/>
    <x v="759"/>
    <x v="2797"/>
    <x v="3640"/>
  </r>
  <r>
    <x v="0"/>
    <x v="0"/>
    <x v="2"/>
    <x v="48"/>
    <x v="8"/>
    <x v="823"/>
    <x v="2208"/>
    <x v="3641"/>
  </r>
  <r>
    <x v="1"/>
    <x v="0"/>
    <x v="2"/>
    <x v="8"/>
    <x v="13"/>
    <x v="608"/>
    <x v="463"/>
    <x v="3642"/>
  </r>
  <r>
    <x v="1"/>
    <x v="0"/>
    <x v="2"/>
    <x v="128"/>
    <x v="5"/>
    <x v="482"/>
    <x v="2798"/>
    <x v="3643"/>
  </r>
  <r>
    <x v="3"/>
    <x v="0"/>
    <x v="2"/>
    <x v="225"/>
    <x v="6"/>
    <x v="85"/>
    <x v="2799"/>
    <x v="3644"/>
  </r>
  <r>
    <x v="0"/>
    <x v="0"/>
    <x v="0"/>
    <x v="117"/>
    <x v="14"/>
    <x v="614"/>
    <x v="2800"/>
    <x v="3645"/>
  </r>
  <r>
    <x v="2"/>
    <x v="0"/>
    <x v="2"/>
    <x v="227"/>
    <x v="3"/>
    <x v="78"/>
    <x v="2801"/>
    <x v="3646"/>
  </r>
  <r>
    <x v="0"/>
    <x v="0"/>
    <x v="2"/>
    <x v="19"/>
    <x v="7"/>
    <x v="18"/>
    <x v="1254"/>
    <x v="3647"/>
  </r>
  <r>
    <x v="3"/>
    <x v="0"/>
    <x v="2"/>
    <x v="216"/>
    <x v="1"/>
    <x v="590"/>
    <x v="2802"/>
    <x v="3648"/>
  </r>
  <r>
    <x v="0"/>
    <x v="0"/>
    <x v="2"/>
    <x v="43"/>
    <x v="5"/>
    <x v="830"/>
    <x v="134"/>
    <x v="3649"/>
  </r>
  <r>
    <x v="0"/>
    <x v="0"/>
    <x v="0"/>
    <x v="6"/>
    <x v="22"/>
    <x v="54"/>
    <x v="2360"/>
    <x v="3650"/>
  </r>
  <r>
    <x v="1"/>
    <x v="0"/>
    <x v="2"/>
    <x v="49"/>
    <x v="3"/>
    <x v="231"/>
    <x v="2157"/>
    <x v="3651"/>
  </r>
  <r>
    <x v="0"/>
    <x v="0"/>
    <x v="2"/>
    <x v="69"/>
    <x v="12"/>
    <x v="66"/>
    <x v="2803"/>
    <x v="3652"/>
  </r>
  <r>
    <x v="0"/>
    <x v="0"/>
    <x v="2"/>
    <x v="121"/>
    <x v="15"/>
    <x v="59"/>
    <x v="1494"/>
    <x v="3653"/>
  </r>
  <r>
    <x v="3"/>
    <x v="0"/>
    <x v="2"/>
    <x v="116"/>
    <x v="13"/>
    <x v="710"/>
    <x v="2804"/>
    <x v="3654"/>
  </r>
  <r>
    <x v="0"/>
    <x v="0"/>
    <x v="2"/>
    <x v="211"/>
    <x v="15"/>
    <x v="139"/>
    <x v="2805"/>
    <x v="3655"/>
  </r>
  <r>
    <x v="1"/>
    <x v="0"/>
    <x v="2"/>
    <x v="174"/>
    <x v="11"/>
    <x v="836"/>
    <x v="1088"/>
    <x v="3656"/>
  </r>
  <r>
    <x v="0"/>
    <x v="0"/>
    <x v="0"/>
    <x v="51"/>
    <x v="4"/>
    <x v="567"/>
    <x v="1619"/>
    <x v="3657"/>
  </r>
  <r>
    <x v="1"/>
    <x v="0"/>
    <x v="2"/>
    <x v="56"/>
    <x v="8"/>
    <x v="55"/>
    <x v="2806"/>
    <x v="3658"/>
  </r>
  <r>
    <x v="0"/>
    <x v="0"/>
    <x v="2"/>
    <x v="238"/>
    <x v="2"/>
    <x v="2"/>
    <x v="2622"/>
    <x v="3659"/>
  </r>
  <r>
    <x v="3"/>
    <x v="0"/>
    <x v="2"/>
    <x v="18"/>
    <x v="1"/>
    <x v="17"/>
    <x v="715"/>
    <x v="3660"/>
  </r>
  <r>
    <x v="0"/>
    <x v="0"/>
    <x v="0"/>
    <x v="3"/>
    <x v="13"/>
    <x v="210"/>
    <x v="89"/>
    <x v="3661"/>
  </r>
  <r>
    <x v="2"/>
    <x v="0"/>
    <x v="2"/>
    <x v="170"/>
    <x v="6"/>
    <x v="82"/>
    <x v="2807"/>
    <x v="3662"/>
  </r>
  <r>
    <x v="1"/>
    <x v="0"/>
    <x v="2"/>
    <x v="1"/>
    <x v="1"/>
    <x v="1"/>
    <x v="2808"/>
    <x v="3663"/>
  </r>
  <r>
    <x v="3"/>
    <x v="0"/>
    <x v="2"/>
    <x v="96"/>
    <x v="1"/>
    <x v="633"/>
    <x v="1571"/>
    <x v="3664"/>
  </r>
  <r>
    <x v="2"/>
    <x v="0"/>
    <x v="2"/>
    <x v="6"/>
    <x v="2"/>
    <x v="2"/>
    <x v="109"/>
    <x v="3665"/>
  </r>
  <r>
    <x v="3"/>
    <x v="0"/>
    <x v="2"/>
    <x v="227"/>
    <x v="18"/>
    <x v="823"/>
    <x v="662"/>
    <x v="3666"/>
  </r>
  <r>
    <x v="0"/>
    <x v="0"/>
    <x v="2"/>
    <x v="193"/>
    <x v="25"/>
    <x v="713"/>
    <x v="1154"/>
    <x v="3667"/>
  </r>
  <r>
    <x v="0"/>
    <x v="0"/>
    <x v="0"/>
    <x v="75"/>
    <x v="0"/>
    <x v="505"/>
    <x v="828"/>
    <x v="3668"/>
  </r>
  <r>
    <x v="1"/>
    <x v="0"/>
    <x v="2"/>
    <x v="228"/>
    <x v="0"/>
    <x v="619"/>
    <x v="2809"/>
    <x v="3669"/>
  </r>
  <r>
    <x v="2"/>
    <x v="0"/>
    <x v="2"/>
    <x v="82"/>
    <x v="6"/>
    <x v="251"/>
    <x v="2810"/>
    <x v="3670"/>
  </r>
  <r>
    <x v="2"/>
    <x v="0"/>
    <x v="2"/>
    <x v="49"/>
    <x v="5"/>
    <x v="390"/>
    <x v="2811"/>
    <x v="3671"/>
  </r>
  <r>
    <x v="1"/>
    <x v="0"/>
    <x v="2"/>
    <x v="205"/>
    <x v="16"/>
    <x v="407"/>
    <x v="2812"/>
    <x v="3672"/>
  </r>
  <r>
    <x v="1"/>
    <x v="0"/>
    <x v="1"/>
    <x v="204"/>
    <x v="15"/>
    <x v="699"/>
    <x v="2813"/>
    <x v="3673"/>
  </r>
  <r>
    <x v="2"/>
    <x v="0"/>
    <x v="2"/>
    <x v="248"/>
    <x v="7"/>
    <x v="564"/>
    <x v="2814"/>
    <x v="3674"/>
  </r>
  <r>
    <x v="3"/>
    <x v="0"/>
    <x v="2"/>
    <x v="177"/>
    <x v="1"/>
    <x v="310"/>
    <x v="1970"/>
    <x v="3675"/>
  </r>
  <r>
    <x v="0"/>
    <x v="0"/>
    <x v="2"/>
    <x v="118"/>
    <x v="8"/>
    <x v="582"/>
    <x v="2815"/>
    <x v="3676"/>
  </r>
  <r>
    <x v="0"/>
    <x v="0"/>
    <x v="2"/>
    <x v="238"/>
    <x v="2"/>
    <x v="2"/>
    <x v="2816"/>
    <x v="3677"/>
  </r>
  <r>
    <x v="1"/>
    <x v="0"/>
    <x v="1"/>
    <x v="141"/>
    <x v="14"/>
    <x v="368"/>
    <x v="2817"/>
    <x v="3678"/>
  </r>
  <r>
    <x v="1"/>
    <x v="0"/>
    <x v="1"/>
    <x v="104"/>
    <x v="5"/>
    <x v="336"/>
    <x v="1374"/>
    <x v="3679"/>
  </r>
  <r>
    <x v="3"/>
    <x v="0"/>
    <x v="2"/>
    <x v="141"/>
    <x v="22"/>
    <x v="421"/>
    <x v="1903"/>
    <x v="3680"/>
  </r>
  <r>
    <x v="0"/>
    <x v="0"/>
    <x v="0"/>
    <x v="154"/>
    <x v="3"/>
    <x v="224"/>
    <x v="2818"/>
    <x v="3681"/>
  </r>
  <r>
    <x v="2"/>
    <x v="0"/>
    <x v="2"/>
    <x v="80"/>
    <x v="11"/>
    <x v="315"/>
    <x v="1457"/>
    <x v="3682"/>
  </r>
  <r>
    <x v="1"/>
    <x v="0"/>
    <x v="2"/>
    <x v="92"/>
    <x v="15"/>
    <x v="120"/>
    <x v="2819"/>
    <x v="3683"/>
  </r>
  <r>
    <x v="0"/>
    <x v="0"/>
    <x v="2"/>
    <x v="205"/>
    <x v="13"/>
    <x v="782"/>
    <x v="307"/>
    <x v="3684"/>
  </r>
  <r>
    <x v="2"/>
    <x v="0"/>
    <x v="2"/>
    <x v="50"/>
    <x v="4"/>
    <x v="198"/>
    <x v="2820"/>
    <x v="3685"/>
  </r>
  <r>
    <x v="3"/>
    <x v="0"/>
    <x v="2"/>
    <x v="167"/>
    <x v="17"/>
    <x v="212"/>
    <x v="1957"/>
    <x v="3686"/>
  </r>
  <r>
    <x v="0"/>
    <x v="0"/>
    <x v="0"/>
    <x v="95"/>
    <x v="20"/>
    <x v="452"/>
    <x v="2821"/>
    <x v="3687"/>
  </r>
  <r>
    <x v="0"/>
    <x v="0"/>
    <x v="2"/>
    <x v="165"/>
    <x v="2"/>
    <x v="2"/>
    <x v="1442"/>
    <x v="3688"/>
  </r>
  <r>
    <x v="3"/>
    <x v="0"/>
    <x v="2"/>
    <x v="140"/>
    <x v="16"/>
    <x v="674"/>
    <x v="676"/>
    <x v="3689"/>
  </r>
  <r>
    <x v="0"/>
    <x v="0"/>
    <x v="2"/>
    <x v="132"/>
    <x v="27"/>
    <x v="0"/>
    <x v="2822"/>
    <x v="3690"/>
  </r>
  <r>
    <x v="1"/>
    <x v="0"/>
    <x v="1"/>
    <x v="204"/>
    <x v="8"/>
    <x v="351"/>
    <x v="1182"/>
    <x v="3691"/>
  </r>
  <r>
    <x v="0"/>
    <x v="0"/>
    <x v="2"/>
    <x v="82"/>
    <x v="10"/>
    <x v="163"/>
    <x v="2823"/>
    <x v="3692"/>
  </r>
  <r>
    <x v="1"/>
    <x v="0"/>
    <x v="1"/>
    <x v="73"/>
    <x v="5"/>
    <x v="380"/>
    <x v="2824"/>
    <x v="3693"/>
  </r>
  <r>
    <x v="1"/>
    <x v="0"/>
    <x v="1"/>
    <x v="157"/>
    <x v="0"/>
    <x v="864"/>
    <x v="2825"/>
    <x v="3694"/>
  </r>
  <r>
    <x v="0"/>
    <x v="0"/>
    <x v="0"/>
    <x v="106"/>
    <x v="1"/>
    <x v="93"/>
    <x v="2826"/>
    <x v="3695"/>
  </r>
  <r>
    <x v="0"/>
    <x v="0"/>
    <x v="2"/>
    <x v="63"/>
    <x v="20"/>
    <x v="219"/>
    <x v="2424"/>
    <x v="3696"/>
  </r>
  <r>
    <x v="2"/>
    <x v="0"/>
    <x v="2"/>
    <x v="249"/>
    <x v="1"/>
    <x v="604"/>
    <x v="2827"/>
    <x v="3697"/>
  </r>
  <r>
    <x v="0"/>
    <x v="0"/>
    <x v="2"/>
    <x v="221"/>
    <x v="9"/>
    <x v="80"/>
    <x v="2828"/>
    <x v="3698"/>
  </r>
  <r>
    <x v="0"/>
    <x v="0"/>
    <x v="2"/>
    <x v="42"/>
    <x v="15"/>
    <x v="799"/>
    <x v="454"/>
    <x v="3699"/>
  </r>
  <r>
    <x v="1"/>
    <x v="0"/>
    <x v="2"/>
    <x v="7"/>
    <x v="7"/>
    <x v="334"/>
    <x v="2829"/>
    <x v="3700"/>
  </r>
  <r>
    <x v="1"/>
    <x v="0"/>
    <x v="1"/>
    <x v="114"/>
    <x v="2"/>
    <x v="2"/>
    <x v="2830"/>
    <x v="3701"/>
  </r>
  <r>
    <x v="2"/>
    <x v="0"/>
    <x v="2"/>
    <x v="182"/>
    <x v="10"/>
    <x v="508"/>
    <x v="2831"/>
    <x v="3702"/>
  </r>
  <r>
    <x v="2"/>
    <x v="0"/>
    <x v="2"/>
    <x v="240"/>
    <x v="17"/>
    <x v="465"/>
    <x v="714"/>
    <x v="3703"/>
  </r>
  <r>
    <x v="2"/>
    <x v="0"/>
    <x v="2"/>
    <x v="160"/>
    <x v="22"/>
    <x v="469"/>
    <x v="2832"/>
    <x v="3704"/>
  </r>
  <r>
    <x v="2"/>
    <x v="0"/>
    <x v="2"/>
    <x v="146"/>
    <x v="13"/>
    <x v="549"/>
    <x v="1436"/>
    <x v="3705"/>
  </r>
  <r>
    <x v="1"/>
    <x v="0"/>
    <x v="2"/>
    <x v="85"/>
    <x v="26"/>
    <x v="865"/>
    <x v="2745"/>
    <x v="3706"/>
  </r>
  <r>
    <x v="3"/>
    <x v="0"/>
    <x v="2"/>
    <x v="180"/>
    <x v="6"/>
    <x v="578"/>
    <x v="1055"/>
    <x v="3707"/>
  </r>
  <r>
    <x v="1"/>
    <x v="0"/>
    <x v="1"/>
    <x v="210"/>
    <x v="1"/>
    <x v="403"/>
    <x v="2833"/>
    <x v="3708"/>
  </r>
  <r>
    <x v="1"/>
    <x v="0"/>
    <x v="1"/>
    <x v="29"/>
    <x v="14"/>
    <x v="824"/>
    <x v="327"/>
    <x v="3709"/>
  </r>
  <r>
    <x v="1"/>
    <x v="0"/>
    <x v="2"/>
    <x v="98"/>
    <x v="18"/>
    <x v="497"/>
    <x v="2834"/>
    <x v="3710"/>
  </r>
  <r>
    <x v="2"/>
    <x v="0"/>
    <x v="2"/>
    <x v="212"/>
    <x v="3"/>
    <x v="122"/>
    <x v="628"/>
    <x v="3711"/>
  </r>
  <r>
    <x v="0"/>
    <x v="0"/>
    <x v="2"/>
    <x v="114"/>
    <x v="11"/>
    <x v="732"/>
    <x v="2835"/>
    <x v="3712"/>
  </r>
  <r>
    <x v="0"/>
    <x v="0"/>
    <x v="0"/>
    <x v="196"/>
    <x v="15"/>
    <x v="729"/>
    <x v="233"/>
    <x v="3713"/>
  </r>
  <r>
    <x v="1"/>
    <x v="0"/>
    <x v="2"/>
    <x v="205"/>
    <x v="13"/>
    <x v="782"/>
    <x v="2836"/>
    <x v="3714"/>
  </r>
  <r>
    <x v="3"/>
    <x v="0"/>
    <x v="2"/>
    <x v="133"/>
    <x v="0"/>
    <x v="52"/>
    <x v="2837"/>
    <x v="3715"/>
  </r>
  <r>
    <x v="1"/>
    <x v="0"/>
    <x v="2"/>
    <x v="205"/>
    <x v="14"/>
    <x v="202"/>
    <x v="190"/>
    <x v="3716"/>
  </r>
  <r>
    <x v="1"/>
    <x v="0"/>
    <x v="1"/>
    <x v="2"/>
    <x v="5"/>
    <x v="68"/>
    <x v="2838"/>
    <x v="3717"/>
  </r>
  <r>
    <x v="2"/>
    <x v="0"/>
    <x v="2"/>
    <x v="0"/>
    <x v="5"/>
    <x v="142"/>
    <x v="2763"/>
    <x v="3718"/>
  </r>
  <r>
    <x v="3"/>
    <x v="0"/>
    <x v="2"/>
    <x v="148"/>
    <x v="5"/>
    <x v="26"/>
    <x v="938"/>
    <x v="3719"/>
  </r>
  <r>
    <x v="0"/>
    <x v="0"/>
    <x v="2"/>
    <x v="59"/>
    <x v="22"/>
    <x v="484"/>
    <x v="2839"/>
    <x v="3720"/>
  </r>
  <r>
    <x v="2"/>
    <x v="0"/>
    <x v="2"/>
    <x v="117"/>
    <x v="17"/>
    <x v="66"/>
    <x v="2818"/>
    <x v="3721"/>
  </r>
  <r>
    <x v="1"/>
    <x v="0"/>
    <x v="1"/>
    <x v="41"/>
    <x v="4"/>
    <x v="225"/>
    <x v="2725"/>
    <x v="3722"/>
  </r>
  <r>
    <x v="2"/>
    <x v="0"/>
    <x v="2"/>
    <x v="208"/>
    <x v="26"/>
    <x v="48"/>
    <x v="801"/>
    <x v="3723"/>
  </r>
  <r>
    <x v="3"/>
    <x v="0"/>
    <x v="2"/>
    <x v="50"/>
    <x v="4"/>
    <x v="198"/>
    <x v="1024"/>
    <x v="3724"/>
  </r>
  <r>
    <x v="0"/>
    <x v="0"/>
    <x v="0"/>
    <x v="225"/>
    <x v="6"/>
    <x v="85"/>
    <x v="2840"/>
    <x v="3725"/>
  </r>
  <r>
    <x v="2"/>
    <x v="0"/>
    <x v="2"/>
    <x v="154"/>
    <x v="9"/>
    <x v="198"/>
    <x v="2565"/>
    <x v="3726"/>
  </r>
  <r>
    <x v="0"/>
    <x v="0"/>
    <x v="2"/>
    <x v="138"/>
    <x v="25"/>
    <x v="701"/>
    <x v="147"/>
    <x v="3727"/>
  </r>
  <r>
    <x v="3"/>
    <x v="0"/>
    <x v="2"/>
    <x v="118"/>
    <x v="17"/>
    <x v="690"/>
    <x v="2390"/>
    <x v="3728"/>
  </r>
  <r>
    <x v="1"/>
    <x v="0"/>
    <x v="1"/>
    <x v="158"/>
    <x v="6"/>
    <x v="148"/>
    <x v="2841"/>
    <x v="3729"/>
  </r>
  <r>
    <x v="3"/>
    <x v="0"/>
    <x v="2"/>
    <x v="148"/>
    <x v="7"/>
    <x v="0"/>
    <x v="2842"/>
    <x v="3730"/>
  </r>
  <r>
    <x v="0"/>
    <x v="0"/>
    <x v="2"/>
    <x v="154"/>
    <x v="24"/>
    <x v="196"/>
    <x v="1654"/>
    <x v="3731"/>
  </r>
  <r>
    <x v="0"/>
    <x v="0"/>
    <x v="2"/>
    <x v="227"/>
    <x v="25"/>
    <x v="398"/>
    <x v="2843"/>
    <x v="3732"/>
  </r>
  <r>
    <x v="0"/>
    <x v="0"/>
    <x v="0"/>
    <x v="245"/>
    <x v="0"/>
    <x v="511"/>
    <x v="2727"/>
    <x v="3733"/>
  </r>
  <r>
    <x v="1"/>
    <x v="0"/>
    <x v="1"/>
    <x v="104"/>
    <x v="6"/>
    <x v="112"/>
    <x v="2844"/>
    <x v="3734"/>
  </r>
  <r>
    <x v="0"/>
    <x v="0"/>
    <x v="0"/>
    <x v="87"/>
    <x v="1"/>
    <x v="498"/>
    <x v="2845"/>
    <x v="3735"/>
  </r>
  <r>
    <x v="2"/>
    <x v="0"/>
    <x v="2"/>
    <x v="186"/>
    <x v="13"/>
    <x v="607"/>
    <x v="1316"/>
    <x v="3736"/>
  </r>
  <r>
    <x v="1"/>
    <x v="0"/>
    <x v="1"/>
    <x v="107"/>
    <x v="5"/>
    <x v="270"/>
    <x v="2846"/>
    <x v="3737"/>
  </r>
  <r>
    <x v="1"/>
    <x v="0"/>
    <x v="2"/>
    <x v="152"/>
    <x v="5"/>
    <x v="153"/>
    <x v="2847"/>
    <x v="3738"/>
  </r>
  <r>
    <x v="0"/>
    <x v="0"/>
    <x v="2"/>
    <x v="240"/>
    <x v="25"/>
    <x v="866"/>
    <x v="2624"/>
    <x v="3739"/>
  </r>
  <r>
    <x v="2"/>
    <x v="0"/>
    <x v="2"/>
    <x v="159"/>
    <x v="7"/>
    <x v="622"/>
    <x v="2622"/>
    <x v="3740"/>
  </r>
  <r>
    <x v="1"/>
    <x v="0"/>
    <x v="2"/>
    <x v="174"/>
    <x v="15"/>
    <x v="776"/>
    <x v="2848"/>
    <x v="3741"/>
  </r>
  <r>
    <x v="1"/>
    <x v="0"/>
    <x v="1"/>
    <x v="82"/>
    <x v="0"/>
    <x v="81"/>
    <x v="2849"/>
    <x v="3742"/>
  </r>
  <r>
    <x v="2"/>
    <x v="0"/>
    <x v="2"/>
    <x v="236"/>
    <x v="7"/>
    <x v="52"/>
    <x v="2850"/>
    <x v="3743"/>
  </r>
  <r>
    <x v="0"/>
    <x v="0"/>
    <x v="0"/>
    <x v="90"/>
    <x v="13"/>
    <x v="579"/>
    <x v="2851"/>
    <x v="3744"/>
  </r>
  <r>
    <x v="1"/>
    <x v="0"/>
    <x v="1"/>
    <x v="38"/>
    <x v="2"/>
    <x v="2"/>
    <x v="1828"/>
    <x v="3745"/>
  </r>
  <r>
    <x v="3"/>
    <x v="0"/>
    <x v="2"/>
    <x v="61"/>
    <x v="14"/>
    <x v="536"/>
    <x v="74"/>
    <x v="3746"/>
  </r>
  <r>
    <x v="1"/>
    <x v="0"/>
    <x v="2"/>
    <x v="186"/>
    <x v="11"/>
    <x v="121"/>
    <x v="2852"/>
    <x v="3747"/>
  </r>
  <r>
    <x v="0"/>
    <x v="0"/>
    <x v="0"/>
    <x v="4"/>
    <x v="25"/>
    <x v="867"/>
    <x v="586"/>
    <x v="3748"/>
  </r>
  <r>
    <x v="0"/>
    <x v="0"/>
    <x v="2"/>
    <x v="220"/>
    <x v="0"/>
    <x v="410"/>
    <x v="2853"/>
    <x v="3749"/>
  </r>
  <r>
    <x v="3"/>
    <x v="0"/>
    <x v="2"/>
    <x v="163"/>
    <x v="9"/>
    <x v="487"/>
    <x v="2854"/>
    <x v="3750"/>
  </r>
  <r>
    <x v="0"/>
    <x v="0"/>
    <x v="0"/>
    <x v="15"/>
    <x v="15"/>
    <x v="142"/>
    <x v="2401"/>
    <x v="3751"/>
  </r>
  <r>
    <x v="1"/>
    <x v="0"/>
    <x v="2"/>
    <x v="48"/>
    <x v="10"/>
    <x v="559"/>
    <x v="2855"/>
    <x v="3752"/>
  </r>
  <r>
    <x v="0"/>
    <x v="0"/>
    <x v="2"/>
    <x v="171"/>
    <x v="9"/>
    <x v="157"/>
    <x v="2856"/>
    <x v="3753"/>
  </r>
  <r>
    <x v="2"/>
    <x v="0"/>
    <x v="2"/>
    <x v="151"/>
    <x v="16"/>
    <x v="529"/>
    <x v="1874"/>
    <x v="3754"/>
  </r>
  <r>
    <x v="0"/>
    <x v="0"/>
    <x v="2"/>
    <x v="61"/>
    <x v="2"/>
    <x v="2"/>
    <x v="2857"/>
    <x v="3755"/>
  </r>
  <r>
    <x v="2"/>
    <x v="0"/>
    <x v="2"/>
    <x v="111"/>
    <x v="10"/>
    <x v="820"/>
    <x v="1957"/>
    <x v="3756"/>
  </r>
  <r>
    <x v="0"/>
    <x v="0"/>
    <x v="2"/>
    <x v="121"/>
    <x v="10"/>
    <x v="775"/>
    <x v="2858"/>
    <x v="3757"/>
  </r>
  <r>
    <x v="0"/>
    <x v="0"/>
    <x v="0"/>
    <x v="195"/>
    <x v="7"/>
    <x v="636"/>
    <x v="98"/>
    <x v="3758"/>
  </r>
  <r>
    <x v="2"/>
    <x v="0"/>
    <x v="2"/>
    <x v="73"/>
    <x v="15"/>
    <x v="452"/>
    <x v="2859"/>
    <x v="3759"/>
  </r>
  <r>
    <x v="1"/>
    <x v="0"/>
    <x v="1"/>
    <x v="94"/>
    <x v="13"/>
    <x v="425"/>
    <x v="2860"/>
    <x v="3760"/>
  </r>
  <r>
    <x v="1"/>
    <x v="0"/>
    <x v="1"/>
    <x v="135"/>
    <x v="22"/>
    <x v="211"/>
    <x v="531"/>
    <x v="3761"/>
  </r>
  <r>
    <x v="1"/>
    <x v="0"/>
    <x v="1"/>
    <x v="177"/>
    <x v="1"/>
    <x v="310"/>
    <x v="931"/>
    <x v="3762"/>
  </r>
  <r>
    <x v="1"/>
    <x v="0"/>
    <x v="2"/>
    <x v="224"/>
    <x v="0"/>
    <x v="64"/>
    <x v="2861"/>
    <x v="3763"/>
  </r>
  <r>
    <x v="0"/>
    <x v="0"/>
    <x v="0"/>
    <x v="105"/>
    <x v="11"/>
    <x v="333"/>
    <x v="1428"/>
    <x v="3764"/>
  </r>
  <r>
    <x v="1"/>
    <x v="0"/>
    <x v="1"/>
    <x v="21"/>
    <x v="2"/>
    <x v="2"/>
    <x v="2862"/>
    <x v="3765"/>
  </r>
  <r>
    <x v="3"/>
    <x v="0"/>
    <x v="2"/>
    <x v="164"/>
    <x v="0"/>
    <x v="729"/>
    <x v="1973"/>
    <x v="3766"/>
  </r>
  <r>
    <x v="3"/>
    <x v="0"/>
    <x v="2"/>
    <x v="186"/>
    <x v="12"/>
    <x v="186"/>
    <x v="2863"/>
    <x v="3767"/>
  </r>
  <r>
    <x v="2"/>
    <x v="0"/>
    <x v="2"/>
    <x v="224"/>
    <x v="6"/>
    <x v="725"/>
    <x v="1111"/>
    <x v="3768"/>
  </r>
  <r>
    <x v="2"/>
    <x v="0"/>
    <x v="2"/>
    <x v="26"/>
    <x v="3"/>
    <x v="470"/>
    <x v="2864"/>
    <x v="3769"/>
  </r>
  <r>
    <x v="0"/>
    <x v="0"/>
    <x v="2"/>
    <x v="87"/>
    <x v="10"/>
    <x v="868"/>
    <x v="432"/>
    <x v="3770"/>
  </r>
  <r>
    <x v="3"/>
    <x v="0"/>
    <x v="2"/>
    <x v="160"/>
    <x v="2"/>
    <x v="2"/>
    <x v="1794"/>
    <x v="3771"/>
  </r>
  <r>
    <x v="3"/>
    <x v="0"/>
    <x v="2"/>
    <x v="236"/>
    <x v="1"/>
    <x v="828"/>
    <x v="2377"/>
    <x v="3772"/>
  </r>
  <r>
    <x v="1"/>
    <x v="0"/>
    <x v="2"/>
    <x v="243"/>
    <x v="8"/>
    <x v="85"/>
    <x v="983"/>
    <x v="3773"/>
  </r>
  <r>
    <x v="0"/>
    <x v="0"/>
    <x v="0"/>
    <x v="163"/>
    <x v="18"/>
    <x v="326"/>
    <x v="2865"/>
    <x v="3774"/>
  </r>
  <r>
    <x v="1"/>
    <x v="0"/>
    <x v="1"/>
    <x v="27"/>
    <x v="1"/>
    <x v="282"/>
    <x v="2866"/>
    <x v="3775"/>
  </r>
  <r>
    <x v="3"/>
    <x v="0"/>
    <x v="2"/>
    <x v="39"/>
    <x v="5"/>
    <x v="36"/>
    <x v="2867"/>
    <x v="3776"/>
  </r>
  <r>
    <x v="2"/>
    <x v="0"/>
    <x v="2"/>
    <x v="86"/>
    <x v="11"/>
    <x v="728"/>
    <x v="2868"/>
    <x v="3777"/>
  </r>
  <r>
    <x v="1"/>
    <x v="0"/>
    <x v="1"/>
    <x v="68"/>
    <x v="8"/>
    <x v="26"/>
    <x v="2869"/>
    <x v="3778"/>
  </r>
  <r>
    <x v="1"/>
    <x v="0"/>
    <x v="1"/>
    <x v="126"/>
    <x v="15"/>
    <x v="334"/>
    <x v="270"/>
    <x v="3779"/>
  </r>
  <r>
    <x v="0"/>
    <x v="0"/>
    <x v="2"/>
    <x v="240"/>
    <x v="18"/>
    <x v="68"/>
    <x v="2870"/>
    <x v="3780"/>
  </r>
  <r>
    <x v="3"/>
    <x v="0"/>
    <x v="2"/>
    <x v="201"/>
    <x v="23"/>
    <x v="849"/>
    <x v="2835"/>
    <x v="3781"/>
  </r>
  <r>
    <x v="1"/>
    <x v="0"/>
    <x v="2"/>
    <x v="40"/>
    <x v="6"/>
    <x v="641"/>
    <x v="2871"/>
    <x v="3782"/>
  </r>
  <r>
    <x v="1"/>
    <x v="0"/>
    <x v="1"/>
    <x v="121"/>
    <x v="0"/>
    <x v="159"/>
    <x v="2872"/>
    <x v="3783"/>
  </r>
  <r>
    <x v="1"/>
    <x v="0"/>
    <x v="1"/>
    <x v="250"/>
    <x v="11"/>
    <x v="863"/>
    <x v="2873"/>
    <x v="3784"/>
  </r>
  <r>
    <x v="0"/>
    <x v="0"/>
    <x v="0"/>
    <x v="54"/>
    <x v="14"/>
    <x v="321"/>
    <x v="2874"/>
    <x v="3785"/>
  </r>
  <r>
    <x v="0"/>
    <x v="0"/>
    <x v="2"/>
    <x v="247"/>
    <x v="2"/>
    <x v="2"/>
    <x v="1142"/>
    <x v="3786"/>
  </r>
  <r>
    <x v="0"/>
    <x v="0"/>
    <x v="2"/>
    <x v="229"/>
    <x v="28"/>
    <x v="493"/>
    <x v="2786"/>
    <x v="3787"/>
  </r>
  <r>
    <x v="1"/>
    <x v="0"/>
    <x v="2"/>
    <x v="49"/>
    <x v="13"/>
    <x v="543"/>
    <x v="2160"/>
    <x v="3788"/>
  </r>
  <r>
    <x v="0"/>
    <x v="0"/>
    <x v="2"/>
    <x v="123"/>
    <x v="13"/>
    <x v="146"/>
    <x v="1083"/>
    <x v="3789"/>
  </r>
  <r>
    <x v="3"/>
    <x v="0"/>
    <x v="2"/>
    <x v="52"/>
    <x v="2"/>
    <x v="2"/>
    <x v="2875"/>
    <x v="3790"/>
  </r>
  <r>
    <x v="2"/>
    <x v="0"/>
    <x v="2"/>
    <x v="10"/>
    <x v="5"/>
    <x v="126"/>
    <x v="2876"/>
    <x v="3791"/>
  </r>
  <r>
    <x v="3"/>
    <x v="0"/>
    <x v="2"/>
    <x v="150"/>
    <x v="0"/>
    <x v="811"/>
    <x v="2758"/>
    <x v="3792"/>
  </r>
  <r>
    <x v="0"/>
    <x v="0"/>
    <x v="0"/>
    <x v="186"/>
    <x v="11"/>
    <x v="121"/>
    <x v="277"/>
    <x v="3793"/>
  </r>
  <r>
    <x v="0"/>
    <x v="0"/>
    <x v="2"/>
    <x v="83"/>
    <x v="0"/>
    <x v="835"/>
    <x v="2071"/>
    <x v="3794"/>
  </r>
  <r>
    <x v="0"/>
    <x v="0"/>
    <x v="2"/>
    <x v="89"/>
    <x v="7"/>
    <x v="840"/>
    <x v="2877"/>
    <x v="3795"/>
  </r>
  <r>
    <x v="1"/>
    <x v="0"/>
    <x v="1"/>
    <x v="145"/>
    <x v="7"/>
    <x v="646"/>
    <x v="2441"/>
    <x v="3796"/>
  </r>
  <r>
    <x v="3"/>
    <x v="0"/>
    <x v="2"/>
    <x v="15"/>
    <x v="0"/>
    <x v="283"/>
    <x v="2878"/>
    <x v="3797"/>
  </r>
  <r>
    <x v="0"/>
    <x v="0"/>
    <x v="2"/>
    <x v="56"/>
    <x v="0"/>
    <x v="60"/>
    <x v="1452"/>
    <x v="3798"/>
  </r>
  <r>
    <x v="2"/>
    <x v="0"/>
    <x v="2"/>
    <x v="150"/>
    <x v="10"/>
    <x v="869"/>
    <x v="2879"/>
    <x v="3799"/>
  </r>
  <r>
    <x v="2"/>
    <x v="0"/>
    <x v="2"/>
    <x v="215"/>
    <x v="17"/>
    <x v="241"/>
    <x v="2880"/>
    <x v="3800"/>
  </r>
  <r>
    <x v="0"/>
    <x v="0"/>
    <x v="0"/>
    <x v="130"/>
    <x v="10"/>
    <x v="676"/>
    <x v="2881"/>
    <x v="3801"/>
  </r>
  <r>
    <x v="0"/>
    <x v="0"/>
    <x v="2"/>
    <x v="1"/>
    <x v="15"/>
    <x v="202"/>
    <x v="2882"/>
    <x v="3802"/>
  </r>
  <r>
    <x v="3"/>
    <x v="0"/>
    <x v="2"/>
    <x v="180"/>
    <x v="13"/>
    <x v="14"/>
    <x v="2883"/>
    <x v="3803"/>
  </r>
  <r>
    <x v="0"/>
    <x v="0"/>
    <x v="0"/>
    <x v="235"/>
    <x v="12"/>
    <x v="6"/>
    <x v="2153"/>
    <x v="3804"/>
  </r>
  <r>
    <x v="3"/>
    <x v="0"/>
    <x v="2"/>
    <x v="185"/>
    <x v="1"/>
    <x v="314"/>
    <x v="504"/>
    <x v="3805"/>
  </r>
  <r>
    <x v="0"/>
    <x v="0"/>
    <x v="2"/>
    <x v="177"/>
    <x v="15"/>
    <x v="711"/>
    <x v="2884"/>
    <x v="3806"/>
  </r>
  <r>
    <x v="0"/>
    <x v="0"/>
    <x v="0"/>
    <x v="206"/>
    <x v="10"/>
    <x v="631"/>
    <x v="2885"/>
    <x v="3807"/>
  </r>
  <r>
    <x v="0"/>
    <x v="0"/>
    <x v="2"/>
    <x v="192"/>
    <x v="11"/>
    <x v="251"/>
    <x v="1007"/>
    <x v="3808"/>
  </r>
  <r>
    <x v="0"/>
    <x v="0"/>
    <x v="2"/>
    <x v="98"/>
    <x v="13"/>
    <x v="319"/>
    <x v="2886"/>
    <x v="3809"/>
  </r>
  <r>
    <x v="2"/>
    <x v="0"/>
    <x v="2"/>
    <x v="215"/>
    <x v="15"/>
    <x v="628"/>
    <x v="2887"/>
    <x v="3810"/>
  </r>
  <r>
    <x v="2"/>
    <x v="0"/>
    <x v="2"/>
    <x v="168"/>
    <x v="25"/>
    <x v="368"/>
    <x v="2888"/>
    <x v="3811"/>
  </r>
  <r>
    <x v="2"/>
    <x v="0"/>
    <x v="2"/>
    <x v="159"/>
    <x v="4"/>
    <x v="39"/>
    <x v="2889"/>
    <x v="3812"/>
  </r>
  <r>
    <x v="0"/>
    <x v="0"/>
    <x v="0"/>
    <x v="32"/>
    <x v="2"/>
    <x v="2"/>
    <x v="2890"/>
    <x v="3813"/>
  </r>
  <r>
    <x v="2"/>
    <x v="0"/>
    <x v="2"/>
    <x v="145"/>
    <x v="8"/>
    <x v="521"/>
    <x v="2891"/>
    <x v="3814"/>
  </r>
  <r>
    <x v="0"/>
    <x v="0"/>
    <x v="0"/>
    <x v="120"/>
    <x v="1"/>
    <x v="441"/>
    <x v="2892"/>
    <x v="3815"/>
  </r>
  <r>
    <x v="0"/>
    <x v="0"/>
    <x v="0"/>
    <x v="129"/>
    <x v="4"/>
    <x v="717"/>
    <x v="2893"/>
    <x v="3816"/>
  </r>
  <r>
    <x v="0"/>
    <x v="0"/>
    <x v="2"/>
    <x v="212"/>
    <x v="7"/>
    <x v="26"/>
    <x v="1634"/>
    <x v="3817"/>
  </r>
  <r>
    <x v="1"/>
    <x v="0"/>
    <x v="1"/>
    <x v="87"/>
    <x v="23"/>
    <x v="459"/>
    <x v="2760"/>
    <x v="3818"/>
  </r>
  <r>
    <x v="3"/>
    <x v="0"/>
    <x v="2"/>
    <x v="30"/>
    <x v="6"/>
    <x v="237"/>
    <x v="1741"/>
    <x v="3819"/>
  </r>
  <r>
    <x v="3"/>
    <x v="0"/>
    <x v="2"/>
    <x v="239"/>
    <x v="7"/>
    <x v="870"/>
    <x v="2894"/>
    <x v="3820"/>
  </r>
  <r>
    <x v="1"/>
    <x v="0"/>
    <x v="2"/>
    <x v="249"/>
    <x v="1"/>
    <x v="604"/>
    <x v="2895"/>
    <x v="3821"/>
  </r>
  <r>
    <x v="2"/>
    <x v="0"/>
    <x v="2"/>
    <x v="29"/>
    <x v="15"/>
    <x v="810"/>
    <x v="1770"/>
    <x v="3822"/>
  </r>
  <r>
    <x v="0"/>
    <x v="0"/>
    <x v="2"/>
    <x v="45"/>
    <x v="0"/>
    <x v="15"/>
    <x v="1571"/>
    <x v="3823"/>
  </r>
  <r>
    <x v="0"/>
    <x v="0"/>
    <x v="0"/>
    <x v="62"/>
    <x v="0"/>
    <x v="367"/>
    <x v="2896"/>
    <x v="3812"/>
  </r>
  <r>
    <x v="1"/>
    <x v="0"/>
    <x v="1"/>
    <x v="131"/>
    <x v="9"/>
    <x v="362"/>
    <x v="2897"/>
    <x v="3824"/>
  </r>
  <r>
    <x v="2"/>
    <x v="0"/>
    <x v="2"/>
    <x v="237"/>
    <x v="0"/>
    <x v="287"/>
    <x v="706"/>
    <x v="3825"/>
  </r>
  <r>
    <x v="1"/>
    <x v="0"/>
    <x v="2"/>
    <x v="128"/>
    <x v="2"/>
    <x v="2"/>
    <x v="2898"/>
    <x v="3826"/>
  </r>
  <r>
    <x v="1"/>
    <x v="0"/>
    <x v="2"/>
    <x v="0"/>
    <x v="11"/>
    <x v="213"/>
    <x v="2899"/>
    <x v="3827"/>
  </r>
  <r>
    <x v="1"/>
    <x v="0"/>
    <x v="2"/>
    <x v="25"/>
    <x v="22"/>
    <x v="374"/>
    <x v="1129"/>
    <x v="3828"/>
  </r>
  <r>
    <x v="1"/>
    <x v="0"/>
    <x v="2"/>
    <x v="106"/>
    <x v="10"/>
    <x v="289"/>
    <x v="2900"/>
    <x v="3829"/>
  </r>
  <r>
    <x v="0"/>
    <x v="0"/>
    <x v="2"/>
    <x v="239"/>
    <x v="10"/>
    <x v="844"/>
    <x v="2901"/>
    <x v="3830"/>
  </r>
  <r>
    <x v="1"/>
    <x v="0"/>
    <x v="2"/>
    <x v="37"/>
    <x v="7"/>
    <x v="161"/>
    <x v="2902"/>
    <x v="3831"/>
  </r>
  <r>
    <x v="3"/>
    <x v="0"/>
    <x v="2"/>
    <x v="156"/>
    <x v="10"/>
    <x v="143"/>
    <x v="2903"/>
    <x v="3832"/>
  </r>
  <r>
    <x v="1"/>
    <x v="0"/>
    <x v="1"/>
    <x v="3"/>
    <x v="18"/>
    <x v="438"/>
    <x v="2904"/>
    <x v="3833"/>
  </r>
  <r>
    <x v="0"/>
    <x v="0"/>
    <x v="0"/>
    <x v="235"/>
    <x v="7"/>
    <x v="669"/>
    <x v="1329"/>
    <x v="3834"/>
  </r>
  <r>
    <x v="1"/>
    <x v="0"/>
    <x v="1"/>
    <x v="79"/>
    <x v="2"/>
    <x v="2"/>
    <x v="2905"/>
    <x v="3835"/>
  </r>
  <r>
    <x v="0"/>
    <x v="0"/>
    <x v="2"/>
    <x v="236"/>
    <x v="13"/>
    <x v="360"/>
    <x v="97"/>
    <x v="3836"/>
  </r>
  <r>
    <x v="0"/>
    <x v="0"/>
    <x v="0"/>
    <x v="27"/>
    <x v="0"/>
    <x v="314"/>
    <x v="2906"/>
    <x v="3837"/>
  </r>
  <r>
    <x v="0"/>
    <x v="0"/>
    <x v="2"/>
    <x v="93"/>
    <x v="24"/>
    <x v="489"/>
    <x v="2907"/>
    <x v="3838"/>
  </r>
  <r>
    <x v="2"/>
    <x v="0"/>
    <x v="2"/>
    <x v="68"/>
    <x v="21"/>
    <x v="328"/>
    <x v="2908"/>
    <x v="3839"/>
  </r>
  <r>
    <x v="1"/>
    <x v="0"/>
    <x v="1"/>
    <x v="171"/>
    <x v="14"/>
    <x v="312"/>
    <x v="2909"/>
    <x v="3840"/>
  </r>
  <r>
    <x v="0"/>
    <x v="0"/>
    <x v="0"/>
    <x v="46"/>
    <x v="30"/>
    <x v="801"/>
    <x v="2910"/>
    <x v="3841"/>
  </r>
  <r>
    <x v="0"/>
    <x v="0"/>
    <x v="0"/>
    <x v="216"/>
    <x v="20"/>
    <x v="271"/>
    <x v="1652"/>
    <x v="3842"/>
  </r>
  <r>
    <x v="1"/>
    <x v="0"/>
    <x v="1"/>
    <x v="90"/>
    <x v="6"/>
    <x v="386"/>
    <x v="1258"/>
    <x v="3843"/>
  </r>
  <r>
    <x v="1"/>
    <x v="0"/>
    <x v="2"/>
    <x v="172"/>
    <x v="9"/>
    <x v="186"/>
    <x v="934"/>
    <x v="3844"/>
  </r>
  <r>
    <x v="0"/>
    <x v="0"/>
    <x v="0"/>
    <x v="133"/>
    <x v="6"/>
    <x v="213"/>
    <x v="2911"/>
    <x v="3845"/>
  </r>
  <r>
    <x v="0"/>
    <x v="0"/>
    <x v="2"/>
    <x v="11"/>
    <x v="10"/>
    <x v="9"/>
    <x v="2912"/>
    <x v="3846"/>
  </r>
  <r>
    <x v="1"/>
    <x v="0"/>
    <x v="1"/>
    <x v="217"/>
    <x v="15"/>
    <x v="418"/>
    <x v="1107"/>
    <x v="3847"/>
  </r>
  <r>
    <x v="3"/>
    <x v="0"/>
    <x v="2"/>
    <x v="140"/>
    <x v="10"/>
    <x v="814"/>
    <x v="1214"/>
    <x v="3848"/>
  </r>
  <r>
    <x v="1"/>
    <x v="0"/>
    <x v="1"/>
    <x v="121"/>
    <x v="2"/>
    <x v="2"/>
    <x v="2913"/>
    <x v="3849"/>
  </r>
  <r>
    <x v="1"/>
    <x v="0"/>
    <x v="2"/>
    <x v="147"/>
    <x v="2"/>
    <x v="2"/>
    <x v="1634"/>
    <x v="3850"/>
  </r>
  <r>
    <x v="0"/>
    <x v="0"/>
    <x v="2"/>
    <x v="146"/>
    <x v="6"/>
    <x v="434"/>
    <x v="574"/>
    <x v="3851"/>
  </r>
  <r>
    <x v="0"/>
    <x v="0"/>
    <x v="0"/>
    <x v="144"/>
    <x v="2"/>
    <x v="2"/>
    <x v="1516"/>
    <x v="3852"/>
  </r>
  <r>
    <x v="0"/>
    <x v="0"/>
    <x v="0"/>
    <x v="183"/>
    <x v="6"/>
    <x v="733"/>
    <x v="2914"/>
    <x v="3853"/>
  </r>
  <r>
    <x v="2"/>
    <x v="0"/>
    <x v="2"/>
    <x v="165"/>
    <x v="17"/>
    <x v="713"/>
    <x v="2915"/>
    <x v="3854"/>
  </r>
  <r>
    <x v="3"/>
    <x v="0"/>
    <x v="2"/>
    <x v="126"/>
    <x v="0"/>
    <x v="668"/>
    <x v="482"/>
    <x v="3855"/>
  </r>
  <r>
    <x v="3"/>
    <x v="0"/>
    <x v="2"/>
    <x v="160"/>
    <x v="5"/>
    <x v="259"/>
    <x v="1782"/>
    <x v="3856"/>
  </r>
  <r>
    <x v="0"/>
    <x v="0"/>
    <x v="2"/>
    <x v="8"/>
    <x v="2"/>
    <x v="2"/>
    <x v="2282"/>
    <x v="3857"/>
  </r>
  <r>
    <x v="0"/>
    <x v="0"/>
    <x v="2"/>
    <x v="6"/>
    <x v="13"/>
    <x v="360"/>
    <x v="2916"/>
    <x v="3858"/>
  </r>
  <r>
    <x v="3"/>
    <x v="0"/>
    <x v="2"/>
    <x v="217"/>
    <x v="5"/>
    <x v="148"/>
    <x v="2917"/>
    <x v="3859"/>
  </r>
  <r>
    <x v="0"/>
    <x v="0"/>
    <x v="2"/>
    <x v="59"/>
    <x v="3"/>
    <x v="63"/>
    <x v="732"/>
    <x v="3860"/>
  </r>
  <r>
    <x v="1"/>
    <x v="0"/>
    <x v="2"/>
    <x v="119"/>
    <x v="23"/>
    <x v="242"/>
    <x v="2918"/>
    <x v="3861"/>
  </r>
  <r>
    <x v="0"/>
    <x v="0"/>
    <x v="2"/>
    <x v="185"/>
    <x v="2"/>
    <x v="2"/>
    <x v="2919"/>
    <x v="3862"/>
  </r>
  <r>
    <x v="3"/>
    <x v="0"/>
    <x v="2"/>
    <x v="198"/>
    <x v="7"/>
    <x v="567"/>
    <x v="2264"/>
    <x v="3863"/>
  </r>
  <r>
    <x v="0"/>
    <x v="0"/>
    <x v="2"/>
    <x v="186"/>
    <x v="5"/>
    <x v="863"/>
    <x v="2920"/>
    <x v="3864"/>
  </r>
  <r>
    <x v="0"/>
    <x v="0"/>
    <x v="0"/>
    <x v="152"/>
    <x v="5"/>
    <x v="153"/>
    <x v="2212"/>
    <x v="3865"/>
  </r>
  <r>
    <x v="2"/>
    <x v="0"/>
    <x v="2"/>
    <x v="89"/>
    <x v="0"/>
    <x v="469"/>
    <x v="593"/>
    <x v="3866"/>
  </r>
  <r>
    <x v="2"/>
    <x v="0"/>
    <x v="2"/>
    <x v="214"/>
    <x v="0"/>
    <x v="96"/>
    <x v="2921"/>
    <x v="3867"/>
  </r>
  <r>
    <x v="1"/>
    <x v="0"/>
    <x v="1"/>
    <x v="222"/>
    <x v="15"/>
    <x v="871"/>
    <x v="2922"/>
    <x v="3868"/>
  </r>
  <r>
    <x v="1"/>
    <x v="0"/>
    <x v="1"/>
    <x v="54"/>
    <x v="15"/>
    <x v="773"/>
    <x v="240"/>
    <x v="3869"/>
  </r>
  <r>
    <x v="0"/>
    <x v="0"/>
    <x v="0"/>
    <x v="184"/>
    <x v="15"/>
    <x v="0"/>
    <x v="1475"/>
    <x v="3870"/>
  </r>
  <r>
    <x v="0"/>
    <x v="0"/>
    <x v="2"/>
    <x v="112"/>
    <x v="23"/>
    <x v="666"/>
    <x v="2923"/>
    <x v="3871"/>
  </r>
  <r>
    <x v="3"/>
    <x v="0"/>
    <x v="2"/>
    <x v="61"/>
    <x v="15"/>
    <x v="556"/>
    <x v="188"/>
    <x v="3872"/>
  </r>
  <r>
    <x v="0"/>
    <x v="0"/>
    <x v="2"/>
    <x v="213"/>
    <x v="13"/>
    <x v="335"/>
    <x v="2924"/>
    <x v="3873"/>
  </r>
  <r>
    <x v="3"/>
    <x v="0"/>
    <x v="2"/>
    <x v="84"/>
    <x v="2"/>
    <x v="2"/>
    <x v="2925"/>
    <x v="3874"/>
  </r>
  <r>
    <x v="1"/>
    <x v="0"/>
    <x v="1"/>
    <x v="183"/>
    <x v="16"/>
    <x v="656"/>
    <x v="2926"/>
    <x v="3875"/>
  </r>
  <r>
    <x v="0"/>
    <x v="0"/>
    <x v="2"/>
    <x v="117"/>
    <x v="7"/>
    <x v="505"/>
    <x v="495"/>
    <x v="3876"/>
  </r>
  <r>
    <x v="3"/>
    <x v="0"/>
    <x v="2"/>
    <x v="100"/>
    <x v="13"/>
    <x v="625"/>
    <x v="1221"/>
    <x v="3877"/>
  </r>
  <r>
    <x v="1"/>
    <x v="0"/>
    <x v="1"/>
    <x v="122"/>
    <x v="8"/>
    <x v="281"/>
    <x v="2927"/>
    <x v="3878"/>
  </r>
  <r>
    <x v="0"/>
    <x v="0"/>
    <x v="0"/>
    <x v="51"/>
    <x v="2"/>
    <x v="2"/>
    <x v="2928"/>
    <x v="3879"/>
  </r>
  <r>
    <x v="0"/>
    <x v="0"/>
    <x v="0"/>
    <x v="31"/>
    <x v="14"/>
    <x v="224"/>
    <x v="1354"/>
    <x v="3880"/>
  </r>
  <r>
    <x v="1"/>
    <x v="0"/>
    <x v="1"/>
    <x v="54"/>
    <x v="11"/>
    <x v="552"/>
    <x v="2742"/>
    <x v="3881"/>
  </r>
  <r>
    <x v="1"/>
    <x v="0"/>
    <x v="2"/>
    <x v="51"/>
    <x v="25"/>
    <x v="676"/>
    <x v="2929"/>
    <x v="3882"/>
  </r>
  <r>
    <x v="1"/>
    <x v="0"/>
    <x v="1"/>
    <x v="94"/>
    <x v="7"/>
    <x v="142"/>
    <x v="2050"/>
    <x v="3883"/>
  </r>
  <r>
    <x v="2"/>
    <x v="0"/>
    <x v="2"/>
    <x v="100"/>
    <x v="10"/>
    <x v="639"/>
    <x v="2930"/>
    <x v="3884"/>
  </r>
  <r>
    <x v="0"/>
    <x v="0"/>
    <x v="0"/>
    <x v="91"/>
    <x v="6"/>
    <x v="4"/>
    <x v="1266"/>
    <x v="3885"/>
  </r>
  <r>
    <x v="2"/>
    <x v="0"/>
    <x v="2"/>
    <x v="116"/>
    <x v="9"/>
    <x v="585"/>
    <x v="1183"/>
    <x v="3886"/>
  </r>
  <r>
    <x v="1"/>
    <x v="0"/>
    <x v="1"/>
    <x v="214"/>
    <x v="17"/>
    <x v="68"/>
    <x v="2931"/>
    <x v="3887"/>
  </r>
  <r>
    <x v="0"/>
    <x v="0"/>
    <x v="2"/>
    <x v="151"/>
    <x v="15"/>
    <x v="260"/>
    <x v="2932"/>
    <x v="3888"/>
  </r>
  <r>
    <x v="1"/>
    <x v="0"/>
    <x v="2"/>
    <x v="15"/>
    <x v="6"/>
    <x v="119"/>
    <x v="2933"/>
    <x v="3889"/>
  </r>
  <r>
    <x v="2"/>
    <x v="0"/>
    <x v="2"/>
    <x v="169"/>
    <x v="2"/>
    <x v="2"/>
    <x v="1213"/>
    <x v="3890"/>
  </r>
  <r>
    <x v="2"/>
    <x v="0"/>
    <x v="2"/>
    <x v="63"/>
    <x v="16"/>
    <x v="436"/>
    <x v="1153"/>
    <x v="3891"/>
  </r>
  <r>
    <x v="2"/>
    <x v="0"/>
    <x v="2"/>
    <x v="210"/>
    <x v="5"/>
    <x v="212"/>
    <x v="282"/>
    <x v="3892"/>
  </r>
  <r>
    <x v="0"/>
    <x v="0"/>
    <x v="2"/>
    <x v="103"/>
    <x v="3"/>
    <x v="101"/>
    <x v="2934"/>
    <x v="3893"/>
  </r>
  <r>
    <x v="1"/>
    <x v="0"/>
    <x v="1"/>
    <x v="4"/>
    <x v="5"/>
    <x v="757"/>
    <x v="2935"/>
    <x v="3894"/>
  </r>
  <r>
    <x v="0"/>
    <x v="0"/>
    <x v="0"/>
    <x v="41"/>
    <x v="23"/>
    <x v="673"/>
    <x v="2936"/>
    <x v="3895"/>
  </r>
  <r>
    <x v="0"/>
    <x v="0"/>
    <x v="0"/>
    <x v="67"/>
    <x v="25"/>
    <x v="791"/>
    <x v="2937"/>
    <x v="3896"/>
  </r>
  <r>
    <x v="0"/>
    <x v="0"/>
    <x v="2"/>
    <x v="37"/>
    <x v="5"/>
    <x v="260"/>
    <x v="856"/>
    <x v="3897"/>
  </r>
  <r>
    <x v="2"/>
    <x v="0"/>
    <x v="2"/>
    <x v="82"/>
    <x v="1"/>
    <x v="339"/>
    <x v="263"/>
    <x v="3898"/>
  </r>
  <r>
    <x v="3"/>
    <x v="0"/>
    <x v="2"/>
    <x v="136"/>
    <x v="9"/>
    <x v="84"/>
    <x v="2938"/>
    <x v="3899"/>
  </r>
  <r>
    <x v="0"/>
    <x v="0"/>
    <x v="0"/>
    <x v="178"/>
    <x v="8"/>
    <x v="872"/>
    <x v="42"/>
    <x v="3900"/>
  </r>
  <r>
    <x v="0"/>
    <x v="0"/>
    <x v="0"/>
    <x v="90"/>
    <x v="1"/>
    <x v="465"/>
    <x v="2939"/>
    <x v="3901"/>
  </r>
  <r>
    <x v="3"/>
    <x v="0"/>
    <x v="2"/>
    <x v="138"/>
    <x v="6"/>
    <x v="620"/>
    <x v="2940"/>
    <x v="3902"/>
  </r>
  <r>
    <x v="0"/>
    <x v="0"/>
    <x v="0"/>
    <x v="110"/>
    <x v="1"/>
    <x v="172"/>
    <x v="1431"/>
    <x v="3903"/>
  </r>
  <r>
    <x v="2"/>
    <x v="0"/>
    <x v="2"/>
    <x v="192"/>
    <x v="11"/>
    <x v="251"/>
    <x v="2872"/>
    <x v="3904"/>
  </r>
  <r>
    <x v="1"/>
    <x v="0"/>
    <x v="1"/>
    <x v="80"/>
    <x v="17"/>
    <x v="271"/>
    <x v="2941"/>
    <x v="3905"/>
  </r>
  <r>
    <x v="0"/>
    <x v="0"/>
    <x v="2"/>
    <x v="162"/>
    <x v="7"/>
    <x v="492"/>
    <x v="486"/>
    <x v="3906"/>
  </r>
  <r>
    <x v="0"/>
    <x v="0"/>
    <x v="0"/>
    <x v="201"/>
    <x v="12"/>
    <x v="723"/>
    <x v="2942"/>
    <x v="3907"/>
  </r>
  <r>
    <x v="1"/>
    <x v="0"/>
    <x v="1"/>
    <x v="58"/>
    <x v="15"/>
    <x v="440"/>
    <x v="1740"/>
    <x v="3908"/>
  </r>
  <r>
    <x v="1"/>
    <x v="0"/>
    <x v="1"/>
    <x v="30"/>
    <x v="1"/>
    <x v="317"/>
    <x v="713"/>
    <x v="3909"/>
  </r>
  <r>
    <x v="0"/>
    <x v="0"/>
    <x v="2"/>
    <x v="127"/>
    <x v="9"/>
    <x v="294"/>
    <x v="2671"/>
    <x v="3910"/>
  </r>
  <r>
    <x v="1"/>
    <x v="0"/>
    <x v="2"/>
    <x v="206"/>
    <x v="10"/>
    <x v="631"/>
    <x v="2822"/>
    <x v="3911"/>
  </r>
  <r>
    <x v="0"/>
    <x v="0"/>
    <x v="2"/>
    <x v="165"/>
    <x v="6"/>
    <x v="21"/>
    <x v="2943"/>
    <x v="3912"/>
  </r>
  <r>
    <x v="1"/>
    <x v="0"/>
    <x v="1"/>
    <x v="101"/>
    <x v="14"/>
    <x v="0"/>
    <x v="1739"/>
    <x v="3913"/>
  </r>
  <r>
    <x v="0"/>
    <x v="0"/>
    <x v="0"/>
    <x v="213"/>
    <x v="2"/>
    <x v="2"/>
    <x v="72"/>
    <x v="3914"/>
  </r>
  <r>
    <x v="1"/>
    <x v="0"/>
    <x v="1"/>
    <x v="20"/>
    <x v="22"/>
    <x v="117"/>
    <x v="2944"/>
    <x v="3915"/>
  </r>
  <r>
    <x v="1"/>
    <x v="0"/>
    <x v="1"/>
    <x v="186"/>
    <x v="8"/>
    <x v="0"/>
    <x v="2945"/>
    <x v="3916"/>
  </r>
  <r>
    <x v="1"/>
    <x v="0"/>
    <x v="1"/>
    <x v="158"/>
    <x v="5"/>
    <x v="237"/>
    <x v="819"/>
    <x v="3917"/>
  </r>
  <r>
    <x v="3"/>
    <x v="0"/>
    <x v="2"/>
    <x v="11"/>
    <x v="20"/>
    <x v="54"/>
    <x v="1565"/>
    <x v="3918"/>
  </r>
  <r>
    <x v="1"/>
    <x v="0"/>
    <x v="2"/>
    <x v="6"/>
    <x v="16"/>
    <x v="578"/>
    <x v="2946"/>
    <x v="3919"/>
  </r>
  <r>
    <x v="3"/>
    <x v="0"/>
    <x v="2"/>
    <x v="221"/>
    <x v="6"/>
    <x v="315"/>
    <x v="2947"/>
    <x v="3920"/>
  </r>
  <r>
    <x v="0"/>
    <x v="0"/>
    <x v="2"/>
    <x v="152"/>
    <x v="0"/>
    <x v="578"/>
    <x v="2315"/>
    <x v="3921"/>
  </r>
  <r>
    <x v="2"/>
    <x v="0"/>
    <x v="2"/>
    <x v="198"/>
    <x v="2"/>
    <x v="2"/>
    <x v="2948"/>
    <x v="3922"/>
  </r>
  <r>
    <x v="0"/>
    <x v="0"/>
    <x v="0"/>
    <x v="157"/>
    <x v="4"/>
    <x v="444"/>
    <x v="2949"/>
    <x v="3923"/>
  </r>
  <r>
    <x v="2"/>
    <x v="0"/>
    <x v="2"/>
    <x v="129"/>
    <x v="22"/>
    <x v="611"/>
    <x v="2950"/>
    <x v="3924"/>
  </r>
  <r>
    <x v="3"/>
    <x v="0"/>
    <x v="2"/>
    <x v="74"/>
    <x v="14"/>
    <x v="183"/>
    <x v="2951"/>
    <x v="3925"/>
  </r>
  <r>
    <x v="0"/>
    <x v="0"/>
    <x v="0"/>
    <x v="209"/>
    <x v="12"/>
    <x v="36"/>
    <x v="318"/>
    <x v="3926"/>
  </r>
  <r>
    <x v="0"/>
    <x v="0"/>
    <x v="0"/>
    <x v="103"/>
    <x v="10"/>
    <x v="230"/>
    <x v="2624"/>
    <x v="3927"/>
  </r>
  <r>
    <x v="0"/>
    <x v="0"/>
    <x v="2"/>
    <x v="221"/>
    <x v="9"/>
    <x v="80"/>
    <x v="1763"/>
    <x v="3928"/>
  </r>
  <r>
    <x v="2"/>
    <x v="0"/>
    <x v="2"/>
    <x v="37"/>
    <x v="0"/>
    <x v="584"/>
    <x v="2952"/>
    <x v="3929"/>
  </r>
  <r>
    <x v="0"/>
    <x v="0"/>
    <x v="2"/>
    <x v="219"/>
    <x v="28"/>
    <x v="311"/>
    <x v="1389"/>
    <x v="3930"/>
  </r>
  <r>
    <x v="0"/>
    <x v="0"/>
    <x v="0"/>
    <x v="144"/>
    <x v="6"/>
    <x v="181"/>
    <x v="2953"/>
    <x v="3931"/>
  </r>
  <r>
    <x v="0"/>
    <x v="0"/>
    <x v="0"/>
    <x v="138"/>
    <x v="3"/>
    <x v="490"/>
    <x v="875"/>
    <x v="3932"/>
  </r>
  <r>
    <x v="2"/>
    <x v="0"/>
    <x v="2"/>
    <x v="96"/>
    <x v="25"/>
    <x v="70"/>
    <x v="1169"/>
    <x v="3933"/>
  </r>
  <r>
    <x v="1"/>
    <x v="0"/>
    <x v="1"/>
    <x v="84"/>
    <x v="15"/>
    <x v="47"/>
    <x v="2954"/>
    <x v="3934"/>
  </r>
  <r>
    <x v="1"/>
    <x v="0"/>
    <x v="2"/>
    <x v="149"/>
    <x v="13"/>
    <x v="549"/>
    <x v="712"/>
    <x v="3935"/>
  </r>
  <r>
    <x v="2"/>
    <x v="0"/>
    <x v="2"/>
    <x v="5"/>
    <x v="17"/>
    <x v="100"/>
    <x v="2304"/>
    <x v="3936"/>
  </r>
  <r>
    <x v="3"/>
    <x v="0"/>
    <x v="2"/>
    <x v="3"/>
    <x v="4"/>
    <x v="48"/>
    <x v="1003"/>
    <x v="3937"/>
  </r>
  <r>
    <x v="1"/>
    <x v="0"/>
    <x v="1"/>
    <x v="72"/>
    <x v="5"/>
    <x v="555"/>
    <x v="2955"/>
    <x v="3938"/>
  </r>
  <r>
    <x v="1"/>
    <x v="0"/>
    <x v="2"/>
    <x v="67"/>
    <x v="13"/>
    <x v="319"/>
    <x v="2956"/>
    <x v="3939"/>
  </r>
  <r>
    <x v="0"/>
    <x v="0"/>
    <x v="2"/>
    <x v="150"/>
    <x v="0"/>
    <x v="811"/>
    <x v="2957"/>
    <x v="3940"/>
  </r>
  <r>
    <x v="1"/>
    <x v="0"/>
    <x v="1"/>
    <x v="132"/>
    <x v="23"/>
    <x v="729"/>
    <x v="2958"/>
    <x v="3941"/>
  </r>
  <r>
    <x v="0"/>
    <x v="0"/>
    <x v="2"/>
    <x v="219"/>
    <x v="8"/>
    <x v="634"/>
    <x v="679"/>
    <x v="3942"/>
  </r>
  <r>
    <x v="0"/>
    <x v="0"/>
    <x v="0"/>
    <x v="135"/>
    <x v="20"/>
    <x v="800"/>
    <x v="2959"/>
    <x v="3943"/>
  </r>
  <r>
    <x v="3"/>
    <x v="0"/>
    <x v="2"/>
    <x v="158"/>
    <x v="6"/>
    <x v="148"/>
    <x v="890"/>
    <x v="3944"/>
  </r>
  <r>
    <x v="0"/>
    <x v="0"/>
    <x v="2"/>
    <x v="86"/>
    <x v="13"/>
    <x v="384"/>
    <x v="2960"/>
    <x v="3945"/>
  </r>
  <r>
    <x v="0"/>
    <x v="0"/>
    <x v="2"/>
    <x v="241"/>
    <x v="18"/>
    <x v="245"/>
    <x v="2961"/>
    <x v="3946"/>
  </r>
  <r>
    <x v="3"/>
    <x v="0"/>
    <x v="2"/>
    <x v="158"/>
    <x v="14"/>
    <x v="609"/>
    <x v="2332"/>
    <x v="3947"/>
  </r>
  <r>
    <x v="0"/>
    <x v="0"/>
    <x v="2"/>
    <x v="102"/>
    <x v="24"/>
    <x v="299"/>
    <x v="2962"/>
    <x v="3948"/>
  </r>
  <r>
    <x v="3"/>
    <x v="0"/>
    <x v="2"/>
    <x v="163"/>
    <x v="6"/>
    <x v="757"/>
    <x v="2963"/>
    <x v="3949"/>
  </r>
  <r>
    <x v="3"/>
    <x v="0"/>
    <x v="2"/>
    <x v="74"/>
    <x v="13"/>
    <x v="250"/>
    <x v="1461"/>
    <x v="3950"/>
  </r>
  <r>
    <x v="3"/>
    <x v="0"/>
    <x v="2"/>
    <x v="209"/>
    <x v="12"/>
    <x v="36"/>
    <x v="2964"/>
    <x v="3951"/>
  </r>
  <r>
    <x v="1"/>
    <x v="0"/>
    <x v="2"/>
    <x v="175"/>
    <x v="22"/>
    <x v="107"/>
    <x v="2377"/>
    <x v="3952"/>
  </r>
  <r>
    <x v="2"/>
    <x v="0"/>
    <x v="2"/>
    <x v="220"/>
    <x v="22"/>
    <x v="873"/>
    <x v="1833"/>
    <x v="3953"/>
  </r>
  <r>
    <x v="2"/>
    <x v="0"/>
    <x v="2"/>
    <x v="57"/>
    <x v="1"/>
    <x v="750"/>
    <x v="1300"/>
    <x v="3954"/>
  </r>
  <r>
    <x v="0"/>
    <x v="0"/>
    <x v="0"/>
    <x v="191"/>
    <x v="13"/>
    <x v="315"/>
    <x v="2965"/>
    <x v="3955"/>
  </r>
  <r>
    <x v="0"/>
    <x v="0"/>
    <x v="0"/>
    <x v="47"/>
    <x v="7"/>
    <x v="49"/>
    <x v="1925"/>
    <x v="3956"/>
  </r>
  <r>
    <x v="2"/>
    <x v="0"/>
    <x v="2"/>
    <x v="8"/>
    <x v="7"/>
    <x v="413"/>
    <x v="2966"/>
    <x v="3957"/>
  </r>
  <r>
    <x v="3"/>
    <x v="0"/>
    <x v="2"/>
    <x v="140"/>
    <x v="24"/>
    <x v="406"/>
    <x v="2967"/>
    <x v="3958"/>
  </r>
  <r>
    <x v="0"/>
    <x v="0"/>
    <x v="0"/>
    <x v="127"/>
    <x v="12"/>
    <x v="595"/>
    <x v="2968"/>
    <x v="3959"/>
  </r>
  <r>
    <x v="1"/>
    <x v="0"/>
    <x v="1"/>
    <x v="172"/>
    <x v="11"/>
    <x v="874"/>
    <x v="2969"/>
    <x v="3960"/>
  </r>
  <r>
    <x v="1"/>
    <x v="0"/>
    <x v="2"/>
    <x v="150"/>
    <x v="7"/>
    <x v="61"/>
    <x v="1015"/>
    <x v="3961"/>
  </r>
  <r>
    <x v="0"/>
    <x v="0"/>
    <x v="0"/>
    <x v="224"/>
    <x v="2"/>
    <x v="2"/>
    <x v="2970"/>
    <x v="3962"/>
  </r>
  <r>
    <x v="0"/>
    <x v="0"/>
    <x v="0"/>
    <x v="99"/>
    <x v="3"/>
    <x v="814"/>
    <x v="882"/>
    <x v="3963"/>
  </r>
  <r>
    <x v="0"/>
    <x v="0"/>
    <x v="2"/>
    <x v="207"/>
    <x v="17"/>
    <x v="473"/>
    <x v="2971"/>
    <x v="3964"/>
  </r>
  <r>
    <x v="2"/>
    <x v="0"/>
    <x v="2"/>
    <x v="250"/>
    <x v="6"/>
    <x v="61"/>
    <x v="1024"/>
    <x v="3965"/>
  </r>
  <r>
    <x v="3"/>
    <x v="0"/>
    <x v="2"/>
    <x v="233"/>
    <x v="13"/>
    <x v="650"/>
    <x v="2857"/>
    <x v="3966"/>
  </r>
  <r>
    <x v="1"/>
    <x v="0"/>
    <x v="1"/>
    <x v="208"/>
    <x v="10"/>
    <x v="282"/>
    <x v="2972"/>
    <x v="3967"/>
  </r>
  <r>
    <x v="0"/>
    <x v="0"/>
    <x v="2"/>
    <x v="141"/>
    <x v="8"/>
    <x v="426"/>
    <x v="2973"/>
    <x v="3968"/>
  </r>
  <r>
    <x v="1"/>
    <x v="0"/>
    <x v="1"/>
    <x v="90"/>
    <x v="5"/>
    <x v="194"/>
    <x v="2974"/>
    <x v="3969"/>
  </r>
  <r>
    <x v="1"/>
    <x v="0"/>
    <x v="1"/>
    <x v="134"/>
    <x v="7"/>
    <x v="224"/>
    <x v="2975"/>
    <x v="3970"/>
  </r>
  <r>
    <x v="3"/>
    <x v="0"/>
    <x v="2"/>
    <x v="96"/>
    <x v="8"/>
    <x v="131"/>
    <x v="2976"/>
    <x v="3971"/>
  </r>
  <r>
    <x v="2"/>
    <x v="0"/>
    <x v="2"/>
    <x v="185"/>
    <x v="6"/>
    <x v="131"/>
    <x v="2977"/>
    <x v="3972"/>
  </r>
  <r>
    <x v="1"/>
    <x v="0"/>
    <x v="2"/>
    <x v="27"/>
    <x v="15"/>
    <x v="761"/>
    <x v="2978"/>
    <x v="3973"/>
  </r>
  <r>
    <x v="1"/>
    <x v="0"/>
    <x v="1"/>
    <x v="70"/>
    <x v="1"/>
    <x v="477"/>
    <x v="2979"/>
    <x v="3974"/>
  </r>
  <r>
    <x v="0"/>
    <x v="0"/>
    <x v="0"/>
    <x v="80"/>
    <x v="2"/>
    <x v="2"/>
    <x v="2980"/>
    <x v="3975"/>
  </r>
  <r>
    <x v="2"/>
    <x v="0"/>
    <x v="2"/>
    <x v="123"/>
    <x v="2"/>
    <x v="2"/>
    <x v="576"/>
    <x v="3976"/>
  </r>
  <r>
    <x v="2"/>
    <x v="0"/>
    <x v="2"/>
    <x v="110"/>
    <x v="11"/>
    <x v="303"/>
    <x v="2981"/>
    <x v="3977"/>
  </r>
  <r>
    <x v="3"/>
    <x v="0"/>
    <x v="2"/>
    <x v="207"/>
    <x v="11"/>
    <x v="422"/>
    <x v="2413"/>
    <x v="3978"/>
  </r>
  <r>
    <x v="1"/>
    <x v="0"/>
    <x v="2"/>
    <x v="184"/>
    <x v="13"/>
    <x v="772"/>
    <x v="2982"/>
    <x v="3979"/>
  </r>
  <r>
    <x v="3"/>
    <x v="0"/>
    <x v="2"/>
    <x v="212"/>
    <x v="15"/>
    <x v="280"/>
    <x v="2983"/>
    <x v="3980"/>
  </r>
  <r>
    <x v="0"/>
    <x v="0"/>
    <x v="0"/>
    <x v="84"/>
    <x v="10"/>
    <x v="377"/>
    <x v="2984"/>
    <x v="3981"/>
  </r>
  <r>
    <x v="3"/>
    <x v="0"/>
    <x v="2"/>
    <x v="213"/>
    <x v="13"/>
    <x v="335"/>
    <x v="2985"/>
    <x v="3982"/>
  </r>
  <r>
    <x v="0"/>
    <x v="0"/>
    <x v="0"/>
    <x v="110"/>
    <x v="5"/>
    <x v="211"/>
    <x v="2986"/>
    <x v="3983"/>
  </r>
  <r>
    <x v="3"/>
    <x v="0"/>
    <x v="2"/>
    <x v="66"/>
    <x v="6"/>
    <x v="224"/>
    <x v="2987"/>
    <x v="3984"/>
  </r>
  <r>
    <x v="0"/>
    <x v="0"/>
    <x v="0"/>
    <x v="63"/>
    <x v="22"/>
    <x v="286"/>
    <x v="694"/>
    <x v="3985"/>
  </r>
  <r>
    <x v="0"/>
    <x v="0"/>
    <x v="0"/>
    <x v="42"/>
    <x v="5"/>
    <x v="51"/>
    <x v="2027"/>
    <x v="3986"/>
  </r>
  <r>
    <x v="3"/>
    <x v="0"/>
    <x v="2"/>
    <x v="69"/>
    <x v="23"/>
    <x v="75"/>
    <x v="2988"/>
    <x v="3987"/>
  </r>
  <r>
    <x v="3"/>
    <x v="0"/>
    <x v="2"/>
    <x v="229"/>
    <x v="23"/>
    <x v="376"/>
    <x v="2989"/>
    <x v="3988"/>
  </r>
  <r>
    <x v="1"/>
    <x v="0"/>
    <x v="1"/>
    <x v="168"/>
    <x v="3"/>
    <x v="465"/>
    <x v="449"/>
    <x v="3989"/>
  </r>
  <r>
    <x v="0"/>
    <x v="0"/>
    <x v="2"/>
    <x v="109"/>
    <x v="5"/>
    <x v="9"/>
    <x v="2990"/>
    <x v="3990"/>
  </r>
  <r>
    <x v="3"/>
    <x v="0"/>
    <x v="2"/>
    <x v="111"/>
    <x v="13"/>
    <x v="485"/>
    <x v="1952"/>
    <x v="3991"/>
  </r>
  <r>
    <x v="1"/>
    <x v="0"/>
    <x v="2"/>
    <x v="133"/>
    <x v="13"/>
    <x v="234"/>
    <x v="1323"/>
    <x v="3992"/>
  </r>
  <r>
    <x v="1"/>
    <x v="0"/>
    <x v="2"/>
    <x v="215"/>
    <x v="2"/>
    <x v="2"/>
    <x v="2258"/>
    <x v="3993"/>
  </r>
  <r>
    <x v="1"/>
    <x v="0"/>
    <x v="1"/>
    <x v="90"/>
    <x v="5"/>
    <x v="194"/>
    <x v="2991"/>
    <x v="3994"/>
  </r>
  <r>
    <x v="1"/>
    <x v="0"/>
    <x v="1"/>
    <x v="221"/>
    <x v="10"/>
    <x v="696"/>
    <x v="2992"/>
    <x v="3995"/>
  </r>
  <r>
    <x v="2"/>
    <x v="0"/>
    <x v="2"/>
    <x v="237"/>
    <x v="11"/>
    <x v="747"/>
    <x v="2993"/>
    <x v="3996"/>
  </r>
  <r>
    <x v="0"/>
    <x v="0"/>
    <x v="0"/>
    <x v="31"/>
    <x v="13"/>
    <x v="782"/>
    <x v="2994"/>
    <x v="3997"/>
  </r>
  <r>
    <x v="1"/>
    <x v="0"/>
    <x v="2"/>
    <x v="167"/>
    <x v="5"/>
    <x v="766"/>
    <x v="2995"/>
    <x v="3998"/>
  </r>
  <r>
    <x v="1"/>
    <x v="0"/>
    <x v="1"/>
    <x v="105"/>
    <x v="6"/>
    <x v="18"/>
    <x v="2996"/>
    <x v="3999"/>
  </r>
  <r>
    <x v="0"/>
    <x v="0"/>
    <x v="2"/>
    <x v="242"/>
    <x v="6"/>
    <x v="606"/>
    <x v="2757"/>
    <x v="4000"/>
  </r>
  <r>
    <x v="0"/>
    <x v="0"/>
    <x v="0"/>
    <x v="6"/>
    <x v="11"/>
    <x v="93"/>
    <x v="1445"/>
    <x v="4001"/>
  </r>
  <r>
    <x v="1"/>
    <x v="0"/>
    <x v="1"/>
    <x v="53"/>
    <x v="24"/>
    <x v="101"/>
    <x v="2997"/>
    <x v="4002"/>
  </r>
  <r>
    <x v="3"/>
    <x v="0"/>
    <x v="2"/>
    <x v="135"/>
    <x v="12"/>
    <x v="565"/>
    <x v="2998"/>
    <x v="4003"/>
  </r>
  <r>
    <x v="0"/>
    <x v="0"/>
    <x v="0"/>
    <x v="129"/>
    <x v="7"/>
    <x v="573"/>
    <x v="1409"/>
    <x v="4004"/>
  </r>
  <r>
    <x v="2"/>
    <x v="0"/>
    <x v="2"/>
    <x v="58"/>
    <x v="20"/>
    <x v="142"/>
    <x v="2609"/>
    <x v="4005"/>
  </r>
  <r>
    <x v="1"/>
    <x v="0"/>
    <x v="1"/>
    <x v="67"/>
    <x v="20"/>
    <x v="140"/>
    <x v="2999"/>
    <x v="4006"/>
  </r>
  <r>
    <x v="0"/>
    <x v="0"/>
    <x v="0"/>
    <x v="41"/>
    <x v="10"/>
    <x v="720"/>
    <x v="3000"/>
    <x v="4007"/>
  </r>
  <r>
    <x v="0"/>
    <x v="0"/>
    <x v="2"/>
    <x v="82"/>
    <x v="3"/>
    <x v="294"/>
    <x v="1392"/>
    <x v="4008"/>
  </r>
  <r>
    <x v="0"/>
    <x v="0"/>
    <x v="2"/>
    <x v="122"/>
    <x v="26"/>
    <x v="533"/>
    <x v="249"/>
    <x v="4009"/>
  </r>
  <r>
    <x v="0"/>
    <x v="0"/>
    <x v="0"/>
    <x v="24"/>
    <x v="11"/>
    <x v="874"/>
    <x v="3001"/>
    <x v="4010"/>
  </r>
  <r>
    <x v="3"/>
    <x v="0"/>
    <x v="2"/>
    <x v="209"/>
    <x v="3"/>
    <x v="316"/>
    <x v="414"/>
    <x v="4011"/>
  </r>
  <r>
    <x v="0"/>
    <x v="0"/>
    <x v="2"/>
    <x v="121"/>
    <x v="12"/>
    <x v="313"/>
    <x v="2982"/>
    <x v="4012"/>
  </r>
  <r>
    <x v="1"/>
    <x v="0"/>
    <x v="2"/>
    <x v="116"/>
    <x v="16"/>
    <x v="769"/>
    <x v="2374"/>
    <x v="4013"/>
  </r>
  <r>
    <x v="1"/>
    <x v="0"/>
    <x v="2"/>
    <x v="30"/>
    <x v="22"/>
    <x v="525"/>
    <x v="3002"/>
    <x v="4014"/>
  </r>
  <r>
    <x v="0"/>
    <x v="0"/>
    <x v="0"/>
    <x v="202"/>
    <x v="7"/>
    <x v="83"/>
    <x v="3003"/>
    <x v="4015"/>
  </r>
  <r>
    <x v="1"/>
    <x v="0"/>
    <x v="2"/>
    <x v="208"/>
    <x v="1"/>
    <x v="548"/>
    <x v="626"/>
    <x v="4016"/>
  </r>
  <r>
    <x v="0"/>
    <x v="0"/>
    <x v="2"/>
    <x v="100"/>
    <x v="7"/>
    <x v="189"/>
    <x v="2108"/>
    <x v="4017"/>
  </r>
  <r>
    <x v="1"/>
    <x v="0"/>
    <x v="2"/>
    <x v="210"/>
    <x v="6"/>
    <x v="287"/>
    <x v="1938"/>
    <x v="4018"/>
  </r>
  <r>
    <x v="0"/>
    <x v="0"/>
    <x v="2"/>
    <x v="153"/>
    <x v="3"/>
    <x v="203"/>
    <x v="3004"/>
    <x v="4019"/>
  </r>
  <r>
    <x v="0"/>
    <x v="0"/>
    <x v="2"/>
    <x v="21"/>
    <x v="11"/>
    <x v="40"/>
    <x v="720"/>
    <x v="4020"/>
  </r>
  <r>
    <x v="1"/>
    <x v="0"/>
    <x v="1"/>
    <x v="22"/>
    <x v="7"/>
    <x v="875"/>
    <x v="3005"/>
    <x v="4021"/>
  </r>
  <r>
    <x v="0"/>
    <x v="0"/>
    <x v="2"/>
    <x v="38"/>
    <x v="5"/>
    <x v="0"/>
    <x v="1501"/>
    <x v="4022"/>
  </r>
  <r>
    <x v="1"/>
    <x v="0"/>
    <x v="2"/>
    <x v="33"/>
    <x v="0"/>
    <x v="107"/>
    <x v="3006"/>
    <x v="4023"/>
  </r>
  <r>
    <x v="0"/>
    <x v="0"/>
    <x v="0"/>
    <x v="75"/>
    <x v="0"/>
    <x v="505"/>
    <x v="3007"/>
    <x v="4024"/>
  </r>
  <r>
    <x v="0"/>
    <x v="0"/>
    <x v="0"/>
    <x v="229"/>
    <x v="13"/>
    <x v="515"/>
    <x v="3008"/>
    <x v="4025"/>
  </r>
  <r>
    <x v="2"/>
    <x v="0"/>
    <x v="2"/>
    <x v="208"/>
    <x v="1"/>
    <x v="548"/>
    <x v="3009"/>
    <x v="4026"/>
  </r>
  <r>
    <x v="3"/>
    <x v="0"/>
    <x v="2"/>
    <x v="54"/>
    <x v="24"/>
    <x v="68"/>
    <x v="3010"/>
    <x v="4027"/>
  </r>
  <r>
    <x v="1"/>
    <x v="0"/>
    <x v="1"/>
    <x v="175"/>
    <x v="7"/>
    <x v="589"/>
    <x v="3011"/>
    <x v="4028"/>
  </r>
  <r>
    <x v="1"/>
    <x v="0"/>
    <x v="1"/>
    <x v="38"/>
    <x v="6"/>
    <x v="299"/>
    <x v="431"/>
    <x v="4029"/>
  </r>
  <r>
    <x v="0"/>
    <x v="0"/>
    <x v="0"/>
    <x v="97"/>
    <x v="1"/>
    <x v="94"/>
    <x v="3012"/>
    <x v="4030"/>
  </r>
  <r>
    <x v="1"/>
    <x v="0"/>
    <x v="2"/>
    <x v="137"/>
    <x v="5"/>
    <x v="135"/>
    <x v="2730"/>
    <x v="4031"/>
  </r>
  <r>
    <x v="0"/>
    <x v="0"/>
    <x v="0"/>
    <x v="29"/>
    <x v="1"/>
    <x v="456"/>
    <x v="2599"/>
    <x v="4032"/>
  </r>
  <r>
    <x v="0"/>
    <x v="0"/>
    <x v="2"/>
    <x v="53"/>
    <x v="20"/>
    <x v="216"/>
    <x v="8"/>
    <x v="4033"/>
  </r>
  <r>
    <x v="0"/>
    <x v="0"/>
    <x v="2"/>
    <x v="241"/>
    <x v="23"/>
    <x v="438"/>
    <x v="23"/>
    <x v="4034"/>
  </r>
  <r>
    <x v="1"/>
    <x v="0"/>
    <x v="2"/>
    <x v="245"/>
    <x v="5"/>
    <x v="528"/>
    <x v="3013"/>
    <x v="4035"/>
  </r>
  <r>
    <x v="1"/>
    <x v="0"/>
    <x v="2"/>
    <x v="139"/>
    <x v="1"/>
    <x v="765"/>
    <x v="2278"/>
    <x v="4036"/>
  </r>
  <r>
    <x v="0"/>
    <x v="0"/>
    <x v="2"/>
    <x v="111"/>
    <x v="3"/>
    <x v="794"/>
    <x v="593"/>
    <x v="4037"/>
  </r>
  <r>
    <x v="1"/>
    <x v="0"/>
    <x v="2"/>
    <x v="13"/>
    <x v="24"/>
    <x v="635"/>
    <x v="3014"/>
    <x v="4038"/>
  </r>
  <r>
    <x v="2"/>
    <x v="0"/>
    <x v="2"/>
    <x v="64"/>
    <x v="16"/>
    <x v="287"/>
    <x v="986"/>
    <x v="4039"/>
  </r>
  <r>
    <x v="2"/>
    <x v="0"/>
    <x v="2"/>
    <x v="222"/>
    <x v="17"/>
    <x v="24"/>
    <x v="830"/>
    <x v="4040"/>
  </r>
  <r>
    <x v="3"/>
    <x v="0"/>
    <x v="2"/>
    <x v="192"/>
    <x v="5"/>
    <x v="426"/>
    <x v="2330"/>
    <x v="4041"/>
  </r>
  <r>
    <x v="3"/>
    <x v="0"/>
    <x v="2"/>
    <x v="80"/>
    <x v="15"/>
    <x v="80"/>
    <x v="3015"/>
    <x v="4042"/>
  </r>
  <r>
    <x v="0"/>
    <x v="0"/>
    <x v="0"/>
    <x v="33"/>
    <x v="0"/>
    <x v="107"/>
    <x v="3016"/>
    <x v="4043"/>
  </r>
  <r>
    <x v="1"/>
    <x v="0"/>
    <x v="1"/>
    <x v="105"/>
    <x v="1"/>
    <x v="211"/>
    <x v="1651"/>
    <x v="4044"/>
  </r>
  <r>
    <x v="1"/>
    <x v="0"/>
    <x v="1"/>
    <x v="137"/>
    <x v="1"/>
    <x v="174"/>
    <x v="2543"/>
    <x v="4045"/>
  </r>
  <r>
    <x v="0"/>
    <x v="0"/>
    <x v="0"/>
    <x v="225"/>
    <x v="11"/>
    <x v="876"/>
    <x v="3017"/>
    <x v="4046"/>
  </r>
  <r>
    <x v="1"/>
    <x v="0"/>
    <x v="1"/>
    <x v="142"/>
    <x v="2"/>
    <x v="2"/>
    <x v="3018"/>
    <x v="4047"/>
  </r>
  <r>
    <x v="2"/>
    <x v="0"/>
    <x v="2"/>
    <x v="107"/>
    <x v="6"/>
    <x v="540"/>
    <x v="118"/>
    <x v="4048"/>
  </r>
  <r>
    <x v="0"/>
    <x v="0"/>
    <x v="0"/>
    <x v="207"/>
    <x v="3"/>
    <x v="746"/>
    <x v="3019"/>
    <x v="4049"/>
  </r>
  <r>
    <x v="2"/>
    <x v="0"/>
    <x v="2"/>
    <x v="163"/>
    <x v="14"/>
    <x v="569"/>
    <x v="3020"/>
    <x v="4050"/>
  </r>
  <r>
    <x v="0"/>
    <x v="0"/>
    <x v="0"/>
    <x v="190"/>
    <x v="23"/>
    <x v="295"/>
    <x v="1666"/>
    <x v="4051"/>
  </r>
  <r>
    <x v="1"/>
    <x v="0"/>
    <x v="2"/>
    <x v="184"/>
    <x v="1"/>
    <x v="213"/>
    <x v="3021"/>
    <x v="4052"/>
  </r>
  <r>
    <x v="0"/>
    <x v="0"/>
    <x v="0"/>
    <x v="22"/>
    <x v="17"/>
    <x v="647"/>
    <x v="1784"/>
    <x v="4053"/>
  </r>
  <r>
    <x v="0"/>
    <x v="0"/>
    <x v="0"/>
    <x v="96"/>
    <x v="15"/>
    <x v="814"/>
    <x v="430"/>
    <x v="4054"/>
  </r>
  <r>
    <x v="1"/>
    <x v="0"/>
    <x v="2"/>
    <x v="98"/>
    <x v="7"/>
    <x v="822"/>
    <x v="1739"/>
    <x v="4055"/>
  </r>
  <r>
    <x v="0"/>
    <x v="0"/>
    <x v="0"/>
    <x v="19"/>
    <x v="17"/>
    <x v="238"/>
    <x v="2986"/>
    <x v="4056"/>
  </r>
  <r>
    <x v="2"/>
    <x v="0"/>
    <x v="2"/>
    <x v="240"/>
    <x v="23"/>
    <x v="788"/>
    <x v="555"/>
    <x v="4057"/>
  </r>
  <r>
    <x v="2"/>
    <x v="0"/>
    <x v="2"/>
    <x v="69"/>
    <x v="17"/>
    <x v="179"/>
    <x v="3022"/>
    <x v="4058"/>
  </r>
  <r>
    <x v="1"/>
    <x v="0"/>
    <x v="1"/>
    <x v="47"/>
    <x v="7"/>
    <x v="49"/>
    <x v="3023"/>
    <x v="4059"/>
  </r>
  <r>
    <x v="0"/>
    <x v="0"/>
    <x v="2"/>
    <x v="136"/>
    <x v="9"/>
    <x v="84"/>
    <x v="815"/>
    <x v="4060"/>
  </r>
  <r>
    <x v="1"/>
    <x v="0"/>
    <x v="1"/>
    <x v="207"/>
    <x v="6"/>
    <x v="7"/>
    <x v="1941"/>
    <x v="4061"/>
  </r>
  <r>
    <x v="1"/>
    <x v="0"/>
    <x v="2"/>
    <x v="13"/>
    <x v="24"/>
    <x v="635"/>
    <x v="2293"/>
    <x v="4062"/>
  </r>
  <r>
    <x v="1"/>
    <x v="0"/>
    <x v="2"/>
    <x v="106"/>
    <x v="3"/>
    <x v="286"/>
    <x v="630"/>
    <x v="4063"/>
  </r>
  <r>
    <x v="1"/>
    <x v="0"/>
    <x v="2"/>
    <x v="161"/>
    <x v="28"/>
    <x v="598"/>
    <x v="1329"/>
    <x v="4064"/>
  </r>
  <r>
    <x v="2"/>
    <x v="0"/>
    <x v="2"/>
    <x v="188"/>
    <x v="13"/>
    <x v="53"/>
    <x v="3024"/>
    <x v="4065"/>
  </r>
  <r>
    <x v="0"/>
    <x v="0"/>
    <x v="2"/>
    <x v="190"/>
    <x v="0"/>
    <x v="827"/>
    <x v="2120"/>
    <x v="4066"/>
  </r>
  <r>
    <x v="0"/>
    <x v="0"/>
    <x v="0"/>
    <x v="69"/>
    <x v="0"/>
    <x v="44"/>
    <x v="2339"/>
    <x v="4067"/>
  </r>
  <r>
    <x v="3"/>
    <x v="0"/>
    <x v="2"/>
    <x v="141"/>
    <x v="25"/>
    <x v="195"/>
    <x v="3025"/>
    <x v="4068"/>
  </r>
  <r>
    <x v="1"/>
    <x v="0"/>
    <x v="2"/>
    <x v="46"/>
    <x v="13"/>
    <x v="877"/>
    <x v="1397"/>
    <x v="4069"/>
  </r>
  <r>
    <x v="3"/>
    <x v="0"/>
    <x v="2"/>
    <x v="170"/>
    <x v="2"/>
    <x v="2"/>
    <x v="2590"/>
    <x v="4070"/>
  </r>
  <r>
    <x v="1"/>
    <x v="0"/>
    <x v="1"/>
    <x v="135"/>
    <x v="12"/>
    <x v="565"/>
    <x v="3026"/>
    <x v="4071"/>
  </r>
  <r>
    <x v="2"/>
    <x v="0"/>
    <x v="2"/>
    <x v="9"/>
    <x v="17"/>
    <x v="101"/>
    <x v="1462"/>
    <x v="4072"/>
  </r>
  <r>
    <x v="3"/>
    <x v="0"/>
    <x v="2"/>
    <x v="172"/>
    <x v="14"/>
    <x v="110"/>
    <x v="3027"/>
    <x v="4073"/>
  </r>
  <r>
    <x v="1"/>
    <x v="0"/>
    <x v="1"/>
    <x v="175"/>
    <x v="7"/>
    <x v="589"/>
    <x v="3028"/>
    <x v="4074"/>
  </r>
  <r>
    <x v="2"/>
    <x v="0"/>
    <x v="2"/>
    <x v="215"/>
    <x v="10"/>
    <x v="123"/>
    <x v="3029"/>
    <x v="4075"/>
  </r>
  <r>
    <x v="2"/>
    <x v="0"/>
    <x v="2"/>
    <x v="88"/>
    <x v="15"/>
    <x v="241"/>
    <x v="3030"/>
    <x v="4076"/>
  </r>
  <r>
    <x v="0"/>
    <x v="0"/>
    <x v="0"/>
    <x v="162"/>
    <x v="22"/>
    <x v="878"/>
    <x v="681"/>
    <x v="4077"/>
  </r>
  <r>
    <x v="0"/>
    <x v="0"/>
    <x v="0"/>
    <x v="130"/>
    <x v="13"/>
    <x v="494"/>
    <x v="1898"/>
    <x v="4078"/>
  </r>
  <r>
    <x v="2"/>
    <x v="0"/>
    <x v="2"/>
    <x v="129"/>
    <x v="5"/>
    <x v="620"/>
    <x v="3031"/>
    <x v="4079"/>
  </r>
  <r>
    <x v="0"/>
    <x v="0"/>
    <x v="2"/>
    <x v="210"/>
    <x v="13"/>
    <x v="400"/>
    <x v="3032"/>
    <x v="4080"/>
  </r>
  <r>
    <x v="2"/>
    <x v="0"/>
    <x v="2"/>
    <x v="221"/>
    <x v="12"/>
    <x v="188"/>
    <x v="1113"/>
    <x v="4081"/>
  </r>
  <r>
    <x v="0"/>
    <x v="0"/>
    <x v="2"/>
    <x v="59"/>
    <x v="16"/>
    <x v="8"/>
    <x v="3033"/>
    <x v="4082"/>
  </r>
  <r>
    <x v="1"/>
    <x v="0"/>
    <x v="1"/>
    <x v="11"/>
    <x v="1"/>
    <x v="548"/>
    <x v="3034"/>
    <x v="4083"/>
  </r>
  <r>
    <x v="2"/>
    <x v="0"/>
    <x v="2"/>
    <x v="63"/>
    <x v="22"/>
    <x v="286"/>
    <x v="229"/>
    <x v="4084"/>
  </r>
  <r>
    <x v="0"/>
    <x v="0"/>
    <x v="2"/>
    <x v="32"/>
    <x v="0"/>
    <x v="217"/>
    <x v="3035"/>
    <x v="4085"/>
  </r>
  <r>
    <x v="0"/>
    <x v="0"/>
    <x v="2"/>
    <x v="47"/>
    <x v="11"/>
    <x v="836"/>
    <x v="155"/>
    <x v="4086"/>
  </r>
  <r>
    <x v="1"/>
    <x v="0"/>
    <x v="1"/>
    <x v="32"/>
    <x v="6"/>
    <x v="25"/>
    <x v="3036"/>
    <x v="4087"/>
  </r>
  <r>
    <x v="0"/>
    <x v="0"/>
    <x v="0"/>
    <x v="24"/>
    <x v="3"/>
    <x v="192"/>
    <x v="3037"/>
    <x v="4088"/>
  </r>
  <r>
    <x v="3"/>
    <x v="0"/>
    <x v="2"/>
    <x v="16"/>
    <x v="15"/>
    <x v="248"/>
    <x v="1027"/>
    <x v="4089"/>
  </r>
  <r>
    <x v="1"/>
    <x v="0"/>
    <x v="1"/>
    <x v="20"/>
    <x v="11"/>
    <x v="879"/>
    <x v="3038"/>
    <x v="4090"/>
  </r>
  <r>
    <x v="1"/>
    <x v="0"/>
    <x v="2"/>
    <x v="70"/>
    <x v="0"/>
    <x v="337"/>
    <x v="1149"/>
    <x v="4091"/>
  </r>
  <r>
    <x v="1"/>
    <x v="0"/>
    <x v="1"/>
    <x v="29"/>
    <x v="3"/>
    <x v="264"/>
    <x v="3039"/>
    <x v="4092"/>
  </r>
  <r>
    <x v="2"/>
    <x v="0"/>
    <x v="2"/>
    <x v="149"/>
    <x v="1"/>
    <x v="335"/>
    <x v="3040"/>
    <x v="4093"/>
  </r>
  <r>
    <x v="3"/>
    <x v="0"/>
    <x v="2"/>
    <x v="169"/>
    <x v="2"/>
    <x v="2"/>
    <x v="2418"/>
    <x v="4094"/>
  </r>
  <r>
    <x v="1"/>
    <x v="0"/>
    <x v="2"/>
    <x v="216"/>
    <x v="20"/>
    <x v="271"/>
    <x v="2909"/>
    <x v="4095"/>
  </r>
  <r>
    <x v="1"/>
    <x v="0"/>
    <x v="2"/>
    <x v="249"/>
    <x v="22"/>
    <x v="459"/>
    <x v="1027"/>
    <x v="4096"/>
  </r>
  <r>
    <x v="3"/>
    <x v="0"/>
    <x v="2"/>
    <x v="23"/>
    <x v="14"/>
    <x v="107"/>
    <x v="3041"/>
    <x v="4097"/>
  </r>
  <r>
    <x v="0"/>
    <x v="0"/>
    <x v="0"/>
    <x v="221"/>
    <x v="12"/>
    <x v="188"/>
    <x v="3042"/>
    <x v="4098"/>
  </r>
  <r>
    <x v="0"/>
    <x v="0"/>
    <x v="2"/>
    <x v="240"/>
    <x v="22"/>
    <x v="52"/>
    <x v="2312"/>
    <x v="4099"/>
  </r>
  <r>
    <x v="2"/>
    <x v="0"/>
    <x v="2"/>
    <x v="156"/>
    <x v="2"/>
    <x v="2"/>
    <x v="2414"/>
    <x v="4100"/>
  </r>
  <r>
    <x v="0"/>
    <x v="0"/>
    <x v="2"/>
    <x v="213"/>
    <x v="6"/>
    <x v="26"/>
    <x v="2739"/>
    <x v="4101"/>
  </r>
  <r>
    <x v="2"/>
    <x v="0"/>
    <x v="2"/>
    <x v="19"/>
    <x v="15"/>
    <x v="258"/>
    <x v="2150"/>
    <x v="4102"/>
  </r>
  <r>
    <x v="1"/>
    <x v="0"/>
    <x v="2"/>
    <x v="240"/>
    <x v="17"/>
    <x v="465"/>
    <x v="2587"/>
    <x v="4103"/>
  </r>
  <r>
    <x v="1"/>
    <x v="0"/>
    <x v="2"/>
    <x v="143"/>
    <x v="1"/>
    <x v="363"/>
    <x v="3043"/>
    <x v="4104"/>
  </r>
  <r>
    <x v="1"/>
    <x v="0"/>
    <x v="1"/>
    <x v="241"/>
    <x v="8"/>
    <x v="228"/>
    <x v="3044"/>
    <x v="4105"/>
  </r>
  <r>
    <x v="1"/>
    <x v="0"/>
    <x v="1"/>
    <x v="124"/>
    <x v="3"/>
    <x v="383"/>
    <x v="846"/>
    <x v="4106"/>
  </r>
  <r>
    <x v="1"/>
    <x v="0"/>
    <x v="1"/>
    <x v="125"/>
    <x v="15"/>
    <x v="843"/>
    <x v="1874"/>
    <x v="4107"/>
  </r>
  <r>
    <x v="0"/>
    <x v="0"/>
    <x v="0"/>
    <x v="248"/>
    <x v="2"/>
    <x v="2"/>
    <x v="3045"/>
    <x v="4108"/>
  </r>
  <r>
    <x v="0"/>
    <x v="0"/>
    <x v="2"/>
    <x v="185"/>
    <x v="2"/>
    <x v="2"/>
    <x v="3046"/>
    <x v="4109"/>
  </r>
  <r>
    <x v="2"/>
    <x v="0"/>
    <x v="2"/>
    <x v="214"/>
    <x v="16"/>
    <x v="788"/>
    <x v="773"/>
    <x v="4110"/>
  </r>
  <r>
    <x v="1"/>
    <x v="0"/>
    <x v="1"/>
    <x v="178"/>
    <x v="20"/>
    <x v="258"/>
    <x v="1567"/>
    <x v="4111"/>
  </r>
  <r>
    <x v="3"/>
    <x v="0"/>
    <x v="2"/>
    <x v="229"/>
    <x v="9"/>
    <x v="108"/>
    <x v="3047"/>
    <x v="4112"/>
  </r>
  <r>
    <x v="0"/>
    <x v="0"/>
    <x v="2"/>
    <x v="203"/>
    <x v="7"/>
    <x v="338"/>
    <x v="2195"/>
    <x v="4113"/>
  </r>
  <r>
    <x v="3"/>
    <x v="0"/>
    <x v="2"/>
    <x v="28"/>
    <x v="13"/>
    <x v="581"/>
    <x v="409"/>
    <x v="4114"/>
  </r>
  <r>
    <x v="1"/>
    <x v="0"/>
    <x v="2"/>
    <x v="232"/>
    <x v="16"/>
    <x v="131"/>
    <x v="490"/>
    <x v="4115"/>
  </r>
  <r>
    <x v="1"/>
    <x v="0"/>
    <x v="1"/>
    <x v="81"/>
    <x v="10"/>
    <x v="142"/>
    <x v="3048"/>
    <x v="4116"/>
  </r>
  <r>
    <x v="3"/>
    <x v="0"/>
    <x v="2"/>
    <x v="39"/>
    <x v="11"/>
    <x v="45"/>
    <x v="2147"/>
    <x v="4117"/>
  </r>
  <r>
    <x v="2"/>
    <x v="0"/>
    <x v="2"/>
    <x v="172"/>
    <x v="9"/>
    <x v="186"/>
    <x v="3049"/>
    <x v="4118"/>
  </r>
  <r>
    <x v="1"/>
    <x v="0"/>
    <x v="1"/>
    <x v="4"/>
    <x v="14"/>
    <x v="3"/>
    <x v="2448"/>
    <x v="4119"/>
  </r>
  <r>
    <x v="0"/>
    <x v="0"/>
    <x v="0"/>
    <x v="230"/>
    <x v="5"/>
    <x v="394"/>
    <x v="2207"/>
    <x v="4120"/>
  </r>
  <r>
    <x v="3"/>
    <x v="0"/>
    <x v="2"/>
    <x v="11"/>
    <x v="2"/>
    <x v="2"/>
    <x v="2483"/>
    <x v="4121"/>
  </r>
  <r>
    <x v="1"/>
    <x v="0"/>
    <x v="1"/>
    <x v="170"/>
    <x v="11"/>
    <x v="169"/>
    <x v="105"/>
    <x v="4122"/>
  </r>
  <r>
    <x v="2"/>
    <x v="0"/>
    <x v="2"/>
    <x v="249"/>
    <x v="7"/>
    <x v="880"/>
    <x v="1648"/>
    <x v="4123"/>
  </r>
  <r>
    <x v="0"/>
    <x v="0"/>
    <x v="0"/>
    <x v="210"/>
    <x v="1"/>
    <x v="403"/>
    <x v="3050"/>
    <x v="4124"/>
  </r>
  <r>
    <x v="1"/>
    <x v="0"/>
    <x v="1"/>
    <x v="201"/>
    <x v="19"/>
    <x v="481"/>
    <x v="3051"/>
    <x v="4125"/>
  </r>
  <r>
    <x v="1"/>
    <x v="0"/>
    <x v="1"/>
    <x v="8"/>
    <x v="10"/>
    <x v="205"/>
    <x v="3052"/>
    <x v="4126"/>
  </r>
  <r>
    <x v="2"/>
    <x v="0"/>
    <x v="2"/>
    <x v="150"/>
    <x v="15"/>
    <x v="647"/>
    <x v="3053"/>
    <x v="4127"/>
  </r>
  <r>
    <x v="1"/>
    <x v="0"/>
    <x v="1"/>
    <x v="248"/>
    <x v="10"/>
    <x v="449"/>
    <x v="3038"/>
    <x v="4128"/>
  </r>
  <r>
    <x v="2"/>
    <x v="0"/>
    <x v="2"/>
    <x v="35"/>
    <x v="11"/>
    <x v="384"/>
    <x v="644"/>
    <x v="4129"/>
  </r>
  <r>
    <x v="2"/>
    <x v="0"/>
    <x v="2"/>
    <x v="230"/>
    <x v="1"/>
    <x v="106"/>
    <x v="399"/>
    <x v="4130"/>
  </r>
  <r>
    <x v="2"/>
    <x v="0"/>
    <x v="2"/>
    <x v="148"/>
    <x v="13"/>
    <x v="297"/>
    <x v="3054"/>
    <x v="4131"/>
  </r>
  <r>
    <x v="2"/>
    <x v="0"/>
    <x v="2"/>
    <x v="88"/>
    <x v="8"/>
    <x v="644"/>
    <x v="1686"/>
    <x v="4132"/>
  </r>
  <r>
    <x v="2"/>
    <x v="0"/>
    <x v="2"/>
    <x v="234"/>
    <x v="10"/>
    <x v="415"/>
    <x v="3055"/>
    <x v="4133"/>
  </r>
  <r>
    <x v="3"/>
    <x v="0"/>
    <x v="2"/>
    <x v="23"/>
    <x v="18"/>
    <x v="582"/>
    <x v="1994"/>
    <x v="4134"/>
  </r>
  <r>
    <x v="1"/>
    <x v="0"/>
    <x v="2"/>
    <x v="170"/>
    <x v="5"/>
    <x v="114"/>
    <x v="1041"/>
    <x v="4135"/>
  </r>
  <r>
    <x v="1"/>
    <x v="0"/>
    <x v="2"/>
    <x v="162"/>
    <x v="17"/>
    <x v="379"/>
    <x v="422"/>
    <x v="4136"/>
  </r>
  <r>
    <x v="3"/>
    <x v="0"/>
    <x v="2"/>
    <x v="242"/>
    <x v="7"/>
    <x v="59"/>
    <x v="2097"/>
    <x v="4137"/>
  </r>
  <r>
    <x v="0"/>
    <x v="0"/>
    <x v="0"/>
    <x v="0"/>
    <x v="11"/>
    <x v="213"/>
    <x v="2595"/>
    <x v="4138"/>
  </r>
  <r>
    <x v="1"/>
    <x v="0"/>
    <x v="1"/>
    <x v="178"/>
    <x v="16"/>
    <x v="286"/>
    <x v="3056"/>
    <x v="4139"/>
  </r>
  <r>
    <x v="0"/>
    <x v="0"/>
    <x v="0"/>
    <x v="51"/>
    <x v="8"/>
    <x v="417"/>
    <x v="3057"/>
    <x v="4140"/>
  </r>
  <r>
    <x v="1"/>
    <x v="0"/>
    <x v="1"/>
    <x v="125"/>
    <x v="13"/>
    <x v="323"/>
    <x v="3058"/>
    <x v="4141"/>
  </r>
  <r>
    <x v="3"/>
    <x v="0"/>
    <x v="2"/>
    <x v="209"/>
    <x v="14"/>
    <x v="184"/>
    <x v="2164"/>
    <x v="4142"/>
  </r>
  <r>
    <x v="0"/>
    <x v="0"/>
    <x v="0"/>
    <x v="119"/>
    <x v="13"/>
    <x v="702"/>
    <x v="2403"/>
    <x v="4143"/>
  </r>
  <r>
    <x v="1"/>
    <x v="0"/>
    <x v="1"/>
    <x v="56"/>
    <x v="22"/>
    <x v="79"/>
    <x v="648"/>
    <x v="4144"/>
  </r>
  <r>
    <x v="2"/>
    <x v="0"/>
    <x v="2"/>
    <x v="86"/>
    <x v="10"/>
    <x v="32"/>
    <x v="949"/>
    <x v="4145"/>
  </r>
  <r>
    <x v="3"/>
    <x v="0"/>
    <x v="2"/>
    <x v="39"/>
    <x v="5"/>
    <x v="36"/>
    <x v="245"/>
    <x v="4146"/>
  </r>
  <r>
    <x v="2"/>
    <x v="0"/>
    <x v="2"/>
    <x v="230"/>
    <x v="5"/>
    <x v="394"/>
    <x v="3059"/>
    <x v="4147"/>
  </r>
  <r>
    <x v="0"/>
    <x v="0"/>
    <x v="0"/>
    <x v="82"/>
    <x v="13"/>
    <x v="665"/>
    <x v="276"/>
    <x v="4148"/>
  </r>
  <r>
    <x v="3"/>
    <x v="0"/>
    <x v="2"/>
    <x v="247"/>
    <x v="17"/>
    <x v="502"/>
    <x v="690"/>
    <x v="4149"/>
  </r>
  <r>
    <x v="1"/>
    <x v="0"/>
    <x v="2"/>
    <x v="56"/>
    <x v="24"/>
    <x v="271"/>
    <x v="408"/>
    <x v="4150"/>
  </r>
  <r>
    <x v="2"/>
    <x v="0"/>
    <x v="2"/>
    <x v="28"/>
    <x v="12"/>
    <x v="135"/>
    <x v="3060"/>
    <x v="4151"/>
  </r>
  <r>
    <x v="0"/>
    <x v="0"/>
    <x v="0"/>
    <x v="166"/>
    <x v="14"/>
    <x v="798"/>
    <x v="3061"/>
    <x v="4152"/>
  </r>
  <r>
    <x v="2"/>
    <x v="0"/>
    <x v="2"/>
    <x v="200"/>
    <x v="11"/>
    <x v="363"/>
    <x v="3062"/>
    <x v="4153"/>
  </r>
  <r>
    <x v="3"/>
    <x v="0"/>
    <x v="2"/>
    <x v="118"/>
    <x v="22"/>
    <x v="514"/>
    <x v="3063"/>
    <x v="4154"/>
  </r>
  <r>
    <x v="0"/>
    <x v="0"/>
    <x v="2"/>
    <x v="24"/>
    <x v="9"/>
    <x v="98"/>
    <x v="3064"/>
    <x v="4155"/>
  </r>
  <r>
    <x v="1"/>
    <x v="0"/>
    <x v="1"/>
    <x v="203"/>
    <x v="1"/>
    <x v="827"/>
    <x v="866"/>
    <x v="4156"/>
  </r>
  <r>
    <x v="2"/>
    <x v="0"/>
    <x v="2"/>
    <x v="212"/>
    <x v="17"/>
    <x v="128"/>
    <x v="3065"/>
    <x v="4157"/>
  </r>
  <r>
    <x v="3"/>
    <x v="0"/>
    <x v="2"/>
    <x v="192"/>
    <x v="1"/>
    <x v="81"/>
    <x v="3066"/>
    <x v="4158"/>
  </r>
  <r>
    <x v="2"/>
    <x v="0"/>
    <x v="2"/>
    <x v="206"/>
    <x v="10"/>
    <x v="631"/>
    <x v="3041"/>
    <x v="4159"/>
  </r>
  <r>
    <x v="3"/>
    <x v="0"/>
    <x v="2"/>
    <x v="48"/>
    <x v="7"/>
    <x v="844"/>
    <x v="3067"/>
    <x v="4160"/>
  </r>
  <r>
    <x v="0"/>
    <x v="0"/>
    <x v="0"/>
    <x v="211"/>
    <x v="28"/>
    <x v="88"/>
    <x v="3068"/>
    <x v="4161"/>
  </r>
  <r>
    <x v="3"/>
    <x v="0"/>
    <x v="2"/>
    <x v="89"/>
    <x v="10"/>
    <x v="245"/>
    <x v="724"/>
    <x v="4162"/>
  </r>
  <r>
    <x v="1"/>
    <x v="0"/>
    <x v="1"/>
    <x v="192"/>
    <x v="2"/>
    <x v="2"/>
    <x v="3069"/>
    <x v="4163"/>
  </r>
  <r>
    <x v="1"/>
    <x v="0"/>
    <x v="1"/>
    <x v="161"/>
    <x v="13"/>
    <x v="710"/>
    <x v="3070"/>
    <x v="4164"/>
  </r>
  <r>
    <x v="1"/>
    <x v="0"/>
    <x v="2"/>
    <x v="197"/>
    <x v="13"/>
    <x v="702"/>
    <x v="3071"/>
    <x v="4165"/>
  </r>
  <r>
    <x v="1"/>
    <x v="0"/>
    <x v="2"/>
    <x v="11"/>
    <x v="17"/>
    <x v="381"/>
    <x v="3072"/>
    <x v="4166"/>
  </r>
  <r>
    <x v="1"/>
    <x v="0"/>
    <x v="1"/>
    <x v="49"/>
    <x v="15"/>
    <x v="685"/>
    <x v="987"/>
    <x v="4167"/>
  </r>
  <r>
    <x v="0"/>
    <x v="0"/>
    <x v="2"/>
    <x v="38"/>
    <x v="11"/>
    <x v="35"/>
    <x v="1554"/>
    <x v="4168"/>
  </r>
  <r>
    <x v="2"/>
    <x v="0"/>
    <x v="2"/>
    <x v="63"/>
    <x v="13"/>
    <x v="515"/>
    <x v="1990"/>
    <x v="4169"/>
  </r>
  <r>
    <x v="0"/>
    <x v="0"/>
    <x v="0"/>
    <x v="110"/>
    <x v="13"/>
    <x v="570"/>
    <x v="3073"/>
    <x v="4170"/>
  </r>
  <r>
    <x v="1"/>
    <x v="0"/>
    <x v="1"/>
    <x v="75"/>
    <x v="7"/>
    <x v="463"/>
    <x v="1807"/>
    <x v="4171"/>
  </r>
  <r>
    <x v="2"/>
    <x v="0"/>
    <x v="2"/>
    <x v="85"/>
    <x v="12"/>
    <x v="211"/>
    <x v="2554"/>
    <x v="3240"/>
  </r>
  <r>
    <x v="3"/>
    <x v="0"/>
    <x v="2"/>
    <x v="176"/>
    <x v="2"/>
    <x v="2"/>
    <x v="3074"/>
    <x v="4172"/>
  </r>
  <r>
    <x v="0"/>
    <x v="0"/>
    <x v="0"/>
    <x v="131"/>
    <x v="25"/>
    <x v="598"/>
    <x v="3075"/>
    <x v="4173"/>
  </r>
  <r>
    <x v="1"/>
    <x v="0"/>
    <x v="2"/>
    <x v="88"/>
    <x v="6"/>
    <x v="87"/>
    <x v="3076"/>
    <x v="4174"/>
  </r>
  <r>
    <x v="1"/>
    <x v="0"/>
    <x v="2"/>
    <x v="42"/>
    <x v="15"/>
    <x v="799"/>
    <x v="2387"/>
    <x v="4175"/>
  </r>
  <r>
    <x v="1"/>
    <x v="0"/>
    <x v="2"/>
    <x v="60"/>
    <x v="15"/>
    <x v="61"/>
    <x v="2038"/>
    <x v="4176"/>
  </r>
  <r>
    <x v="3"/>
    <x v="0"/>
    <x v="2"/>
    <x v="23"/>
    <x v="10"/>
    <x v="97"/>
    <x v="2147"/>
    <x v="4177"/>
  </r>
  <r>
    <x v="1"/>
    <x v="0"/>
    <x v="2"/>
    <x v="161"/>
    <x v="28"/>
    <x v="598"/>
    <x v="3077"/>
    <x v="4178"/>
  </r>
  <r>
    <x v="2"/>
    <x v="0"/>
    <x v="2"/>
    <x v="227"/>
    <x v="20"/>
    <x v="639"/>
    <x v="1113"/>
    <x v="4179"/>
  </r>
  <r>
    <x v="0"/>
    <x v="0"/>
    <x v="2"/>
    <x v="15"/>
    <x v="11"/>
    <x v="14"/>
    <x v="2322"/>
    <x v="4180"/>
  </r>
  <r>
    <x v="1"/>
    <x v="0"/>
    <x v="1"/>
    <x v="169"/>
    <x v="6"/>
    <x v="353"/>
    <x v="3078"/>
    <x v="4181"/>
  </r>
  <r>
    <x v="3"/>
    <x v="0"/>
    <x v="2"/>
    <x v="21"/>
    <x v="5"/>
    <x v="420"/>
    <x v="1317"/>
    <x v="4182"/>
  </r>
  <r>
    <x v="0"/>
    <x v="0"/>
    <x v="0"/>
    <x v="230"/>
    <x v="0"/>
    <x v="599"/>
    <x v="1783"/>
    <x v="4183"/>
  </r>
  <r>
    <x v="1"/>
    <x v="0"/>
    <x v="1"/>
    <x v="125"/>
    <x v="6"/>
    <x v="508"/>
    <x v="3079"/>
    <x v="4184"/>
  </r>
  <r>
    <x v="2"/>
    <x v="0"/>
    <x v="2"/>
    <x v="58"/>
    <x v="2"/>
    <x v="2"/>
    <x v="3080"/>
    <x v="4185"/>
  </r>
  <r>
    <x v="2"/>
    <x v="0"/>
    <x v="2"/>
    <x v="53"/>
    <x v="2"/>
    <x v="2"/>
    <x v="3063"/>
    <x v="4186"/>
  </r>
  <r>
    <x v="2"/>
    <x v="0"/>
    <x v="2"/>
    <x v="235"/>
    <x v="6"/>
    <x v="147"/>
    <x v="3081"/>
    <x v="4187"/>
  </r>
  <r>
    <x v="0"/>
    <x v="0"/>
    <x v="2"/>
    <x v="227"/>
    <x v="0"/>
    <x v="106"/>
    <x v="3082"/>
    <x v="4188"/>
  </r>
  <r>
    <x v="3"/>
    <x v="0"/>
    <x v="2"/>
    <x v="157"/>
    <x v="21"/>
    <x v="881"/>
    <x v="1250"/>
    <x v="4189"/>
  </r>
  <r>
    <x v="3"/>
    <x v="0"/>
    <x v="2"/>
    <x v="171"/>
    <x v="15"/>
    <x v="124"/>
    <x v="1586"/>
    <x v="4190"/>
  </r>
  <r>
    <x v="0"/>
    <x v="0"/>
    <x v="2"/>
    <x v="161"/>
    <x v="20"/>
    <x v="845"/>
    <x v="3083"/>
    <x v="4191"/>
  </r>
  <r>
    <x v="0"/>
    <x v="0"/>
    <x v="2"/>
    <x v="147"/>
    <x v="1"/>
    <x v="241"/>
    <x v="147"/>
    <x v="4192"/>
  </r>
  <r>
    <x v="3"/>
    <x v="0"/>
    <x v="2"/>
    <x v="181"/>
    <x v="18"/>
    <x v="475"/>
    <x v="632"/>
    <x v="4193"/>
  </r>
  <r>
    <x v="3"/>
    <x v="0"/>
    <x v="2"/>
    <x v="25"/>
    <x v="1"/>
    <x v="373"/>
    <x v="3084"/>
    <x v="4194"/>
  </r>
  <r>
    <x v="2"/>
    <x v="0"/>
    <x v="2"/>
    <x v="40"/>
    <x v="7"/>
    <x v="156"/>
    <x v="3085"/>
    <x v="4195"/>
  </r>
  <r>
    <x v="1"/>
    <x v="0"/>
    <x v="1"/>
    <x v="22"/>
    <x v="0"/>
    <x v="618"/>
    <x v="3086"/>
    <x v="4196"/>
  </r>
  <r>
    <x v="3"/>
    <x v="0"/>
    <x v="2"/>
    <x v="115"/>
    <x v="8"/>
    <x v="409"/>
    <x v="653"/>
    <x v="4197"/>
  </r>
  <r>
    <x v="0"/>
    <x v="0"/>
    <x v="2"/>
    <x v="21"/>
    <x v="22"/>
    <x v="114"/>
    <x v="3087"/>
    <x v="4198"/>
  </r>
  <r>
    <x v="1"/>
    <x v="0"/>
    <x v="2"/>
    <x v="145"/>
    <x v="2"/>
    <x v="2"/>
    <x v="3088"/>
    <x v="4199"/>
  </r>
  <r>
    <x v="0"/>
    <x v="0"/>
    <x v="0"/>
    <x v="114"/>
    <x v="22"/>
    <x v="327"/>
    <x v="2079"/>
    <x v="4200"/>
  </r>
  <r>
    <x v="0"/>
    <x v="0"/>
    <x v="0"/>
    <x v="79"/>
    <x v="5"/>
    <x v="66"/>
    <x v="621"/>
    <x v="4201"/>
  </r>
  <r>
    <x v="1"/>
    <x v="0"/>
    <x v="2"/>
    <x v="0"/>
    <x v="2"/>
    <x v="2"/>
    <x v="3089"/>
    <x v="4202"/>
  </r>
  <r>
    <x v="0"/>
    <x v="0"/>
    <x v="2"/>
    <x v="54"/>
    <x v="8"/>
    <x v="792"/>
    <x v="1384"/>
    <x v="4203"/>
  </r>
  <r>
    <x v="0"/>
    <x v="0"/>
    <x v="0"/>
    <x v="21"/>
    <x v="0"/>
    <x v="393"/>
    <x v="3090"/>
    <x v="4204"/>
  </r>
  <r>
    <x v="2"/>
    <x v="0"/>
    <x v="2"/>
    <x v="58"/>
    <x v="11"/>
    <x v="38"/>
    <x v="3091"/>
    <x v="4205"/>
  </r>
  <r>
    <x v="2"/>
    <x v="0"/>
    <x v="2"/>
    <x v="174"/>
    <x v="15"/>
    <x v="776"/>
    <x v="1724"/>
    <x v="4206"/>
  </r>
  <r>
    <x v="1"/>
    <x v="0"/>
    <x v="1"/>
    <x v="43"/>
    <x v="0"/>
    <x v="641"/>
    <x v="3092"/>
    <x v="4207"/>
  </r>
  <r>
    <x v="1"/>
    <x v="0"/>
    <x v="1"/>
    <x v="194"/>
    <x v="15"/>
    <x v="45"/>
    <x v="3093"/>
    <x v="4208"/>
  </r>
  <r>
    <x v="1"/>
    <x v="0"/>
    <x v="2"/>
    <x v="146"/>
    <x v="25"/>
    <x v="111"/>
    <x v="3094"/>
    <x v="4209"/>
  </r>
  <r>
    <x v="0"/>
    <x v="0"/>
    <x v="2"/>
    <x v="42"/>
    <x v="22"/>
    <x v="385"/>
    <x v="3095"/>
    <x v="4210"/>
  </r>
  <r>
    <x v="3"/>
    <x v="0"/>
    <x v="2"/>
    <x v="96"/>
    <x v="28"/>
    <x v="401"/>
    <x v="3096"/>
    <x v="4211"/>
  </r>
  <r>
    <x v="3"/>
    <x v="0"/>
    <x v="2"/>
    <x v="141"/>
    <x v="9"/>
    <x v="624"/>
    <x v="3097"/>
    <x v="4212"/>
  </r>
  <r>
    <x v="1"/>
    <x v="0"/>
    <x v="2"/>
    <x v="108"/>
    <x v="14"/>
    <x v="531"/>
    <x v="3098"/>
    <x v="4213"/>
  </r>
  <r>
    <x v="3"/>
    <x v="0"/>
    <x v="2"/>
    <x v="139"/>
    <x v="20"/>
    <x v="18"/>
    <x v="3099"/>
    <x v="4214"/>
  </r>
  <r>
    <x v="3"/>
    <x v="0"/>
    <x v="2"/>
    <x v="34"/>
    <x v="0"/>
    <x v="634"/>
    <x v="178"/>
    <x v="4215"/>
  </r>
  <r>
    <x v="1"/>
    <x v="0"/>
    <x v="2"/>
    <x v="200"/>
    <x v="6"/>
    <x v="465"/>
    <x v="3100"/>
    <x v="4216"/>
  </r>
  <r>
    <x v="1"/>
    <x v="0"/>
    <x v="2"/>
    <x v="32"/>
    <x v="1"/>
    <x v="3"/>
    <x v="3101"/>
    <x v="4217"/>
  </r>
  <r>
    <x v="3"/>
    <x v="0"/>
    <x v="2"/>
    <x v="29"/>
    <x v="0"/>
    <x v="381"/>
    <x v="55"/>
    <x v="4218"/>
  </r>
  <r>
    <x v="0"/>
    <x v="0"/>
    <x v="0"/>
    <x v="248"/>
    <x v="6"/>
    <x v="764"/>
    <x v="3102"/>
    <x v="4219"/>
  </r>
  <r>
    <x v="1"/>
    <x v="0"/>
    <x v="1"/>
    <x v="93"/>
    <x v="22"/>
    <x v="92"/>
    <x v="3103"/>
    <x v="4220"/>
  </r>
  <r>
    <x v="1"/>
    <x v="0"/>
    <x v="2"/>
    <x v="204"/>
    <x v="6"/>
    <x v="373"/>
    <x v="2075"/>
    <x v="4221"/>
  </r>
  <r>
    <x v="2"/>
    <x v="0"/>
    <x v="2"/>
    <x v="82"/>
    <x v="0"/>
    <x v="81"/>
    <x v="3104"/>
    <x v="4222"/>
  </r>
  <r>
    <x v="1"/>
    <x v="0"/>
    <x v="2"/>
    <x v="108"/>
    <x v="13"/>
    <x v="266"/>
    <x v="3105"/>
    <x v="4223"/>
  </r>
  <r>
    <x v="3"/>
    <x v="0"/>
    <x v="2"/>
    <x v="83"/>
    <x v="22"/>
    <x v="627"/>
    <x v="3106"/>
    <x v="4224"/>
  </r>
  <r>
    <x v="1"/>
    <x v="0"/>
    <x v="1"/>
    <x v="129"/>
    <x v="13"/>
    <x v="882"/>
    <x v="2592"/>
    <x v="4225"/>
  </r>
  <r>
    <x v="0"/>
    <x v="0"/>
    <x v="2"/>
    <x v="245"/>
    <x v="5"/>
    <x v="528"/>
    <x v="1939"/>
    <x v="4226"/>
  </r>
  <r>
    <x v="3"/>
    <x v="0"/>
    <x v="2"/>
    <x v="99"/>
    <x v="12"/>
    <x v="869"/>
    <x v="3107"/>
    <x v="4227"/>
  </r>
  <r>
    <x v="0"/>
    <x v="0"/>
    <x v="2"/>
    <x v="44"/>
    <x v="13"/>
    <x v="171"/>
    <x v="560"/>
    <x v="4228"/>
  </r>
  <r>
    <x v="0"/>
    <x v="0"/>
    <x v="0"/>
    <x v="214"/>
    <x v="11"/>
    <x v="477"/>
    <x v="3108"/>
    <x v="4229"/>
  </r>
  <r>
    <x v="1"/>
    <x v="0"/>
    <x v="2"/>
    <x v="93"/>
    <x v="0"/>
    <x v="333"/>
    <x v="678"/>
    <x v="4230"/>
  </r>
  <r>
    <x v="1"/>
    <x v="0"/>
    <x v="2"/>
    <x v="185"/>
    <x v="1"/>
    <x v="314"/>
    <x v="2674"/>
    <x v="4231"/>
  </r>
  <r>
    <x v="2"/>
    <x v="0"/>
    <x v="2"/>
    <x v="6"/>
    <x v="2"/>
    <x v="2"/>
    <x v="1382"/>
    <x v="4232"/>
  </r>
  <r>
    <x v="0"/>
    <x v="0"/>
    <x v="0"/>
    <x v="138"/>
    <x v="6"/>
    <x v="620"/>
    <x v="2776"/>
    <x v="4233"/>
  </r>
  <r>
    <x v="1"/>
    <x v="0"/>
    <x v="1"/>
    <x v="169"/>
    <x v="17"/>
    <x v="883"/>
    <x v="1734"/>
    <x v="4234"/>
  </r>
  <r>
    <x v="0"/>
    <x v="0"/>
    <x v="2"/>
    <x v="63"/>
    <x v="0"/>
    <x v="414"/>
    <x v="2144"/>
    <x v="4235"/>
  </r>
  <r>
    <x v="1"/>
    <x v="0"/>
    <x v="2"/>
    <x v="22"/>
    <x v="7"/>
    <x v="875"/>
    <x v="3109"/>
    <x v="4236"/>
  </r>
  <r>
    <x v="0"/>
    <x v="0"/>
    <x v="0"/>
    <x v="140"/>
    <x v="22"/>
    <x v="280"/>
    <x v="3110"/>
    <x v="4237"/>
  </r>
  <r>
    <x v="1"/>
    <x v="0"/>
    <x v="2"/>
    <x v="73"/>
    <x v="5"/>
    <x v="380"/>
    <x v="2002"/>
    <x v="4238"/>
  </r>
  <r>
    <x v="0"/>
    <x v="0"/>
    <x v="0"/>
    <x v="106"/>
    <x v="6"/>
    <x v="296"/>
    <x v="2898"/>
    <x v="4239"/>
  </r>
  <r>
    <x v="1"/>
    <x v="0"/>
    <x v="2"/>
    <x v="147"/>
    <x v="2"/>
    <x v="2"/>
    <x v="1686"/>
    <x v="4240"/>
  </r>
  <r>
    <x v="2"/>
    <x v="0"/>
    <x v="2"/>
    <x v="77"/>
    <x v="9"/>
    <x v="452"/>
    <x v="3111"/>
    <x v="4241"/>
  </r>
  <r>
    <x v="3"/>
    <x v="0"/>
    <x v="2"/>
    <x v="16"/>
    <x v="1"/>
    <x v="315"/>
    <x v="1731"/>
    <x v="4242"/>
  </r>
  <r>
    <x v="0"/>
    <x v="0"/>
    <x v="0"/>
    <x v="63"/>
    <x v="26"/>
    <x v="435"/>
    <x v="3112"/>
    <x v="4243"/>
  </r>
  <r>
    <x v="2"/>
    <x v="0"/>
    <x v="2"/>
    <x v="37"/>
    <x v="10"/>
    <x v="68"/>
    <x v="1383"/>
    <x v="4244"/>
  </r>
  <r>
    <x v="1"/>
    <x v="0"/>
    <x v="2"/>
    <x v="90"/>
    <x v="13"/>
    <x v="579"/>
    <x v="271"/>
    <x v="4245"/>
  </r>
  <r>
    <x v="1"/>
    <x v="0"/>
    <x v="2"/>
    <x v="88"/>
    <x v="13"/>
    <x v="782"/>
    <x v="3113"/>
    <x v="4246"/>
  </r>
  <r>
    <x v="0"/>
    <x v="0"/>
    <x v="2"/>
    <x v="143"/>
    <x v="13"/>
    <x v="671"/>
    <x v="3114"/>
    <x v="4247"/>
  </r>
  <r>
    <x v="0"/>
    <x v="0"/>
    <x v="2"/>
    <x v="207"/>
    <x v="11"/>
    <x v="422"/>
    <x v="63"/>
    <x v="4248"/>
  </r>
  <r>
    <x v="1"/>
    <x v="0"/>
    <x v="1"/>
    <x v="71"/>
    <x v="20"/>
    <x v="68"/>
    <x v="3115"/>
    <x v="4249"/>
  </r>
  <r>
    <x v="1"/>
    <x v="0"/>
    <x v="1"/>
    <x v="247"/>
    <x v="2"/>
    <x v="2"/>
    <x v="2085"/>
    <x v="4250"/>
  </r>
  <r>
    <x v="1"/>
    <x v="0"/>
    <x v="2"/>
    <x v="195"/>
    <x v="13"/>
    <x v="319"/>
    <x v="668"/>
    <x v="4251"/>
  </r>
  <r>
    <x v="0"/>
    <x v="0"/>
    <x v="2"/>
    <x v="78"/>
    <x v="6"/>
    <x v="884"/>
    <x v="3116"/>
    <x v="4252"/>
  </r>
  <r>
    <x v="0"/>
    <x v="0"/>
    <x v="0"/>
    <x v="189"/>
    <x v="17"/>
    <x v="716"/>
    <x v="3117"/>
    <x v="4253"/>
  </r>
  <r>
    <x v="0"/>
    <x v="0"/>
    <x v="2"/>
    <x v="173"/>
    <x v="14"/>
    <x v="466"/>
    <x v="1076"/>
    <x v="4254"/>
  </r>
  <r>
    <x v="1"/>
    <x v="0"/>
    <x v="2"/>
    <x v="66"/>
    <x v="2"/>
    <x v="2"/>
    <x v="658"/>
    <x v="4255"/>
  </r>
  <r>
    <x v="1"/>
    <x v="0"/>
    <x v="1"/>
    <x v="55"/>
    <x v="17"/>
    <x v="482"/>
    <x v="2769"/>
    <x v="4256"/>
  </r>
  <r>
    <x v="0"/>
    <x v="0"/>
    <x v="2"/>
    <x v="11"/>
    <x v="15"/>
    <x v="885"/>
    <x v="982"/>
    <x v="4257"/>
  </r>
  <r>
    <x v="3"/>
    <x v="0"/>
    <x v="2"/>
    <x v="245"/>
    <x v="0"/>
    <x v="511"/>
    <x v="3118"/>
    <x v="4258"/>
  </r>
  <r>
    <x v="0"/>
    <x v="0"/>
    <x v="0"/>
    <x v="63"/>
    <x v="9"/>
    <x v="26"/>
    <x v="3119"/>
    <x v="4259"/>
  </r>
  <r>
    <x v="3"/>
    <x v="0"/>
    <x v="2"/>
    <x v="82"/>
    <x v="10"/>
    <x v="163"/>
    <x v="3120"/>
    <x v="4260"/>
  </r>
  <r>
    <x v="1"/>
    <x v="0"/>
    <x v="2"/>
    <x v="245"/>
    <x v="1"/>
    <x v="619"/>
    <x v="2173"/>
    <x v="4261"/>
  </r>
  <r>
    <x v="0"/>
    <x v="0"/>
    <x v="2"/>
    <x v="3"/>
    <x v="5"/>
    <x v="244"/>
    <x v="1079"/>
    <x v="4262"/>
  </r>
  <r>
    <x v="0"/>
    <x v="0"/>
    <x v="2"/>
    <x v="166"/>
    <x v="0"/>
    <x v="753"/>
    <x v="1066"/>
    <x v="4263"/>
  </r>
  <r>
    <x v="2"/>
    <x v="0"/>
    <x v="2"/>
    <x v="189"/>
    <x v="6"/>
    <x v="820"/>
    <x v="3121"/>
    <x v="4264"/>
  </r>
  <r>
    <x v="0"/>
    <x v="0"/>
    <x v="2"/>
    <x v="131"/>
    <x v="1"/>
    <x v="816"/>
    <x v="272"/>
    <x v="4265"/>
  </r>
  <r>
    <x v="3"/>
    <x v="0"/>
    <x v="2"/>
    <x v="210"/>
    <x v="13"/>
    <x v="400"/>
    <x v="3122"/>
    <x v="4266"/>
  </r>
  <r>
    <x v="2"/>
    <x v="0"/>
    <x v="2"/>
    <x v="221"/>
    <x v="15"/>
    <x v="201"/>
    <x v="3123"/>
    <x v="4267"/>
  </r>
  <r>
    <x v="2"/>
    <x v="0"/>
    <x v="2"/>
    <x v="190"/>
    <x v="1"/>
    <x v="653"/>
    <x v="2065"/>
    <x v="4268"/>
  </r>
  <r>
    <x v="2"/>
    <x v="0"/>
    <x v="2"/>
    <x v="214"/>
    <x v="16"/>
    <x v="788"/>
    <x v="1515"/>
    <x v="4269"/>
  </r>
  <r>
    <x v="2"/>
    <x v="0"/>
    <x v="2"/>
    <x v="151"/>
    <x v="6"/>
    <x v="106"/>
    <x v="3124"/>
    <x v="4270"/>
  </r>
  <r>
    <x v="1"/>
    <x v="0"/>
    <x v="2"/>
    <x v="149"/>
    <x v="15"/>
    <x v="185"/>
    <x v="541"/>
    <x v="4271"/>
  </r>
  <r>
    <x v="1"/>
    <x v="0"/>
    <x v="2"/>
    <x v="67"/>
    <x v="22"/>
    <x v="886"/>
    <x v="2095"/>
    <x v="4272"/>
  </r>
  <r>
    <x v="0"/>
    <x v="0"/>
    <x v="2"/>
    <x v="120"/>
    <x v="11"/>
    <x v="112"/>
    <x v="540"/>
    <x v="4273"/>
  </r>
  <r>
    <x v="0"/>
    <x v="0"/>
    <x v="2"/>
    <x v="223"/>
    <x v="12"/>
    <x v="120"/>
    <x v="3125"/>
    <x v="4274"/>
  </r>
  <r>
    <x v="0"/>
    <x v="0"/>
    <x v="0"/>
    <x v="248"/>
    <x v="13"/>
    <x v="548"/>
    <x v="905"/>
    <x v="4275"/>
  </r>
  <r>
    <x v="1"/>
    <x v="0"/>
    <x v="1"/>
    <x v="24"/>
    <x v="10"/>
    <x v="551"/>
    <x v="3022"/>
    <x v="4276"/>
  </r>
  <r>
    <x v="0"/>
    <x v="0"/>
    <x v="0"/>
    <x v="7"/>
    <x v="18"/>
    <x v="640"/>
    <x v="3126"/>
    <x v="4277"/>
  </r>
  <r>
    <x v="0"/>
    <x v="0"/>
    <x v="0"/>
    <x v="227"/>
    <x v="14"/>
    <x v="802"/>
    <x v="3127"/>
    <x v="4278"/>
  </r>
  <r>
    <x v="1"/>
    <x v="0"/>
    <x v="1"/>
    <x v="71"/>
    <x v="16"/>
    <x v="49"/>
    <x v="3128"/>
    <x v="4279"/>
  </r>
  <r>
    <x v="3"/>
    <x v="0"/>
    <x v="2"/>
    <x v="56"/>
    <x v="11"/>
    <x v="268"/>
    <x v="3129"/>
    <x v="4280"/>
  </r>
  <r>
    <x v="1"/>
    <x v="0"/>
    <x v="1"/>
    <x v="6"/>
    <x v="1"/>
    <x v="14"/>
    <x v="3130"/>
    <x v="4075"/>
  </r>
  <r>
    <x v="2"/>
    <x v="0"/>
    <x v="2"/>
    <x v="205"/>
    <x v="4"/>
    <x v="684"/>
    <x v="1149"/>
    <x v="4281"/>
  </r>
  <r>
    <x v="0"/>
    <x v="0"/>
    <x v="0"/>
    <x v="75"/>
    <x v="11"/>
    <x v="818"/>
    <x v="2216"/>
    <x v="4282"/>
  </r>
  <r>
    <x v="1"/>
    <x v="0"/>
    <x v="1"/>
    <x v="62"/>
    <x v="6"/>
    <x v="576"/>
    <x v="2374"/>
    <x v="4283"/>
  </r>
  <r>
    <x v="2"/>
    <x v="0"/>
    <x v="2"/>
    <x v="122"/>
    <x v="17"/>
    <x v="766"/>
    <x v="3131"/>
    <x v="4284"/>
  </r>
  <r>
    <x v="1"/>
    <x v="0"/>
    <x v="1"/>
    <x v="224"/>
    <x v="0"/>
    <x v="64"/>
    <x v="3132"/>
    <x v="4285"/>
  </r>
  <r>
    <x v="1"/>
    <x v="0"/>
    <x v="1"/>
    <x v="166"/>
    <x v="14"/>
    <x v="798"/>
    <x v="1576"/>
    <x v="4286"/>
  </r>
  <r>
    <x v="1"/>
    <x v="0"/>
    <x v="2"/>
    <x v="100"/>
    <x v="5"/>
    <x v="305"/>
    <x v="3133"/>
    <x v="4287"/>
  </r>
  <r>
    <x v="0"/>
    <x v="0"/>
    <x v="0"/>
    <x v="53"/>
    <x v="14"/>
    <x v="819"/>
    <x v="3134"/>
    <x v="4288"/>
  </r>
  <r>
    <x v="3"/>
    <x v="0"/>
    <x v="2"/>
    <x v="180"/>
    <x v="2"/>
    <x v="2"/>
    <x v="3135"/>
    <x v="4289"/>
  </r>
  <r>
    <x v="0"/>
    <x v="0"/>
    <x v="2"/>
    <x v="114"/>
    <x v="9"/>
    <x v="188"/>
    <x v="2232"/>
    <x v="4290"/>
  </r>
  <r>
    <x v="1"/>
    <x v="0"/>
    <x v="1"/>
    <x v="224"/>
    <x v="1"/>
    <x v="56"/>
    <x v="1053"/>
    <x v="4291"/>
  </r>
  <r>
    <x v="1"/>
    <x v="0"/>
    <x v="2"/>
    <x v="225"/>
    <x v="0"/>
    <x v="413"/>
    <x v="551"/>
    <x v="4292"/>
  </r>
  <r>
    <x v="0"/>
    <x v="0"/>
    <x v="2"/>
    <x v="88"/>
    <x v="6"/>
    <x v="87"/>
    <x v="2407"/>
    <x v="4293"/>
  </r>
  <r>
    <x v="1"/>
    <x v="0"/>
    <x v="2"/>
    <x v="31"/>
    <x v="22"/>
    <x v="197"/>
    <x v="3136"/>
    <x v="4294"/>
  </r>
  <r>
    <x v="0"/>
    <x v="0"/>
    <x v="0"/>
    <x v="203"/>
    <x v="3"/>
    <x v="887"/>
    <x v="490"/>
    <x v="4295"/>
  </r>
  <r>
    <x v="1"/>
    <x v="0"/>
    <x v="2"/>
    <x v="189"/>
    <x v="16"/>
    <x v="673"/>
    <x v="2047"/>
    <x v="4296"/>
  </r>
  <r>
    <x v="2"/>
    <x v="0"/>
    <x v="2"/>
    <x v="219"/>
    <x v="3"/>
    <x v="348"/>
    <x v="279"/>
    <x v="4297"/>
  </r>
  <r>
    <x v="0"/>
    <x v="0"/>
    <x v="2"/>
    <x v="161"/>
    <x v="17"/>
    <x v="45"/>
    <x v="1141"/>
    <x v="4298"/>
  </r>
  <r>
    <x v="0"/>
    <x v="0"/>
    <x v="0"/>
    <x v="12"/>
    <x v="10"/>
    <x v="31"/>
    <x v="3137"/>
    <x v="4299"/>
  </r>
  <r>
    <x v="2"/>
    <x v="0"/>
    <x v="2"/>
    <x v="2"/>
    <x v="5"/>
    <x v="68"/>
    <x v="897"/>
    <x v="4300"/>
  </r>
  <r>
    <x v="3"/>
    <x v="0"/>
    <x v="2"/>
    <x v="56"/>
    <x v="24"/>
    <x v="271"/>
    <x v="3138"/>
    <x v="4301"/>
  </r>
  <r>
    <x v="0"/>
    <x v="0"/>
    <x v="2"/>
    <x v="174"/>
    <x v="2"/>
    <x v="2"/>
    <x v="3114"/>
    <x v="4302"/>
  </r>
  <r>
    <x v="2"/>
    <x v="0"/>
    <x v="2"/>
    <x v="167"/>
    <x v="7"/>
    <x v="287"/>
    <x v="3139"/>
    <x v="4303"/>
  </r>
  <r>
    <x v="0"/>
    <x v="0"/>
    <x v="2"/>
    <x v="104"/>
    <x v="13"/>
    <x v="566"/>
    <x v="3140"/>
    <x v="4304"/>
  </r>
  <r>
    <x v="0"/>
    <x v="0"/>
    <x v="0"/>
    <x v="168"/>
    <x v="27"/>
    <x v="724"/>
    <x v="2771"/>
    <x v="4305"/>
  </r>
  <r>
    <x v="1"/>
    <x v="0"/>
    <x v="1"/>
    <x v="189"/>
    <x v="17"/>
    <x v="716"/>
    <x v="3141"/>
    <x v="4306"/>
  </r>
  <r>
    <x v="0"/>
    <x v="0"/>
    <x v="0"/>
    <x v="46"/>
    <x v="24"/>
    <x v="71"/>
    <x v="1341"/>
    <x v="4307"/>
  </r>
  <r>
    <x v="1"/>
    <x v="0"/>
    <x v="2"/>
    <x v="212"/>
    <x v="6"/>
    <x v="762"/>
    <x v="2793"/>
    <x v="4308"/>
  </r>
  <r>
    <x v="0"/>
    <x v="0"/>
    <x v="2"/>
    <x v="28"/>
    <x v="17"/>
    <x v="797"/>
    <x v="3142"/>
    <x v="4309"/>
  </r>
  <r>
    <x v="1"/>
    <x v="0"/>
    <x v="2"/>
    <x v="171"/>
    <x v="14"/>
    <x v="312"/>
    <x v="3143"/>
    <x v="4310"/>
  </r>
  <r>
    <x v="0"/>
    <x v="0"/>
    <x v="2"/>
    <x v="196"/>
    <x v="1"/>
    <x v="597"/>
    <x v="1697"/>
    <x v="4311"/>
  </r>
  <r>
    <x v="1"/>
    <x v="0"/>
    <x v="2"/>
    <x v="117"/>
    <x v="6"/>
    <x v="44"/>
    <x v="3144"/>
    <x v="4312"/>
  </r>
  <r>
    <x v="0"/>
    <x v="0"/>
    <x v="0"/>
    <x v="212"/>
    <x v="1"/>
    <x v="768"/>
    <x v="2046"/>
    <x v="4313"/>
  </r>
  <r>
    <x v="0"/>
    <x v="0"/>
    <x v="0"/>
    <x v="224"/>
    <x v="2"/>
    <x v="2"/>
    <x v="3145"/>
    <x v="4314"/>
  </r>
  <r>
    <x v="3"/>
    <x v="0"/>
    <x v="2"/>
    <x v="42"/>
    <x v="5"/>
    <x v="51"/>
    <x v="3146"/>
    <x v="4315"/>
  </r>
  <r>
    <x v="0"/>
    <x v="0"/>
    <x v="0"/>
    <x v="209"/>
    <x v="2"/>
    <x v="2"/>
    <x v="3147"/>
    <x v="4316"/>
  </r>
  <r>
    <x v="0"/>
    <x v="0"/>
    <x v="2"/>
    <x v="99"/>
    <x v="22"/>
    <x v="78"/>
    <x v="3148"/>
    <x v="4317"/>
  </r>
  <r>
    <x v="0"/>
    <x v="0"/>
    <x v="0"/>
    <x v="97"/>
    <x v="10"/>
    <x v="100"/>
    <x v="823"/>
    <x v="4318"/>
  </r>
  <r>
    <x v="1"/>
    <x v="0"/>
    <x v="2"/>
    <x v="38"/>
    <x v="13"/>
    <x v="433"/>
    <x v="3149"/>
    <x v="4319"/>
  </r>
  <r>
    <x v="0"/>
    <x v="0"/>
    <x v="0"/>
    <x v="212"/>
    <x v="2"/>
    <x v="2"/>
    <x v="3150"/>
    <x v="4320"/>
  </r>
  <r>
    <x v="3"/>
    <x v="0"/>
    <x v="2"/>
    <x v="122"/>
    <x v="14"/>
    <x v="875"/>
    <x v="3151"/>
    <x v="4321"/>
  </r>
  <r>
    <x v="0"/>
    <x v="0"/>
    <x v="0"/>
    <x v="165"/>
    <x v="1"/>
    <x v="7"/>
    <x v="3152"/>
    <x v="4322"/>
  </r>
  <r>
    <x v="0"/>
    <x v="0"/>
    <x v="2"/>
    <x v="165"/>
    <x v="15"/>
    <x v="12"/>
    <x v="3153"/>
    <x v="4323"/>
  </r>
  <r>
    <x v="2"/>
    <x v="0"/>
    <x v="2"/>
    <x v="25"/>
    <x v="15"/>
    <x v="318"/>
    <x v="3154"/>
    <x v="4324"/>
  </r>
  <r>
    <x v="1"/>
    <x v="0"/>
    <x v="2"/>
    <x v="91"/>
    <x v="11"/>
    <x v="574"/>
    <x v="3155"/>
    <x v="4325"/>
  </r>
  <r>
    <x v="2"/>
    <x v="0"/>
    <x v="2"/>
    <x v="55"/>
    <x v="15"/>
    <x v="186"/>
    <x v="3156"/>
    <x v="4326"/>
  </r>
  <r>
    <x v="3"/>
    <x v="0"/>
    <x v="2"/>
    <x v="122"/>
    <x v="5"/>
    <x v="356"/>
    <x v="3157"/>
    <x v="4327"/>
  </r>
  <r>
    <x v="0"/>
    <x v="0"/>
    <x v="2"/>
    <x v="37"/>
    <x v="5"/>
    <x v="260"/>
    <x v="2607"/>
    <x v="4328"/>
  </r>
  <r>
    <x v="0"/>
    <x v="0"/>
    <x v="0"/>
    <x v="202"/>
    <x v="15"/>
    <x v="829"/>
    <x v="3158"/>
    <x v="4329"/>
  </r>
  <r>
    <x v="1"/>
    <x v="0"/>
    <x v="1"/>
    <x v="85"/>
    <x v="4"/>
    <x v="652"/>
    <x v="258"/>
    <x v="4330"/>
  </r>
  <r>
    <x v="0"/>
    <x v="0"/>
    <x v="0"/>
    <x v="105"/>
    <x v="2"/>
    <x v="2"/>
    <x v="3159"/>
    <x v="4331"/>
  </r>
  <r>
    <x v="2"/>
    <x v="0"/>
    <x v="2"/>
    <x v="201"/>
    <x v="23"/>
    <x v="849"/>
    <x v="1621"/>
    <x v="4332"/>
  </r>
  <r>
    <x v="3"/>
    <x v="0"/>
    <x v="2"/>
    <x v="87"/>
    <x v="14"/>
    <x v="350"/>
    <x v="3160"/>
    <x v="4333"/>
  </r>
  <r>
    <x v="3"/>
    <x v="0"/>
    <x v="2"/>
    <x v="201"/>
    <x v="6"/>
    <x v="560"/>
    <x v="3161"/>
    <x v="4334"/>
  </r>
  <r>
    <x v="2"/>
    <x v="0"/>
    <x v="2"/>
    <x v="23"/>
    <x v="12"/>
    <x v="821"/>
    <x v="559"/>
    <x v="4335"/>
  </r>
  <r>
    <x v="2"/>
    <x v="0"/>
    <x v="2"/>
    <x v="214"/>
    <x v="10"/>
    <x v="380"/>
    <x v="3162"/>
    <x v="4336"/>
  </r>
  <r>
    <x v="1"/>
    <x v="0"/>
    <x v="1"/>
    <x v="105"/>
    <x v="6"/>
    <x v="18"/>
    <x v="1533"/>
    <x v="4337"/>
  </r>
  <r>
    <x v="0"/>
    <x v="0"/>
    <x v="0"/>
    <x v="192"/>
    <x v="0"/>
    <x v="452"/>
    <x v="1839"/>
    <x v="4338"/>
  </r>
  <r>
    <x v="0"/>
    <x v="0"/>
    <x v="2"/>
    <x v="91"/>
    <x v="11"/>
    <x v="574"/>
    <x v="3163"/>
    <x v="4339"/>
  </r>
  <r>
    <x v="3"/>
    <x v="0"/>
    <x v="2"/>
    <x v="80"/>
    <x v="17"/>
    <x v="271"/>
    <x v="2286"/>
    <x v="4340"/>
  </r>
  <r>
    <x v="0"/>
    <x v="0"/>
    <x v="2"/>
    <x v="246"/>
    <x v="19"/>
    <x v="461"/>
    <x v="3164"/>
    <x v="4341"/>
  </r>
  <r>
    <x v="1"/>
    <x v="0"/>
    <x v="2"/>
    <x v="168"/>
    <x v="28"/>
    <x v="68"/>
    <x v="3165"/>
    <x v="4342"/>
  </r>
  <r>
    <x v="2"/>
    <x v="0"/>
    <x v="2"/>
    <x v="63"/>
    <x v="21"/>
    <x v="580"/>
    <x v="3166"/>
    <x v="4343"/>
  </r>
  <r>
    <x v="0"/>
    <x v="0"/>
    <x v="0"/>
    <x v="38"/>
    <x v="11"/>
    <x v="35"/>
    <x v="3167"/>
    <x v="4344"/>
  </r>
  <r>
    <x v="0"/>
    <x v="0"/>
    <x v="2"/>
    <x v="196"/>
    <x v="11"/>
    <x v="347"/>
    <x v="3168"/>
    <x v="4345"/>
  </r>
  <r>
    <x v="3"/>
    <x v="0"/>
    <x v="2"/>
    <x v="92"/>
    <x v="2"/>
    <x v="2"/>
    <x v="3169"/>
    <x v="4346"/>
  </r>
  <r>
    <x v="1"/>
    <x v="0"/>
    <x v="1"/>
    <x v="2"/>
    <x v="6"/>
    <x v="67"/>
    <x v="779"/>
    <x v="4347"/>
  </r>
  <r>
    <x v="2"/>
    <x v="0"/>
    <x v="2"/>
    <x v="76"/>
    <x v="2"/>
    <x v="2"/>
    <x v="3170"/>
    <x v="4348"/>
  </r>
  <r>
    <x v="1"/>
    <x v="0"/>
    <x v="2"/>
    <x v="196"/>
    <x v="6"/>
    <x v="201"/>
    <x v="3171"/>
    <x v="4349"/>
  </r>
  <r>
    <x v="1"/>
    <x v="0"/>
    <x v="2"/>
    <x v="111"/>
    <x v="1"/>
    <x v="750"/>
    <x v="3172"/>
    <x v="4350"/>
  </r>
  <r>
    <x v="1"/>
    <x v="0"/>
    <x v="1"/>
    <x v="159"/>
    <x v="9"/>
    <x v="367"/>
    <x v="2104"/>
    <x v="4351"/>
  </r>
  <r>
    <x v="1"/>
    <x v="0"/>
    <x v="1"/>
    <x v="33"/>
    <x v="13"/>
    <x v="72"/>
    <x v="1270"/>
    <x v="4352"/>
  </r>
  <r>
    <x v="2"/>
    <x v="0"/>
    <x v="2"/>
    <x v="158"/>
    <x v="15"/>
    <x v="454"/>
    <x v="3173"/>
    <x v="4353"/>
  </r>
  <r>
    <x v="1"/>
    <x v="0"/>
    <x v="2"/>
    <x v="250"/>
    <x v="0"/>
    <x v="186"/>
    <x v="3174"/>
    <x v="4354"/>
  </r>
  <r>
    <x v="1"/>
    <x v="0"/>
    <x v="1"/>
    <x v="213"/>
    <x v="5"/>
    <x v="128"/>
    <x v="1146"/>
    <x v="4355"/>
  </r>
  <r>
    <x v="1"/>
    <x v="0"/>
    <x v="1"/>
    <x v="210"/>
    <x v="5"/>
    <x v="212"/>
    <x v="3175"/>
    <x v="4356"/>
  </r>
  <r>
    <x v="0"/>
    <x v="0"/>
    <x v="0"/>
    <x v="97"/>
    <x v="16"/>
    <x v="803"/>
    <x v="2761"/>
    <x v="4357"/>
  </r>
  <r>
    <x v="1"/>
    <x v="0"/>
    <x v="1"/>
    <x v="112"/>
    <x v="1"/>
    <x v="626"/>
    <x v="1976"/>
    <x v="4358"/>
  </r>
  <r>
    <x v="3"/>
    <x v="0"/>
    <x v="2"/>
    <x v="75"/>
    <x v="17"/>
    <x v="493"/>
    <x v="3176"/>
    <x v="4359"/>
  </r>
  <r>
    <x v="3"/>
    <x v="0"/>
    <x v="2"/>
    <x v="62"/>
    <x v="7"/>
    <x v="481"/>
    <x v="3177"/>
    <x v="4360"/>
  </r>
  <r>
    <x v="3"/>
    <x v="0"/>
    <x v="2"/>
    <x v="245"/>
    <x v="0"/>
    <x v="511"/>
    <x v="3178"/>
    <x v="4361"/>
  </r>
  <r>
    <x v="3"/>
    <x v="0"/>
    <x v="2"/>
    <x v="135"/>
    <x v="15"/>
    <x v="169"/>
    <x v="507"/>
    <x v="520"/>
  </r>
  <r>
    <x v="0"/>
    <x v="0"/>
    <x v="0"/>
    <x v="121"/>
    <x v="9"/>
    <x v="453"/>
    <x v="1659"/>
    <x v="4362"/>
  </r>
  <r>
    <x v="2"/>
    <x v="0"/>
    <x v="2"/>
    <x v="129"/>
    <x v="12"/>
    <x v="37"/>
    <x v="1548"/>
    <x v="4363"/>
  </r>
  <r>
    <x v="2"/>
    <x v="0"/>
    <x v="2"/>
    <x v="11"/>
    <x v="2"/>
    <x v="2"/>
    <x v="3179"/>
    <x v="4364"/>
  </r>
  <r>
    <x v="2"/>
    <x v="0"/>
    <x v="2"/>
    <x v="92"/>
    <x v="16"/>
    <x v="809"/>
    <x v="2023"/>
    <x v="4365"/>
  </r>
  <r>
    <x v="2"/>
    <x v="0"/>
    <x v="2"/>
    <x v="19"/>
    <x v="0"/>
    <x v="211"/>
    <x v="3180"/>
    <x v="4366"/>
  </r>
  <r>
    <x v="1"/>
    <x v="0"/>
    <x v="1"/>
    <x v="138"/>
    <x v="15"/>
    <x v="327"/>
    <x v="3181"/>
    <x v="4367"/>
  </r>
  <r>
    <x v="0"/>
    <x v="0"/>
    <x v="0"/>
    <x v="139"/>
    <x v="28"/>
    <x v="803"/>
    <x v="3182"/>
    <x v="4368"/>
  </r>
  <r>
    <x v="1"/>
    <x v="0"/>
    <x v="2"/>
    <x v="61"/>
    <x v="24"/>
    <x v="603"/>
    <x v="3183"/>
    <x v="4369"/>
  </r>
  <r>
    <x v="0"/>
    <x v="0"/>
    <x v="2"/>
    <x v="225"/>
    <x v="11"/>
    <x v="876"/>
    <x v="375"/>
    <x v="4370"/>
  </r>
  <r>
    <x v="1"/>
    <x v="0"/>
    <x v="1"/>
    <x v="147"/>
    <x v="7"/>
    <x v="55"/>
    <x v="1852"/>
    <x v="4371"/>
  </r>
  <r>
    <x v="0"/>
    <x v="0"/>
    <x v="2"/>
    <x v="76"/>
    <x v="7"/>
    <x v="888"/>
    <x v="1350"/>
    <x v="4372"/>
  </r>
  <r>
    <x v="0"/>
    <x v="0"/>
    <x v="2"/>
    <x v="134"/>
    <x v="1"/>
    <x v="555"/>
    <x v="1946"/>
    <x v="4373"/>
  </r>
  <r>
    <x v="0"/>
    <x v="0"/>
    <x v="0"/>
    <x v="103"/>
    <x v="22"/>
    <x v="642"/>
    <x v="1707"/>
    <x v="4374"/>
  </r>
  <r>
    <x v="0"/>
    <x v="0"/>
    <x v="0"/>
    <x v="206"/>
    <x v="5"/>
    <x v="101"/>
    <x v="219"/>
    <x v="4375"/>
  </r>
  <r>
    <x v="2"/>
    <x v="0"/>
    <x v="2"/>
    <x v="2"/>
    <x v="2"/>
    <x v="2"/>
    <x v="3184"/>
    <x v="4376"/>
  </r>
  <r>
    <x v="0"/>
    <x v="0"/>
    <x v="2"/>
    <x v="72"/>
    <x v="25"/>
    <x v="595"/>
    <x v="2724"/>
    <x v="4377"/>
  </r>
  <r>
    <x v="3"/>
    <x v="0"/>
    <x v="2"/>
    <x v="171"/>
    <x v="14"/>
    <x v="312"/>
    <x v="37"/>
    <x v="4378"/>
  </r>
  <r>
    <x v="2"/>
    <x v="0"/>
    <x v="2"/>
    <x v="57"/>
    <x v="20"/>
    <x v="808"/>
    <x v="3185"/>
    <x v="4379"/>
  </r>
  <r>
    <x v="0"/>
    <x v="0"/>
    <x v="0"/>
    <x v="18"/>
    <x v="16"/>
    <x v="242"/>
    <x v="1202"/>
    <x v="4380"/>
  </r>
  <r>
    <x v="0"/>
    <x v="0"/>
    <x v="2"/>
    <x v="237"/>
    <x v="15"/>
    <x v="114"/>
    <x v="1189"/>
    <x v="1495"/>
  </r>
  <r>
    <x v="1"/>
    <x v="0"/>
    <x v="1"/>
    <x v="132"/>
    <x v="4"/>
    <x v="165"/>
    <x v="1809"/>
    <x v="4381"/>
  </r>
  <r>
    <x v="1"/>
    <x v="0"/>
    <x v="2"/>
    <x v="129"/>
    <x v="6"/>
    <x v="265"/>
    <x v="2869"/>
    <x v="4382"/>
  </r>
  <r>
    <x v="0"/>
    <x v="0"/>
    <x v="2"/>
    <x v="117"/>
    <x v="17"/>
    <x v="66"/>
    <x v="1598"/>
    <x v="4383"/>
  </r>
  <r>
    <x v="1"/>
    <x v="0"/>
    <x v="2"/>
    <x v="199"/>
    <x v="0"/>
    <x v="889"/>
    <x v="2934"/>
    <x v="4384"/>
  </r>
  <r>
    <x v="1"/>
    <x v="0"/>
    <x v="1"/>
    <x v="211"/>
    <x v="3"/>
    <x v="480"/>
    <x v="3186"/>
    <x v="4385"/>
  </r>
  <r>
    <x v="0"/>
    <x v="0"/>
    <x v="0"/>
    <x v="101"/>
    <x v="17"/>
    <x v="131"/>
    <x v="3187"/>
    <x v="4386"/>
  </r>
  <r>
    <x v="0"/>
    <x v="0"/>
    <x v="0"/>
    <x v="118"/>
    <x v="18"/>
    <x v="238"/>
    <x v="1235"/>
    <x v="4387"/>
  </r>
  <r>
    <x v="0"/>
    <x v="0"/>
    <x v="0"/>
    <x v="130"/>
    <x v="10"/>
    <x v="676"/>
    <x v="3188"/>
    <x v="4388"/>
  </r>
  <r>
    <x v="1"/>
    <x v="0"/>
    <x v="2"/>
    <x v="22"/>
    <x v="12"/>
    <x v="208"/>
    <x v="1714"/>
    <x v="4389"/>
  </r>
  <r>
    <x v="1"/>
    <x v="0"/>
    <x v="2"/>
    <x v="186"/>
    <x v="7"/>
    <x v="576"/>
    <x v="3189"/>
    <x v="4390"/>
  </r>
  <r>
    <x v="1"/>
    <x v="0"/>
    <x v="1"/>
    <x v="198"/>
    <x v="0"/>
    <x v="819"/>
    <x v="3190"/>
    <x v="4391"/>
  </r>
  <r>
    <x v="2"/>
    <x v="0"/>
    <x v="2"/>
    <x v="31"/>
    <x v="17"/>
    <x v="119"/>
    <x v="643"/>
    <x v="4392"/>
  </r>
  <r>
    <x v="1"/>
    <x v="0"/>
    <x v="2"/>
    <x v="152"/>
    <x v="1"/>
    <x v="119"/>
    <x v="3191"/>
    <x v="4393"/>
  </r>
  <r>
    <x v="2"/>
    <x v="0"/>
    <x v="2"/>
    <x v="109"/>
    <x v="8"/>
    <x v="114"/>
    <x v="1655"/>
    <x v="4394"/>
  </r>
  <r>
    <x v="1"/>
    <x v="0"/>
    <x v="2"/>
    <x v="166"/>
    <x v="0"/>
    <x v="753"/>
    <x v="3192"/>
    <x v="4395"/>
  </r>
  <r>
    <x v="2"/>
    <x v="0"/>
    <x v="2"/>
    <x v="46"/>
    <x v="30"/>
    <x v="801"/>
    <x v="1623"/>
    <x v="4396"/>
  </r>
  <r>
    <x v="3"/>
    <x v="0"/>
    <x v="2"/>
    <x v="177"/>
    <x v="7"/>
    <x v="786"/>
    <x v="2701"/>
    <x v="4397"/>
  </r>
  <r>
    <x v="1"/>
    <x v="0"/>
    <x v="1"/>
    <x v="153"/>
    <x v="17"/>
    <x v="248"/>
    <x v="3193"/>
    <x v="4398"/>
  </r>
  <r>
    <x v="0"/>
    <x v="0"/>
    <x v="0"/>
    <x v="80"/>
    <x v="15"/>
    <x v="80"/>
    <x v="3194"/>
    <x v="4399"/>
  </r>
  <r>
    <x v="2"/>
    <x v="0"/>
    <x v="2"/>
    <x v="207"/>
    <x v="1"/>
    <x v="859"/>
    <x v="1530"/>
    <x v="4400"/>
  </r>
  <r>
    <x v="1"/>
    <x v="0"/>
    <x v="2"/>
    <x v="217"/>
    <x v="18"/>
    <x v="114"/>
    <x v="3195"/>
    <x v="4401"/>
  </r>
  <r>
    <x v="0"/>
    <x v="0"/>
    <x v="2"/>
    <x v="249"/>
    <x v="13"/>
    <x v="115"/>
    <x v="2455"/>
    <x v="4402"/>
  </r>
  <r>
    <x v="3"/>
    <x v="0"/>
    <x v="2"/>
    <x v="149"/>
    <x v="17"/>
    <x v="834"/>
    <x v="3196"/>
    <x v="4403"/>
  </r>
  <r>
    <x v="0"/>
    <x v="0"/>
    <x v="0"/>
    <x v="138"/>
    <x v="14"/>
    <x v="131"/>
    <x v="2964"/>
    <x v="4404"/>
  </r>
  <r>
    <x v="2"/>
    <x v="0"/>
    <x v="2"/>
    <x v="89"/>
    <x v="6"/>
    <x v="257"/>
    <x v="3197"/>
    <x v="4405"/>
  </r>
  <r>
    <x v="3"/>
    <x v="0"/>
    <x v="2"/>
    <x v="178"/>
    <x v="11"/>
    <x v="397"/>
    <x v="3198"/>
    <x v="4406"/>
  </r>
  <r>
    <x v="0"/>
    <x v="0"/>
    <x v="0"/>
    <x v="235"/>
    <x v="25"/>
    <x v="77"/>
    <x v="3199"/>
    <x v="4407"/>
  </r>
  <r>
    <x v="2"/>
    <x v="0"/>
    <x v="2"/>
    <x v="243"/>
    <x v="24"/>
    <x v="774"/>
    <x v="1868"/>
    <x v="4408"/>
  </r>
  <r>
    <x v="1"/>
    <x v="0"/>
    <x v="2"/>
    <x v="49"/>
    <x v="3"/>
    <x v="231"/>
    <x v="3200"/>
    <x v="4409"/>
  </r>
  <r>
    <x v="0"/>
    <x v="0"/>
    <x v="2"/>
    <x v="196"/>
    <x v="7"/>
    <x v="744"/>
    <x v="1656"/>
    <x v="4410"/>
  </r>
  <r>
    <x v="1"/>
    <x v="0"/>
    <x v="2"/>
    <x v="196"/>
    <x v="15"/>
    <x v="729"/>
    <x v="747"/>
    <x v="4411"/>
  </r>
  <r>
    <x v="0"/>
    <x v="0"/>
    <x v="0"/>
    <x v="13"/>
    <x v="2"/>
    <x v="2"/>
    <x v="2294"/>
    <x v="4412"/>
  </r>
  <r>
    <x v="0"/>
    <x v="0"/>
    <x v="2"/>
    <x v="3"/>
    <x v="13"/>
    <x v="210"/>
    <x v="3201"/>
    <x v="4413"/>
  </r>
  <r>
    <x v="0"/>
    <x v="0"/>
    <x v="2"/>
    <x v="44"/>
    <x v="1"/>
    <x v="613"/>
    <x v="1056"/>
    <x v="4414"/>
  </r>
  <r>
    <x v="0"/>
    <x v="0"/>
    <x v="0"/>
    <x v="151"/>
    <x v="13"/>
    <x v="726"/>
    <x v="1605"/>
    <x v="4415"/>
  </r>
  <r>
    <x v="1"/>
    <x v="0"/>
    <x v="1"/>
    <x v="30"/>
    <x v="11"/>
    <x v="28"/>
    <x v="246"/>
    <x v="4416"/>
  </r>
  <r>
    <x v="1"/>
    <x v="0"/>
    <x v="1"/>
    <x v="135"/>
    <x v="6"/>
    <x v="177"/>
    <x v="1625"/>
    <x v="4417"/>
  </r>
  <r>
    <x v="0"/>
    <x v="0"/>
    <x v="2"/>
    <x v="8"/>
    <x v="1"/>
    <x v="775"/>
    <x v="2943"/>
    <x v="4418"/>
  </r>
  <r>
    <x v="1"/>
    <x v="0"/>
    <x v="1"/>
    <x v="160"/>
    <x v="16"/>
    <x v="364"/>
    <x v="3202"/>
    <x v="4419"/>
  </r>
  <r>
    <x v="1"/>
    <x v="0"/>
    <x v="2"/>
    <x v="240"/>
    <x v="23"/>
    <x v="788"/>
    <x v="3203"/>
    <x v="4420"/>
  </r>
  <r>
    <x v="2"/>
    <x v="0"/>
    <x v="2"/>
    <x v="182"/>
    <x v="25"/>
    <x v="749"/>
    <x v="3204"/>
    <x v="4421"/>
  </r>
  <r>
    <x v="0"/>
    <x v="0"/>
    <x v="0"/>
    <x v="250"/>
    <x v="6"/>
    <x v="61"/>
    <x v="3205"/>
    <x v="4422"/>
  </r>
  <r>
    <x v="2"/>
    <x v="0"/>
    <x v="2"/>
    <x v="78"/>
    <x v="3"/>
    <x v="67"/>
    <x v="3206"/>
    <x v="4423"/>
  </r>
  <r>
    <x v="3"/>
    <x v="0"/>
    <x v="2"/>
    <x v="3"/>
    <x v="13"/>
    <x v="210"/>
    <x v="3207"/>
    <x v="4424"/>
  </r>
  <r>
    <x v="0"/>
    <x v="0"/>
    <x v="2"/>
    <x v="23"/>
    <x v="10"/>
    <x v="97"/>
    <x v="1431"/>
    <x v="4425"/>
  </r>
  <r>
    <x v="0"/>
    <x v="0"/>
    <x v="2"/>
    <x v="162"/>
    <x v="12"/>
    <x v="459"/>
    <x v="3208"/>
    <x v="4426"/>
  </r>
  <r>
    <x v="1"/>
    <x v="0"/>
    <x v="1"/>
    <x v="234"/>
    <x v="0"/>
    <x v="142"/>
    <x v="3209"/>
    <x v="4427"/>
  </r>
  <r>
    <x v="1"/>
    <x v="0"/>
    <x v="1"/>
    <x v="3"/>
    <x v="12"/>
    <x v="674"/>
    <x v="3210"/>
    <x v="4428"/>
  </r>
  <r>
    <x v="3"/>
    <x v="0"/>
    <x v="2"/>
    <x v="240"/>
    <x v="14"/>
    <x v="380"/>
    <x v="976"/>
    <x v="4429"/>
  </r>
  <r>
    <x v="1"/>
    <x v="0"/>
    <x v="1"/>
    <x v="184"/>
    <x v="13"/>
    <x v="772"/>
    <x v="1249"/>
    <x v="4430"/>
  </r>
  <r>
    <x v="2"/>
    <x v="0"/>
    <x v="2"/>
    <x v="195"/>
    <x v="26"/>
    <x v="459"/>
    <x v="3211"/>
    <x v="4431"/>
  </r>
  <r>
    <x v="1"/>
    <x v="0"/>
    <x v="1"/>
    <x v="113"/>
    <x v="2"/>
    <x v="2"/>
    <x v="3212"/>
    <x v="4432"/>
  </r>
  <r>
    <x v="0"/>
    <x v="0"/>
    <x v="0"/>
    <x v="95"/>
    <x v="22"/>
    <x v="302"/>
    <x v="1480"/>
    <x v="4433"/>
  </r>
  <r>
    <x v="0"/>
    <x v="0"/>
    <x v="0"/>
    <x v="234"/>
    <x v="1"/>
    <x v="436"/>
    <x v="2913"/>
    <x v="2987"/>
  </r>
  <r>
    <x v="2"/>
    <x v="0"/>
    <x v="2"/>
    <x v="228"/>
    <x v="5"/>
    <x v="273"/>
    <x v="3213"/>
    <x v="4434"/>
  </r>
  <r>
    <x v="0"/>
    <x v="0"/>
    <x v="2"/>
    <x v="114"/>
    <x v="10"/>
    <x v="753"/>
    <x v="3214"/>
    <x v="4435"/>
  </r>
  <r>
    <x v="0"/>
    <x v="0"/>
    <x v="0"/>
    <x v="169"/>
    <x v="0"/>
    <x v="246"/>
    <x v="2632"/>
    <x v="4436"/>
  </r>
  <r>
    <x v="3"/>
    <x v="0"/>
    <x v="2"/>
    <x v="3"/>
    <x v="12"/>
    <x v="674"/>
    <x v="3112"/>
    <x v="4437"/>
  </r>
  <r>
    <x v="2"/>
    <x v="0"/>
    <x v="2"/>
    <x v="206"/>
    <x v="11"/>
    <x v="9"/>
    <x v="3215"/>
    <x v="4438"/>
  </r>
  <r>
    <x v="0"/>
    <x v="0"/>
    <x v="2"/>
    <x v="115"/>
    <x v="12"/>
    <x v="42"/>
    <x v="3216"/>
    <x v="4439"/>
  </r>
  <r>
    <x v="0"/>
    <x v="0"/>
    <x v="0"/>
    <x v="218"/>
    <x v="15"/>
    <x v="309"/>
    <x v="2639"/>
    <x v="4440"/>
  </r>
  <r>
    <x v="3"/>
    <x v="0"/>
    <x v="2"/>
    <x v="21"/>
    <x v="15"/>
    <x v="366"/>
    <x v="3217"/>
    <x v="4441"/>
  </r>
  <r>
    <x v="1"/>
    <x v="0"/>
    <x v="2"/>
    <x v="44"/>
    <x v="11"/>
    <x v="134"/>
    <x v="3218"/>
    <x v="4442"/>
  </r>
  <r>
    <x v="3"/>
    <x v="0"/>
    <x v="2"/>
    <x v="79"/>
    <x v="10"/>
    <x v="614"/>
    <x v="3219"/>
    <x v="4443"/>
  </r>
  <r>
    <x v="1"/>
    <x v="0"/>
    <x v="2"/>
    <x v="42"/>
    <x v="2"/>
    <x v="2"/>
    <x v="3220"/>
    <x v="4444"/>
  </r>
  <r>
    <x v="0"/>
    <x v="0"/>
    <x v="0"/>
    <x v="236"/>
    <x v="6"/>
    <x v="395"/>
    <x v="3221"/>
    <x v="4445"/>
  </r>
  <r>
    <x v="1"/>
    <x v="0"/>
    <x v="1"/>
    <x v="79"/>
    <x v="7"/>
    <x v="75"/>
    <x v="2329"/>
    <x v="4446"/>
  </r>
  <r>
    <x v="1"/>
    <x v="0"/>
    <x v="2"/>
    <x v="130"/>
    <x v="2"/>
    <x v="2"/>
    <x v="3222"/>
    <x v="4447"/>
  </r>
  <r>
    <x v="2"/>
    <x v="0"/>
    <x v="2"/>
    <x v="30"/>
    <x v="17"/>
    <x v="50"/>
    <x v="2547"/>
    <x v="4448"/>
  </r>
  <r>
    <x v="0"/>
    <x v="0"/>
    <x v="2"/>
    <x v="41"/>
    <x v="25"/>
    <x v="90"/>
    <x v="3223"/>
    <x v="4449"/>
  </r>
  <r>
    <x v="1"/>
    <x v="0"/>
    <x v="1"/>
    <x v="157"/>
    <x v="24"/>
    <x v="617"/>
    <x v="3224"/>
    <x v="4450"/>
  </r>
  <r>
    <x v="2"/>
    <x v="0"/>
    <x v="2"/>
    <x v="16"/>
    <x v="12"/>
    <x v="271"/>
    <x v="3225"/>
    <x v="4451"/>
  </r>
  <r>
    <x v="1"/>
    <x v="0"/>
    <x v="1"/>
    <x v="182"/>
    <x v="13"/>
    <x v="702"/>
    <x v="3226"/>
    <x v="4452"/>
  </r>
  <r>
    <x v="1"/>
    <x v="0"/>
    <x v="2"/>
    <x v="248"/>
    <x v="1"/>
    <x v="27"/>
    <x v="968"/>
    <x v="4453"/>
  </r>
  <r>
    <x v="1"/>
    <x v="0"/>
    <x v="2"/>
    <x v="116"/>
    <x v="4"/>
    <x v="216"/>
    <x v="3227"/>
    <x v="4454"/>
  </r>
  <r>
    <x v="2"/>
    <x v="0"/>
    <x v="2"/>
    <x v="179"/>
    <x v="13"/>
    <x v="239"/>
    <x v="539"/>
    <x v="4455"/>
  </r>
  <r>
    <x v="3"/>
    <x v="0"/>
    <x v="2"/>
    <x v="135"/>
    <x v="18"/>
    <x v="890"/>
    <x v="2578"/>
    <x v="4456"/>
  </r>
  <r>
    <x v="0"/>
    <x v="0"/>
    <x v="2"/>
    <x v="128"/>
    <x v="13"/>
    <x v="322"/>
    <x v="3067"/>
    <x v="4457"/>
  </r>
  <r>
    <x v="3"/>
    <x v="0"/>
    <x v="2"/>
    <x v="23"/>
    <x v="5"/>
    <x v="574"/>
    <x v="874"/>
    <x v="4458"/>
  </r>
  <r>
    <x v="0"/>
    <x v="0"/>
    <x v="2"/>
    <x v="218"/>
    <x v="15"/>
    <x v="309"/>
    <x v="2745"/>
    <x v="4459"/>
  </r>
  <r>
    <x v="2"/>
    <x v="0"/>
    <x v="2"/>
    <x v="109"/>
    <x v="11"/>
    <x v="254"/>
    <x v="700"/>
    <x v="4460"/>
  </r>
  <r>
    <x v="3"/>
    <x v="0"/>
    <x v="2"/>
    <x v="221"/>
    <x v="7"/>
    <x v="300"/>
    <x v="1030"/>
    <x v="4461"/>
  </r>
  <r>
    <x v="1"/>
    <x v="0"/>
    <x v="1"/>
    <x v="178"/>
    <x v="15"/>
    <x v="273"/>
    <x v="3228"/>
    <x v="4462"/>
  </r>
  <r>
    <x v="0"/>
    <x v="0"/>
    <x v="2"/>
    <x v="25"/>
    <x v="16"/>
    <x v="355"/>
    <x v="1779"/>
    <x v="4463"/>
  </r>
  <r>
    <x v="0"/>
    <x v="0"/>
    <x v="0"/>
    <x v="227"/>
    <x v="4"/>
    <x v="91"/>
    <x v="3229"/>
    <x v="4464"/>
  </r>
  <r>
    <x v="1"/>
    <x v="0"/>
    <x v="2"/>
    <x v="211"/>
    <x v="16"/>
    <x v="492"/>
    <x v="3230"/>
    <x v="4465"/>
  </r>
  <r>
    <x v="1"/>
    <x v="0"/>
    <x v="2"/>
    <x v="22"/>
    <x v="14"/>
    <x v="891"/>
    <x v="3231"/>
    <x v="4466"/>
  </r>
  <r>
    <x v="3"/>
    <x v="0"/>
    <x v="2"/>
    <x v="63"/>
    <x v="0"/>
    <x v="414"/>
    <x v="2141"/>
    <x v="4467"/>
  </r>
  <r>
    <x v="0"/>
    <x v="0"/>
    <x v="0"/>
    <x v="212"/>
    <x v="2"/>
    <x v="2"/>
    <x v="1712"/>
    <x v="4468"/>
  </r>
  <r>
    <x v="3"/>
    <x v="0"/>
    <x v="2"/>
    <x v="220"/>
    <x v="2"/>
    <x v="2"/>
    <x v="1237"/>
    <x v="4469"/>
  </r>
  <r>
    <x v="0"/>
    <x v="0"/>
    <x v="2"/>
    <x v="115"/>
    <x v="0"/>
    <x v="134"/>
    <x v="1207"/>
    <x v="4470"/>
  </r>
  <r>
    <x v="1"/>
    <x v="0"/>
    <x v="2"/>
    <x v="205"/>
    <x v="5"/>
    <x v="859"/>
    <x v="3232"/>
    <x v="4471"/>
  </r>
  <r>
    <x v="1"/>
    <x v="0"/>
    <x v="1"/>
    <x v="23"/>
    <x v="25"/>
    <x v="50"/>
    <x v="3057"/>
    <x v="4472"/>
  </r>
  <r>
    <x v="1"/>
    <x v="0"/>
    <x v="2"/>
    <x v="103"/>
    <x v="14"/>
    <x v="892"/>
    <x v="3233"/>
    <x v="4473"/>
  </r>
  <r>
    <x v="2"/>
    <x v="0"/>
    <x v="2"/>
    <x v="50"/>
    <x v="17"/>
    <x v="848"/>
    <x v="312"/>
    <x v="4474"/>
  </r>
  <r>
    <x v="1"/>
    <x v="0"/>
    <x v="2"/>
    <x v="139"/>
    <x v="14"/>
    <x v="509"/>
    <x v="2873"/>
    <x v="4475"/>
  </r>
  <r>
    <x v="1"/>
    <x v="0"/>
    <x v="2"/>
    <x v="183"/>
    <x v="14"/>
    <x v="435"/>
    <x v="3234"/>
    <x v="4476"/>
  </r>
  <r>
    <x v="1"/>
    <x v="0"/>
    <x v="2"/>
    <x v="217"/>
    <x v="0"/>
    <x v="832"/>
    <x v="3235"/>
    <x v="4477"/>
  </r>
  <r>
    <x v="2"/>
    <x v="0"/>
    <x v="2"/>
    <x v="8"/>
    <x v="15"/>
    <x v="199"/>
    <x v="3236"/>
    <x v="4478"/>
  </r>
  <r>
    <x v="0"/>
    <x v="0"/>
    <x v="0"/>
    <x v="172"/>
    <x v="14"/>
    <x v="110"/>
    <x v="3237"/>
    <x v="4479"/>
  </r>
  <r>
    <x v="1"/>
    <x v="0"/>
    <x v="1"/>
    <x v="67"/>
    <x v="8"/>
    <x v="133"/>
    <x v="2668"/>
    <x v="4480"/>
  </r>
  <r>
    <x v="2"/>
    <x v="0"/>
    <x v="2"/>
    <x v="43"/>
    <x v="22"/>
    <x v="145"/>
    <x v="1091"/>
    <x v="4481"/>
  </r>
  <r>
    <x v="3"/>
    <x v="0"/>
    <x v="2"/>
    <x v="166"/>
    <x v="5"/>
    <x v="446"/>
    <x v="3238"/>
    <x v="4482"/>
  </r>
  <r>
    <x v="3"/>
    <x v="0"/>
    <x v="2"/>
    <x v="129"/>
    <x v="10"/>
    <x v="597"/>
    <x v="421"/>
    <x v="4483"/>
  </r>
  <r>
    <x v="0"/>
    <x v="0"/>
    <x v="0"/>
    <x v="12"/>
    <x v="18"/>
    <x v="610"/>
    <x v="1266"/>
    <x v="4484"/>
  </r>
  <r>
    <x v="1"/>
    <x v="0"/>
    <x v="1"/>
    <x v="128"/>
    <x v="11"/>
    <x v="58"/>
    <x v="3239"/>
    <x v="4485"/>
  </r>
  <r>
    <x v="0"/>
    <x v="0"/>
    <x v="0"/>
    <x v="21"/>
    <x v="2"/>
    <x v="2"/>
    <x v="3240"/>
    <x v="4486"/>
  </r>
  <r>
    <x v="1"/>
    <x v="0"/>
    <x v="2"/>
    <x v="123"/>
    <x v="1"/>
    <x v="551"/>
    <x v="3241"/>
    <x v="4487"/>
  </r>
  <r>
    <x v="0"/>
    <x v="0"/>
    <x v="0"/>
    <x v="212"/>
    <x v="16"/>
    <x v="666"/>
    <x v="3242"/>
    <x v="4488"/>
  </r>
  <r>
    <x v="0"/>
    <x v="0"/>
    <x v="0"/>
    <x v="210"/>
    <x v="5"/>
    <x v="212"/>
    <x v="3243"/>
    <x v="4489"/>
  </r>
  <r>
    <x v="2"/>
    <x v="0"/>
    <x v="2"/>
    <x v="186"/>
    <x v="17"/>
    <x v="61"/>
    <x v="2741"/>
    <x v="4490"/>
  </r>
  <r>
    <x v="3"/>
    <x v="0"/>
    <x v="2"/>
    <x v="178"/>
    <x v="23"/>
    <x v="39"/>
    <x v="2068"/>
    <x v="4491"/>
  </r>
  <r>
    <x v="0"/>
    <x v="0"/>
    <x v="0"/>
    <x v="194"/>
    <x v="25"/>
    <x v="609"/>
    <x v="1636"/>
    <x v="4492"/>
  </r>
  <r>
    <x v="1"/>
    <x v="0"/>
    <x v="1"/>
    <x v="22"/>
    <x v="3"/>
    <x v="738"/>
    <x v="3244"/>
    <x v="4493"/>
  </r>
  <r>
    <x v="2"/>
    <x v="0"/>
    <x v="2"/>
    <x v="192"/>
    <x v="5"/>
    <x v="426"/>
    <x v="3245"/>
    <x v="4494"/>
  </r>
  <r>
    <x v="1"/>
    <x v="0"/>
    <x v="1"/>
    <x v="131"/>
    <x v="14"/>
    <x v="893"/>
    <x v="669"/>
    <x v="4495"/>
  </r>
  <r>
    <x v="0"/>
    <x v="0"/>
    <x v="0"/>
    <x v="17"/>
    <x v="23"/>
    <x v="48"/>
    <x v="267"/>
    <x v="4496"/>
  </r>
  <r>
    <x v="0"/>
    <x v="0"/>
    <x v="2"/>
    <x v="29"/>
    <x v="1"/>
    <x v="456"/>
    <x v="691"/>
    <x v="4497"/>
  </r>
  <r>
    <x v="2"/>
    <x v="0"/>
    <x v="2"/>
    <x v="29"/>
    <x v="15"/>
    <x v="810"/>
    <x v="1674"/>
    <x v="4498"/>
  </r>
  <r>
    <x v="1"/>
    <x v="0"/>
    <x v="1"/>
    <x v="198"/>
    <x v="0"/>
    <x v="819"/>
    <x v="3246"/>
    <x v="4499"/>
  </r>
  <r>
    <x v="1"/>
    <x v="0"/>
    <x v="1"/>
    <x v="127"/>
    <x v="15"/>
    <x v="894"/>
    <x v="691"/>
    <x v="4500"/>
  </r>
  <r>
    <x v="0"/>
    <x v="0"/>
    <x v="0"/>
    <x v="36"/>
    <x v="24"/>
    <x v="798"/>
    <x v="91"/>
    <x v="4501"/>
  </r>
  <r>
    <x v="3"/>
    <x v="0"/>
    <x v="2"/>
    <x v="144"/>
    <x v="0"/>
    <x v="376"/>
    <x v="3069"/>
    <x v="4502"/>
  </r>
  <r>
    <x v="2"/>
    <x v="0"/>
    <x v="2"/>
    <x v="70"/>
    <x v="24"/>
    <x v="165"/>
    <x v="2523"/>
    <x v="4503"/>
  </r>
  <r>
    <x v="1"/>
    <x v="0"/>
    <x v="1"/>
    <x v="161"/>
    <x v="23"/>
    <x v="225"/>
    <x v="307"/>
    <x v="4504"/>
  </r>
  <r>
    <x v="0"/>
    <x v="0"/>
    <x v="0"/>
    <x v="246"/>
    <x v="20"/>
    <x v="82"/>
    <x v="3247"/>
    <x v="4505"/>
  </r>
  <r>
    <x v="1"/>
    <x v="0"/>
    <x v="2"/>
    <x v="24"/>
    <x v="12"/>
    <x v="529"/>
    <x v="3248"/>
    <x v="4506"/>
  </r>
  <r>
    <x v="1"/>
    <x v="0"/>
    <x v="2"/>
    <x v="164"/>
    <x v="6"/>
    <x v="364"/>
    <x v="940"/>
    <x v="4507"/>
  </r>
  <r>
    <x v="0"/>
    <x v="0"/>
    <x v="2"/>
    <x v="210"/>
    <x v="1"/>
    <x v="403"/>
    <x v="1335"/>
    <x v="4508"/>
  </r>
  <r>
    <x v="1"/>
    <x v="0"/>
    <x v="2"/>
    <x v="223"/>
    <x v="28"/>
    <x v="895"/>
    <x v="2611"/>
    <x v="4509"/>
  </r>
  <r>
    <x v="1"/>
    <x v="0"/>
    <x v="2"/>
    <x v="201"/>
    <x v="19"/>
    <x v="481"/>
    <x v="6"/>
    <x v="4510"/>
  </r>
  <r>
    <x v="1"/>
    <x v="0"/>
    <x v="1"/>
    <x v="237"/>
    <x v="7"/>
    <x v="629"/>
    <x v="3249"/>
    <x v="4511"/>
  </r>
  <r>
    <x v="1"/>
    <x v="0"/>
    <x v="2"/>
    <x v="48"/>
    <x v="3"/>
    <x v="211"/>
    <x v="3250"/>
    <x v="4512"/>
  </r>
  <r>
    <x v="1"/>
    <x v="0"/>
    <x v="1"/>
    <x v="167"/>
    <x v="10"/>
    <x v="875"/>
    <x v="2607"/>
    <x v="4513"/>
  </r>
  <r>
    <x v="1"/>
    <x v="0"/>
    <x v="1"/>
    <x v="87"/>
    <x v="5"/>
    <x v="805"/>
    <x v="1718"/>
    <x v="4514"/>
  </r>
  <r>
    <x v="1"/>
    <x v="0"/>
    <x v="1"/>
    <x v="80"/>
    <x v="7"/>
    <x v="553"/>
    <x v="2322"/>
    <x v="4515"/>
  </r>
  <r>
    <x v="3"/>
    <x v="0"/>
    <x v="2"/>
    <x v="23"/>
    <x v="4"/>
    <x v="630"/>
    <x v="7"/>
    <x v="4516"/>
  </r>
  <r>
    <x v="0"/>
    <x v="0"/>
    <x v="0"/>
    <x v="145"/>
    <x v="16"/>
    <x v="520"/>
    <x v="3251"/>
    <x v="4517"/>
  </r>
  <r>
    <x v="1"/>
    <x v="0"/>
    <x v="1"/>
    <x v="106"/>
    <x v="24"/>
    <x v="527"/>
    <x v="3252"/>
    <x v="4518"/>
  </r>
  <r>
    <x v="0"/>
    <x v="0"/>
    <x v="2"/>
    <x v="221"/>
    <x v="13"/>
    <x v="276"/>
    <x v="3132"/>
    <x v="4519"/>
  </r>
  <r>
    <x v="0"/>
    <x v="0"/>
    <x v="2"/>
    <x v="164"/>
    <x v="11"/>
    <x v="597"/>
    <x v="3253"/>
    <x v="4520"/>
  </r>
  <r>
    <x v="2"/>
    <x v="0"/>
    <x v="2"/>
    <x v="230"/>
    <x v="5"/>
    <x v="394"/>
    <x v="221"/>
    <x v="4521"/>
  </r>
  <r>
    <x v="3"/>
    <x v="0"/>
    <x v="2"/>
    <x v="79"/>
    <x v="5"/>
    <x v="66"/>
    <x v="369"/>
    <x v="4522"/>
  </r>
  <r>
    <x v="0"/>
    <x v="0"/>
    <x v="2"/>
    <x v="115"/>
    <x v="8"/>
    <x v="409"/>
    <x v="3254"/>
    <x v="4523"/>
  </r>
  <r>
    <x v="1"/>
    <x v="0"/>
    <x v="1"/>
    <x v="82"/>
    <x v="1"/>
    <x v="339"/>
    <x v="3255"/>
    <x v="4524"/>
  </r>
  <r>
    <x v="0"/>
    <x v="0"/>
    <x v="0"/>
    <x v="55"/>
    <x v="11"/>
    <x v="322"/>
    <x v="952"/>
    <x v="4525"/>
  </r>
  <r>
    <x v="0"/>
    <x v="0"/>
    <x v="2"/>
    <x v="33"/>
    <x v="2"/>
    <x v="2"/>
    <x v="3256"/>
    <x v="4526"/>
  </r>
  <r>
    <x v="0"/>
    <x v="0"/>
    <x v="2"/>
    <x v="236"/>
    <x v="5"/>
    <x v="762"/>
    <x v="1207"/>
    <x v="434"/>
  </r>
  <r>
    <x v="2"/>
    <x v="0"/>
    <x v="2"/>
    <x v="135"/>
    <x v="11"/>
    <x v="665"/>
    <x v="3257"/>
    <x v="4527"/>
  </r>
  <r>
    <x v="1"/>
    <x v="0"/>
    <x v="2"/>
    <x v="146"/>
    <x v="2"/>
    <x v="2"/>
    <x v="3258"/>
    <x v="4528"/>
  </r>
  <r>
    <x v="3"/>
    <x v="0"/>
    <x v="2"/>
    <x v="158"/>
    <x v="6"/>
    <x v="148"/>
    <x v="2789"/>
    <x v="4529"/>
  </r>
  <r>
    <x v="2"/>
    <x v="0"/>
    <x v="2"/>
    <x v="20"/>
    <x v="1"/>
    <x v="375"/>
    <x v="3259"/>
    <x v="4530"/>
  </r>
  <r>
    <x v="2"/>
    <x v="0"/>
    <x v="2"/>
    <x v="80"/>
    <x v="2"/>
    <x v="2"/>
    <x v="3260"/>
    <x v="4531"/>
  </r>
  <r>
    <x v="2"/>
    <x v="0"/>
    <x v="2"/>
    <x v="230"/>
    <x v="1"/>
    <x v="106"/>
    <x v="3261"/>
    <x v="4532"/>
  </r>
  <r>
    <x v="2"/>
    <x v="0"/>
    <x v="2"/>
    <x v="52"/>
    <x v="7"/>
    <x v="51"/>
    <x v="3262"/>
    <x v="4533"/>
  </r>
  <r>
    <x v="0"/>
    <x v="0"/>
    <x v="2"/>
    <x v="146"/>
    <x v="8"/>
    <x v="184"/>
    <x v="3263"/>
    <x v="4534"/>
  </r>
  <r>
    <x v="2"/>
    <x v="0"/>
    <x v="2"/>
    <x v="106"/>
    <x v="6"/>
    <x v="296"/>
    <x v="3264"/>
    <x v="4535"/>
  </r>
  <r>
    <x v="3"/>
    <x v="0"/>
    <x v="2"/>
    <x v="239"/>
    <x v="11"/>
    <x v="608"/>
    <x v="2330"/>
    <x v="4536"/>
  </r>
  <r>
    <x v="1"/>
    <x v="0"/>
    <x v="1"/>
    <x v="104"/>
    <x v="10"/>
    <x v="417"/>
    <x v="3171"/>
    <x v="4537"/>
  </r>
  <r>
    <x v="0"/>
    <x v="0"/>
    <x v="2"/>
    <x v="43"/>
    <x v="1"/>
    <x v="620"/>
    <x v="446"/>
    <x v="4538"/>
  </r>
  <r>
    <x v="1"/>
    <x v="0"/>
    <x v="1"/>
    <x v="173"/>
    <x v="6"/>
    <x v="375"/>
    <x v="1469"/>
    <x v="4539"/>
  </r>
  <r>
    <x v="3"/>
    <x v="0"/>
    <x v="2"/>
    <x v="229"/>
    <x v="27"/>
    <x v="756"/>
    <x v="2860"/>
    <x v="4540"/>
  </r>
  <r>
    <x v="3"/>
    <x v="0"/>
    <x v="2"/>
    <x v="104"/>
    <x v="16"/>
    <x v="111"/>
    <x v="3265"/>
    <x v="4541"/>
  </r>
  <r>
    <x v="1"/>
    <x v="0"/>
    <x v="1"/>
    <x v="208"/>
    <x v="0"/>
    <x v="649"/>
    <x v="3266"/>
    <x v="4542"/>
  </r>
  <r>
    <x v="0"/>
    <x v="0"/>
    <x v="2"/>
    <x v="226"/>
    <x v="0"/>
    <x v="506"/>
    <x v="1894"/>
    <x v="2570"/>
  </r>
  <r>
    <x v="0"/>
    <x v="0"/>
    <x v="2"/>
    <x v="79"/>
    <x v="11"/>
    <x v="44"/>
    <x v="1181"/>
    <x v="4543"/>
  </r>
  <r>
    <x v="2"/>
    <x v="0"/>
    <x v="2"/>
    <x v="64"/>
    <x v="8"/>
    <x v="122"/>
    <x v="2303"/>
    <x v="4544"/>
  </r>
  <r>
    <x v="2"/>
    <x v="0"/>
    <x v="2"/>
    <x v="242"/>
    <x v="13"/>
    <x v="549"/>
    <x v="1288"/>
    <x v="4545"/>
  </r>
  <r>
    <x v="3"/>
    <x v="0"/>
    <x v="2"/>
    <x v="98"/>
    <x v="24"/>
    <x v="802"/>
    <x v="3267"/>
    <x v="4546"/>
  </r>
  <r>
    <x v="0"/>
    <x v="0"/>
    <x v="0"/>
    <x v="221"/>
    <x v="24"/>
    <x v="553"/>
    <x v="307"/>
    <x v="4547"/>
  </r>
  <r>
    <x v="3"/>
    <x v="0"/>
    <x v="2"/>
    <x v="97"/>
    <x v="1"/>
    <x v="94"/>
    <x v="3268"/>
    <x v="4548"/>
  </r>
  <r>
    <x v="1"/>
    <x v="0"/>
    <x v="2"/>
    <x v="110"/>
    <x v="15"/>
    <x v="84"/>
    <x v="1873"/>
    <x v="4549"/>
  </r>
  <r>
    <x v="1"/>
    <x v="0"/>
    <x v="2"/>
    <x v="159"/>
    <x v="14"/>
    <x v="260"/>
    <x v="2534"/>
    <x v="4550"/>
  </r>
  <r>
    <x v="1"/>
    <x v="0"/>
    <x v="1"/>
    <x v="76"/>
    <x v="7"/>
    <x v="888"/>
    <x v="2955"/>
    <x v="4551"/>
  </r>
  <r>
    <x v="1"/>
    <x v="0"/>
    <x v="1"/>
    <x v="62"/>
    <x v="2"/>
    <x v="2"/>
    <x v="802"/>
    <x v="4552"/>
  </r>
  <r>
    <x v="0"/>
    <x v="0"/>
    <x v="2"/>
    <x v="213"/>
    <x v="1"/>
    <x v="185"/>
    <x v="1454"/>
    <x v="4553"/>
  </r>
  <r>
    <x v="1"/>
    <x v="0"/>
    <x v="1"/>
    <x v="174"/>
    <x v="2"/>
    <x v="2"/>
    <x v="3269"/>
    <x v="4554"/>
  </r>
  <r>
    <x v="1"/>
    <x v="0"/>
    <x v="2"/>
    <x v="210"/>
    <x v="5"/>
    <x v="212"/>
    <x v="2928"/>
    <x v="4555"/>
  </r>
  <r>
    <x v="3"/>
    <x v="0"/>
    <x v="2"/>
    <x v="9"/>
    <x v="6"/>
    <x v="9"/>
    <x v="3270"/>
    <x v="4556"/>
  </r>
  <r>
    <x v="2"/>
    <x v="0"/>
    <x v="2"/>
    <x v="125"/>
    <x v="24"/>
    <x v="561"/>
    <x v="2832"/>
    <x v="4557"/>
  </r>
  <r>
    <x v="1"/>
    <x v="0"/>
    <x v="1"/>
    <x v="117"/>
    <x v="1"/>
    <x v="709"/>
    <x v="1034"/>
    <x v="4558"/>
  </r>
  <r>
    <x v="0"/>
    <x v="0"/>
    <x v="0"/>
    <x v="43"/>
    <x v="16"/>
    <x v="156"/>
    <x v="288"/>
    <x v="4559"/>
  </r>
  <r>
    <x v="1"/>
    <x v="0"/>
    <x v="1"/>
    <x v="165"/>
    <x v="2"/>
    <x v="2"/>
    <x v="3271"/>
    <x v="4560"/>
  </r>
  <r>
    <x v="2"/>
    <x v="0"/>
    <x v="2"/>
    <x v="5"/>
    <x v="20"/>
    <x v="883"/>
    <x v="1830"/>
    <x v="4561"/>
  </r>
  <r>
    <x v="1"/>
    <x v="0"/>
    <x v="1"/>
    <x v="174"/>
    <x v="7"/>
    <x v="390"/>
    <x v="3210"/>
    <x v="4562"/>
  </r>
  <r>
    <x v="2"/>
    <x v="0"/>
    <x v="2"/>
    <x v="31"/>
    <x v="26"/>
    <x v="117"/>
    <x v="1106"/>
    <x v="4563"/>
  </r>
  <r>
    <x v="1"/>
    <x v="0"/>
    <x v="1"/>
    <x v="24"/>
    <x v="2"/>
    <x v="2"/>
    <x v="3272"/>
    <x v="4564"/>
  </r>
  <r>
    <x v="0"/>
    <x v="0"/>
    <x v="2"/>
    <x v="217"/>
    <x v="22"/>
    <x v="754"/>
    <x v="3273"/>
    <x v="4565"/>
  </r>
  <r>
    <x v="1"/>
    <x v="0"/>
    <x v="1"/>
    <x v="49"/>
    <x v="2"/>
    <x v="2"/>
    <x v="3274"/>
    <x v="4566"/>
  </r>
  <r>
    <x v="0"/>
    <x v="0"/>
    <x v="0"/>
    <x v="79"/>
    <x v="11"/>
    <x v="44"/>
    <x v="1896"/>
    <x v="4567"/>
  </r>
  <r>
    <x v="3"/>
    <x v="0"/>
    <x v="2"/>
    <x v="222"/>
    <x v="0"/>
    <x v="741"/>
    <x v="3275"/>
    <x v="4568"/>
  </r>
  <r>
    <x v="2"/>
    <x v="0"/>
    <x v="2"/>
    <x v="197"/>
    <x v="10"/>
    <x v="499"/>
    <x v="2612"/>
    <x v="4569"/>
  </r>
  <r>
    <x v="2"/>
    <x v="0"/>
    <x v="2"/>
    <x v="158"/>
    <x v="13"/>
    <x v="581"/>
    <x v="2799"/>
    <x v="4570"/>
  </r>
  <r>
    <x v="0"/>
    <x v="0"/>
    <x v="0"/>
    <x v="172"/>
    <x v="16"/>
    <x v="61"/>
    <x v="3276"/>
    <x v="4571"/>
  </r>
  <r>
    <x v="1"/>
    <x v="0"/>
    <x v="2"/>
    <x v="19"/>
    <x v="5"/>
    <x v="690"/>
    <x v="3277"/>
    <x v="4572"/>
  </r>
  <r>
    <x v="2"/>
    <x v="0"/>
    <x v="2"/>
    <x v="5"/>
    <x v="7"/>
    <x v="221"/>
    <x v="3278"/>
    <x v="4573"/>
  </r>
  <r>
    <x v="1"/>
    <x v="0"/>
    <x v="2"/>
    <x v="28"/>
    <x v="8"/>
    <x v="385"/>
    <x v="837"/>
    <x v="4574"/>
  </r>
  <r>
    <x v="0"/>
    <x v="0"/>
    <x v="2"/>
    <x v="158"/>
    <x v="11"/>
    <x v="146"/>
    <x v="1582"/>
    <x v="4575"/>
  </r>
  <r>
    <x v="0"/>
    <x v="0"/>
    <x v="2"/>
    <x v="229"/>
    <x v="10"/>
    <x v="651"/>
    <x v="3279"/>
    <x v="4576"/>
  </r>
  <r>
    <x v="0"/>
    <x v="0"/>
    <x v="2"/>
    <x v="124"/>
    <x v="15"/>
    <x v="68"/>
    <x v="3280"/>
    <x v="4577"/>
  </r>
  <r>
    <x v="0"/>
    <x v="0"/>
    <x v="0"/>
    <x v="216"/>
    <x v="20"/>
    <x v="271"/>
    <x v="3187"/>
    <x v="4578"/>
  </r>
  <r>
    <x v="0"/>
    <x v="0"/>
    <x v="0"/>
    <x v="74"/>
    <x v="1"/>
    <x v="560"/>
    <x v="3281"/>
    <x v="4579"/>
  </r>
  <r>
    <x v="1"/>
    <x v="0"/>
    <x v="2"/>
    <x v="123"/>
    <x v="0"/>
    <x v="686"/>
    <x v="3282"/>
    <x v="4580"/>
  </r>
  <r>
    <x v="1"/>
    <x v="0"/>
    <x v="1"/>
    <x v="31"/>
    <x v="12"/>
    <x v="283"/>
    <x v="755"/>
    <x v="4581"/>
  </r>
  <r>
    <x v="1"/>
    <x v="0"/>
    <x v="2"/>
    <x v="218"/>
    <x v="10"/>
    <x v="188"/>
    <x v="648"/>
    <x v="4582"/>
  </r>
  <r>
    <x v="1"/>
    <x v="0"/>
    <x v="2"/>
    <x v="55"/>
    <x v="0"/>
    <x v="61"/>
    <x v="3283"/>
    <x v="4583"/>
  </r>
  <r>
    <x v="1"/>
    <x v="0"/>
    <x v="1"/>
    <x v="5"/>
    <x v="24"/>
    <x v="318"/>
    <x v="1275"/>
    <x v="4584"/>
  </r>
  <r>
    <x v="1"/>
    <x v="0"/>
    <x v="2"/>
    <x v="155"/>
    <x v="19"/>
    <x v="47"/>
    <x v="3284"/>
    <x v="4585"/>
  </r>
  <r>
    <x v="0"/>
    <x v="0"/>
    <x v="2"/>
    <x v="221"/>
    <x v="3"/>
    <x v="886"/>
    <x v="3285"/>
    <x v="4586"/>
  </r>
  <r>
    <x v="0"/>
    <x v="0"/>
    <x v="2"/>
    <x v="86"/>
    <x v="17"/>
    <x v="507"/>
    <x v="3286"/>
    <x v="4587"/>
  </r>
  <r>
    <x v="2"/>
    <x v="0"/>
    <x v="2"/>
    <x v="105"/>
    <x v="5"/>
    <x v="238"/>
    <x v="3287"/>
    <x v="4588"/>
  </r>
  <r>
    <x v="1"/>
    <x v="0"/>
    <x v="1"/>
    <x v="4"/>
    <x v="23"/>
    <x v="156"/>
    <x v="2775"/>
    <x v="4589"/>
  </r>
  <r>
    <x v="3"/>
    <x v="0"/>
    <x v="2"/>
    <x v="9"/>
    <x v="2"/>
    <x v="2"/>
    <x v="73"/>
    <x v="4590"/>
  </r>
  <r>
    <x v="2"/>
    <x v="0"/>
    <x v="2"/>
    <x v="37"/>
    <x v="5"/>
    <x v="260"/>
    <x v="3288"/>
    <x v="4591"/>
  </r>
  <r>
    <x v="2"/>
    <x v="0"/>
    <x v="2"/>
    <x v="24"/>
    <x v="15"/>
    <x v="690"/>
    <x v="3289"/>
    <x v="4592"/>
  </r>
  <r>
    <x v="2"/>
    <x v="0"/>
    <x v="2"/>
    <x v="202"/>
    <x v="2"/>
    <x v="2"/>
    <x v="3290"/>
    <x v="4593"/>
  </r>
  <r>
    <x v="1"/>
    <x v="0"/>
    <x v="2"/>
    <x v="162"/>
    <x v="5"/>
    <x v="172"/>
    <x v="3291"/>
    <x v="4594"/>
  </r>
  <r>
    <x v="1"/>
    <x v="0"/>
    <x v="1"/>
    <x v="45"/>
    <x v="5"/>
    <x v="612"/>
    <x v="1775"/>
    <x v="4595"/>
  </r>
  <r>
    <x v="0"/>
    <x v="0"/>
    <x v="2"/>
    <x v="162"/>
    <x v="11"/>
    <x v="330"/>
    <x v="3292"/>
    <x v="4596"/>
  </r>
  <r>
    <x v="2"/>
    <x v="0"/>
    <x v="2"/>
    <x v="153"/>
    <x v="9"/>
    <x v="707"/>
    <x v="3293"/>
    <x v="4597"/>
  </r>
  <r>
    <x v="2"/>
    <x v="0"/>
    <x v="2"/>
    <x v="121"/>
    <x v="9"/>
    <x v="453"/>
    <x v="1556"/>
    <x v="4598"/>
  </r>
  <r>
    <x v="2"/>
    <x v="0"/>
    <x v="2"/>
    <x v="88"/>
    <x v="22"/>
    <x v="842"/>
    <x v="3294"/>
    <x v="4599"/>
  </r>
  <r>
    <x v="1"/>
    <x v="0"/>
    <x v="1"/>
    <x v="216"/>
    <x v="24"/>
    <x v="154"/>
    <x v="3047"/>
    <x v="4600"/>
  </r>
  <r>
    <x v="0"/>
    <x v="0"/>
    <x v="0"/>
    <x v="38"/>
    <x v="2"/>
    <x v="2"/>
    <x v="1345"/>
    <x v="4601"/>
  </r>
  <r>
    <x v="1"/>
    <x v="0"/>
    <x v="1"/>
    <x v="151"/>
    <x v="15"/>
    <x v="260"/>
    <x v="706"/>
    <x v="4602"/>
  </r>
  <r>
    <x v="1"/>
    <x v="0"/>
    <x v="1"/>
    <x v="33"/>
    <x v="6"/>
    <x v="31"/>
    <x v="3295"/>
    <x v="4603"/>
  </r>
  <r>
    <x v="1"/>
    <x v="0"/>
    <x v="2"/>
    <x v="35"/>
    <x v="24"/>
    <x v="85"/>
    <x v="3296"/>
    <x v="4604"/>
  </r>
  <r>
    <x v="0"/>
    <x v="0"/>
    <x v="2"/>
    <x v="229"/>
    <x v="19"/>
    <x v="896"/>
    <x v="3297"/>
    <x v="4605"/>
  </r>
  <r>
    <x v="3"/>
    <x v="0"/>
    <x v="2"/>
    <x v="235"/>
    <x v="9"/>
    <x v="614"/>
    <x v="3241"/>
    <x v="4606"/>
  </r>
  <r>
    <x v="1"/>
    <x v="0"/>
    <x v="2"/>
    <x v="138"/>
    <x v="0"/>
    <x v="812"/>
    <x v="2117"/>
    <x v="4607"/>
  </r>
  <r>
    <x v="3"/>
    <x v="0"/>
    <x v="2"/>
    <x v="210"/>
    <x v="0"/>
    <x v="114"/>
    <x v="51"/>
    <x v="4608"/>
  </r>
  <r>
    <x v="0"/>
    <x v="0"/>
    <x v="0"/>
    <x v="0"/>
    <x v="6"/>
    <x v="101"/>
    <x v="1759"/>
    <x v="4609"/>
  </r>
  <r>
    <x v="0"/>
    <x v="0"/>
    <x v="0"/>
    <x v="49"/>
    <x v="17"/>
    <x v="689"/>
    <x v="2198"/>
    <x v="4610"/>
  </r>
  <r>
    <x v="3"/>
    <x v="0"/>
    <x v="2"/>
    <x v="177"/>
    <x v="12"/>
    <x v="368"/>
    <x v="3298"/>
    <x v="4611"/>
  </r>
  <r>
    <x v="1"/>
    <x v="0"/>
    <x v="2"/>
    <x v="58"/>
    <x v="12"/>
    <x v="739"/>
    <x v="1326"/>
    <x v="4612"/>
  </r>
  <r>
    <x v="2"/>
    <x v="0"/>
    <x v="2"/>
    <x v="6"/>
    <x v="15"/>
    <x v="283"/>
    <x v="3299"/>
    <x v="4613"/>
  </r>
  <r>
    <x v="0"/>
    <x v="0"/>
    <x v="0"/>
    <x v="177"/>
    <x v="7"/>
    <x v="786"/>
    <x v="1581"/>
    <x v="4614"/>
  </r>
  <r>
    <x v="2"/>
    <x v="0"/>
    <x v="2"/>
    <x v="99"/>
    <x v="20"/>
    <x v="245"/>
    <x v="3300"/>
    <x v="4615"/>
  </r>
  <r>
    <x v="2"/>
    <x v="0"/>
    <x v="2"/>
    <x v="98"/>
    <x v="2"/>
    <x v="2"/>
    <x v="1813"/>
    <x v="4616"/>
  </r>
  <r>
    <x v="3"/>
    <x v="0"/>
    <x v="2"/>
    <x v="168"/>
    <x v="8"/>
    <x v="150"/>
    <x v="3301"/>
    <x v="4617"/>
  </r>
  <r>
    <x v="0"/>
    <x v="0"/>
    <x v="0"/>
    <x v="43"/>
    <x v="17"/>
    <x v="41"/>
    <x v="3302"/>
    <x v="4618"/>
  </r>
  <r>
    <x v="0"/>
    <x v="0"/>
    <x v="2"/>
    <x v="199"/>
    <x v="15"/>
    <x v="209"/>
    <x v="3303"/>
    <x v="4619"/>
  </r>
  <r>
    <x v="1"/>
    <x v="0"/>
    <x v="1"/>
    <x v="17"/>
    <x v="28"/>
    <x v="275"/>
    <x v="3304"/>
    <x v="4620"/>
  </r>
  <r>
    <x v="1"/>
    <x v="0"/>
    <x v="2"/>
    <x v="79"/>
    <x v="11"/>
    <x v="44"/>
    <x v="3305"/>
    <x v="4621"/>
  </r>
  <r>
    <x v="2"/>
    <x v="0"/>
    <x v="2"/>
    <x v="74"/>
    <x v="13"/>
    <x v="250"/>
    <x v="1958"/>
    <x v="4622"/>
  </r>
  <r>
    <x v="1"/>
    <x v="0"/>
    <x v="2"/>
    <x v="22"/>
    <x v="12"/>
    <x v="208"/>
    <x v="3306"/>
    <x v="4623"/>
  </r>
  <r>
    <x v="3"/>
    <x v="0"/>
    <x v="2"/>
    <x v="53"/>
    <x v="4"/>
    <x v="603"/>
    <x v="2514"/>
    <x v="4624"/>
  </r>
  <r>
    <x v="2"/>
    <x v="0"/>
    <x v="2"/>
    <x v="119"/>
    <x v="8"/>
    <x v="735"/>
    <x v="3307"/>
    <x v="4625"/>
  </r>
  <r>
    <x v="0"/>
    <x v="0"/>
    <x v="0"/>
    <x v="5"/>
    <x v="28"/>
    <x v="846"/>
    <x v="3308"/>
    <x v="4626"/>
  </r>
  <r>
    <x v="1"/>
    <x v="0"/>
    <x v="2"/>
    <x v="69"/>
    <x v="13"/>
    <x v="191"/>
    <x v="2425"/>
    <x v="4627"/>
  </r>
  <r>
    <x v="0"/>
    <x v="0"/>
    <x v="2"/>
    <x v="77"/>
    <x v="2"/>
    <x v="2"/>
    <x v="3309"/>
    <x v="4628"/>
  </r>
  <r>
    <x v="0"/>
    <x v="0"/>
    <x v="0"/>
    <x v="145"/>
    <x v="10"/>
    <x v="677"/>
    <x v="1693"/>
    <x v="4629"/>
  </r>
  <r>
    <x v="3"/>
    <x v="0"/>
    <x v="2"/>
    <x v="196"/>
    <x v="13"/>
    <x v="526"/>
    <x v="3310"/>
    <x v="4630"/>
  </r>
  <r>
    <x v="1"/>
    <x v="0"/>
    <x v="1"/>
    <x v="3"/>
    <x v="6"/>
    <x v="1"/>
    <x v="3311"/>
    <x v="4631"/>
  </r>
  <r>
    <x v="3"/>
    <x v="0"/>
    <x v="2"/>
    <x v="10"/>
    <x v="10"/>
    <x v="563"/>
    <x v="1750"/>
    <x v="4632"/>
  </r>
  <r>
    <x v="2"/>
    <x v="0"/>
    <x v="2"/>
    <x v="87"/>
    <x v="28"/>
    <x v="413"/>
    <x v="1325"/>
    <x v="4633"/>
  </r>
  <r>
    <x v="1"/>
    <x v="0"/>
    <x v="2"/>
    <x v="25"/>
    <x v="22"/>
    <x v="374"/>
    <x v="3312"/>
    <x v="4634"/>
  </r>
  <r>
    <x v="0"/>
    <x v="0"/>
    <x v="2"/>
    <x v="83"/>
    <x v="21"/>
    <x v="114"/>
    <x v="929"/>
    <x v="4635"/>
  </r>
  <r>
    <x v="2"/>
    <x v="0"/>
    <x v="2"/>
    <x v="23"/>
    <x v="22"/>
    <x v="807"/>
    <x v="2629"/>
    <x v="4636"/>
  </r>
  <r>
    <x v="2"/>
    <x v="0"/>
    <x v="2"/>
    <x v="96"/>
    <x v="7"/>
    <x v="447"/>
    <x v="563"/>
    <x v="4637"/>
  </r>
  <r>
    <x v="0"/>
    <x v="0"/>
    <x v="0"/>
    <x v="175"/>
    <x v="7"/>
    <x v="589"/>
    <x v="1650"/>
    <x v="4638"/>
  </r>
  <r>
    <x v="1"/>
    <x v="0"/>
    <x v="2"/>
    <x v="33"/>
    <x v="11"/>
    <x v="709"/>
    <x v="2732"/>
    <x v="4639"/>
  </r>
  <r>
    <x v="2"/>
    <x v="0"/>
    <x v="2"/>
    <x v="145"/>
    <x v="24"/>
    <x v="55"/>
    <x v="2680"/>
    <x v="4640"/>
  </r>
  <r>
    <x v="3"/>
    <x v="0"/>
    <x v="2"/>
    <x v="212"/>
    <x v="15"/>
    <x v="280"/>
    <x v="3313"/>
    <x v="4641"/>
  </r>
  <r>
    <x v="0"/>
    <x v="0"/>
    <x v="2"/>
    <x v="37"/>
    <x v="11"/>
    <x v="46"/>
    <x v="599"/>
    <x v="4642"/>
  </r>
  <r>
    <x v="2"/>
    <x v="0"/>
    <x v="2"/>
    <x v="105"/>
    <x v="5"/>
    <x v="238"/>
    <x v="1580"/>
    <x v="4643"/>
  </r>
  <r>
    <x v="2"/>
    <x v="0"/>
    <x v="2"/>
    <x v="47"/>
    <x v="10"/>
    <x v="465"/>
    <x v="3314"/>
    <x v="4644"/>
  </r>
  <r>
    <x v="2"/>
    <x v="0"/>
    <x v="2"/>
    <x v="179"/>
    <x v="17"/>
    <x v="640"/>
    <x v="1892"/>
    <x v="4645"/>
  </r>
  <r>
    <x v="0"/>
    <x v="0"/>
    <x v="2"/>
    <x v="244"/>
    <x v="1"/>
    <x v="450"/>
    <x v="647"/>
    <x v="4646"/>
  </r>
  <r>
    <x v="2"/>
    <x v="0"/>
    <x v="2"/>
    <x v="72"/>
    <x v="4"/>
    <x v="236"/>
    <x v="3227"/>
    <x v="4647"/>
  </r>
  <r>
    <x v="2"/>
    <x v="0"/>
    <x v="2"/>
    <x v="37"/>
    <x v="1"/>
    <x v="679"/>
    <x v="3237"/>
    <x v="4648"/>
  </r>
  <r>
    <x v="1"/>
    <x v="0"/>
    <x v="2"/>
    <x v="68"/>
    <x v="8"/>
    <x v="26"/>
    <x v="1562"/>
    <x v="4649"/>
  </r>
  <r>
    <x v="1"/>
    <x v="0"/>
    <x v="2"/>
    <x v="131"/>
    <x v="11"/>
    <x v="72"/>
    <x v="1930"/>
    <x v="4650"/>
  </r>
  <r>
    <x v="1"/>
    <x v="0"/>
    <x v="1"/>
    <x v="211"/>
    <x v="1"/>
    <x v="330"/>
    <x v="3315"/>
    <x v="4651"/>
  </r>
  <r>
    <x v="3"/>
    <x v="0"/>
    <x v="2"/>
    <x v="75"/>
    <x v="15"/>
    <x v="313"/>
    <x v="2998"/>
    <x v="4652"/>
  </r>
  <r>
    <x v="1"/>
    <x v="0"/>
    <x v="1"/>
    <x v="6"/>
    <x v="16"/>
    <x v="578"/>
    <x v="351"/>
    <x v="4653"/>
  </r>
  <r>
    <x v="3"/>
    <x v="0"/>
    <x v="2"/>
    <x v="236"/>
    <x v="15"/>
    <x v="500"/>
    <x v="3316"/>
    <x v="4654"/>
  </r>
  <r>
    <x v="3"/>
    <x v="0"/>
    <x v="2"/>
    <x v="44"/>
    <x v="6"/>
    <x v="694"/>
    <x v="413"/>
    <x v="4655"/>
  </r>
  <r>
    <x v="2"/>
    <x v="0"/>
    <x v="2"/>
    <x v="218"/>
    <x v="13"/>
    <x v="468"/>
    <x v="73"/>
    <x v="4656"/>
  </r>
  <r>
    <x v="3"/>
    <x v="0"/>
    <x v="2"/>
    <x v="231"/>
    <x v="5"/>
    <x v="129"/>
    <x v="3317"/>
    <x v="4657"/>
  </r>
  <r>
    <x v="2"/>
    <x v="0"/>
    <x v="2"/>
    <x v="159"/>
    <x v="7"/>
    <x v="622"/>
    <x v="3318"/>
    <x v="4658"/>
  </r>
  <r>
    <x v="0"/>
    <x v="0"/>
    <x v="2"/>
    <x v="95"/>
    <x v="17"/>
    <x v="708"/>
    <x v="3319"/>
    <x v="4659"/>
  </r>
  <r>
    <x v="1"/>
    <x v="0"/>
    <x v="1"/>
    <x v="121"/>
    <x v="5"/>
    <x v="44"/>
    <x v="1106"/>
    <x v="4660"/>
  </r>
  <r>
    <x v="0"/>
    <x v="0"/>
    <x v="2"/>
    <x v="52"/>
    <x v="16"/>
    <x v="181"/>
    <x v="449"/>
    <x v="4661"/>
  </r>
  <r>
    <x v="1"/>
    <x v="0"/>
    <x v="2"/>
    <x v="165"/>
    <x v="0"/>
    <x v="138"/>
    <x v="1611"/>
    <x v="4662"/>
  </r>
  <r>
    <x v="3"/>
    <x v="0"/>
    <x v="2"/>
    <x v="21"/>
    <x v="6"/>
    <x v="20"/>
    <x v="2345"/>
    <x v="4663"/>
  </r>
  <r>
    <x v="0"/>
    <x v="0"/>
    <x v="2"/>
    <x v="72"/>
    <x v="2"/>
    <x v="2"/>
    <x v="3320"/>
    <x v="4664"/>
  </r>
  <r>
    <x v="2"/>
    <x v="0"/>
    <x v="2"/>
    <x v="217"/>
    <x v="17"/>
    <x v="403"/>
    <x v="2119"/>
    <x v="4665"/>
  </r>
  <r>
    <x v="0"/>
    <x v="0"/>
    <x v="2"/>
    <x v="105"/>
    <x v="1"/>
    <x v="211"/>
    <x v="1599"/>
    <x v="4666"/>
  </r>
  <r>
    <x v="3"/>
    <x v="0"/>
    <x v="2"/>
    <x v="165"/>
    <x v="2"/>
    <x v="2"/>
    <x v="433"/>
    <x v="4667"/>
  </r>
  <r>
    <x v="3"/>
    <x v="0"/>
    <x v="2"/>
    <x v="82"/>
    <x v="17"/>
    <x v="426"/>
    <x v="2163"/>
    <x v="4668"/>
  </r>
  <r>
    <x v="3"/>
    <x v="0"/>
    <x v="2"/>
    <x v="47"/>
    <x v="17"/>
    <x v="260"/>
    <x v="3321"/>
    <x v="4669"/>
  </r>
  <r>
    <x v="2"/>
    <x v="0"/>
    <x v="2"/>
    <x v="231"/>
    <x v="3"/>
    <x v="895"/>
    <x v="3322"/>
    <x v="4670"/>
  </r>
  <r>
    <x v="1"/>
    <x v="0"/>
    <x v="1"/>
    <x v="132"/>
    <x v="8"/>
    <x v="565"/>
    <x v="3323"/>
    <x v="4671"/>
  </r>
  <r>
    <x v="2"/>
    <x v="0"/>
    <x v="2"/>
    <x v="65"/>
    <x v="0"/>
    <x v="897"/>
    <x v="3058"/>
    <x v="4672"/>
  </r>
  <r>
    <x v="1"/>
    <x v="0"/>
    <x v="1"/>
    <x v="11"/>
    <x v="2"/>
    <x v="2"/>
    <x v="3324"/>
    <x v="4673"/>
  </r>
  <r>
    <x v="1"/>
    <x v="0"/>
    <x v="2"/>
    <x v="87"/>
    <x v="2"/>
    <x v="2"/>
    <x v="3325"/>
    <x v="4674"/>
  </r>
  <r>
    <x v="3"/>
    <x v="0"/>
    <x v="2"/>
    <x v="244"/>
    <x v="5"/>
    <x v="105"/>
    <x v="3318"/>
    <x v="4675"/>
  </r>
  <r>
    <x v="3"/>
    <x v="0"/>
    <x v="2"/>
    <x v="31"/>
    <x v="16"/>
    <x v="19"/>
    <x v="2223"/>
    <x v="4676"/>
  </r>
  <r>
    <x v="0"/>
    <x v="0"/>
    <x v="0"/>
    <x v="164"/>
    <x v="0"/>
    <x v="729"/>
    <x v="309"/>
    <x v="4677"/>
  </r>
  <r>
    <x v="1"/>
    <x v="0"/>
    <x v="1"/>
    <x v="207"/>
    <x v="11"/>
    <x v="422"/>
    <x v="3326"/>
    <x v="4678"/>
  </r>
  <r>
    <x v="3"/>
    <x v="0"/>
    <x v="2"/>
    <x v="81"/>
    <x v="11"/>
    <x v="259"/>
    <x v="3327"/>
    <x v="4679"/>
  </r>
  <r>
    <x v="3"/>
    <x v="0"/>
    <x v="2"/>
    <x v="224"/>
    <x v="5"/>
    <x v="582"/>
    <x v="3328"/>
    <x v="4680"/>
  </r>
  <r>
    <x v="2"/>
    <x v="0"/>
    <x v="2"/>
    <x v="130"/>
    <x v="6"/>
    <x v="288"/>
    <x v="831"/>
    <x v="4681"/>
  </r>
  <r>
    <x v="2"/>
    <x v="0"/>
    <x v="2"/>
    <x v="80"/>
    <x v="11"/>
    <x v="315"/>
    <x v="348"/>
    <x v="4682"/>
  </r>
  <r>
    <x v="3"/>
    <x v="0"/>
    <x v="2"/>
    <x v="185"/>
    <x v="6"/>
    <x v="131"/>
    <x v="3329"/>
    <x v="4683"/>
  </r>
  <r>
    <x v="3"/>
    <x v="0"/>
    <x v="2"/>
    <x v="156"/>
    <x v="17"/>
    <x v="0"/>
    <x v="2099"/>
    <x v="4684"/>
  </r>
  <r>
    <x v="1"/>
    <x v="0"/>
    <x v="2"/>
    <x v="112"/>
    <x v="6"/>
    <x v="335"/>
    <x v="2663"/>
    <x v="4685"/>
  </r>
  <r>
    <x v="2"/>
    <x v="0"/>
    <x v="2"/>
    <x v="175"/>
    <x v="12"/>
    <x v="270"/>
    <x v="2433"/>
    <x v="4686"/>
  </r>
  <r>
    <x v="1"/>
    <x v="0"/>
    <x v="1"/>
    <x v="110"/>
    <x v="6"/>
    <x v="124"/>
    <x v="2946"/>
    <x v="4687"/>
  </r>
  <r>
    <x v="2"/>
    <x v="0"/>
    <x v="2"/>
    <x v="175"/>
    <x v="25"/>
    <x v="80"/>
    <x v="3330"/>
    <x v="4688"/>
  </r>
  <r>
    <x v="0"/>
    <x v="0"/>
    <x v="2"/>
    <x v="200"/>
    <x v="10"/>
    <x v="321"/>
    <x v="350"/>
    <x v="4689"/>
  </r>
  <r>
    <x v="1"/>
    <x v="0"/>
    <x v="2"/>
    <x v="64"/>
    <x v="12"/>
    <x v="212"/>
    <x v="3331"/>
    <x v="4690"/>
  </r>
  <r>
    <x v="2"/>
    <x v="0"/>
    <x v="2"/>
    <x v="220"/>
    <x v="5"/>
    <x v="447"/>
    <x v="1611"/>
    <x v="4691"/>
  </r>
  <r>
    <x v="1"/>
    <x v="0"/>
    <x v="2"/>
    <x v="148"/>
    <x v="10"/>
    <x v="216"/>
    <x v="3332"/>
    <x v="4692"/>
  </r>
  <r>
    <x v="2"/>
    <x v="0"/>
    <x v="2"/>
    <x v="191"/>
    <x v="6"/>
    <x v="553"/>
    <x v="527"/>
    <x v="4693"/>
  </r>
  <r>
    <x v="2"/>
    <x v="0"/>
    <x v="2"/>
    <x v="129"/>
    <x v="9"/>
    <x v="510"/>
    <x v="981"/>
    <x v="4694"/>
  </r>
  <r>
    <x v="2"/>
    <x v="0"/>
    <x v="2"/>
    <x v="101"/>
    <x v="22"/>
    <x v="758"/>
    <x v="2309"/>
    <x v="4695"/>
  </r>
  <r>
    <x v="1"/>
    <x v="0"/>
    <x v="2"/>
    <x v="94"/>
    <x v="2"/>
    <x v="2"/>
    <x v="3333"/>
    <x v="4696"/>
  </r>
  <r>
    <x v="2"/>
    <x v="0"/>
    <x v="2"/>
    <x v="6"/>
    <x v="5"/>
    <x v="503"/>
    <x v="1267"/>
    <x v="4697"/>
  </r>
  <r>
    <x v="1"/>
    <x v="0"/>
    <x v="2"/>
    <x v="175"/>
    <x v="4"/>
    <x v="401"/>
    <x v="3334"/>
    <x v="4698"/>
  </r>
  <r>
    <x v="1"/>
    <x v="0"/>
    <x v="1"/>
    <x v="131"/>
    <x v="9"/>
    <x v="362"/>
    <x v="3335"/>
    <x v="4699"/>
  </r>
  <r>
    <x v="0"/>
    <x v="0"/>
    <x v="2"/>
    <x v="59"/>
    <x v="13"/>
    <x v="501"/>
    <x v="3336"/>
    <x v="4700"/>
  </r>
  <r>
    <x v="1"/>
    <x v="0"/>
    <x v="1"/>
    <x v="143"/>
    <x v="3"/>
    <x v="854"/>
    <x v="2040"/>
    <x v="4701"/>
  </r>
  <r>
    <x v="1"/>
    <x v="0"/>
    <x v="2"/>
    <x v="72"/>
    <x v="14"/>
    <x v="687"/>
    <x v="3337"/>
    <x v="4702"/>
  </r>
  <r>
    <x v="1"/>
    <x v="0"/>
    <x v="1"/>
    <x v="181"/>
    <x v="24"/>
    <x v="784"/>
    <x v="3338"/>
    <x v="2629"/>
  </r>
  <r>
    <x v="0"/>
    <x v="0"/>
    <x v="2"/>
    <x v="117"/>
    <x v="10"/>
    <x v="394"/>
    <x v="3339"/>
    <x v="4703"/>
  </r>
  <r>
    <x v="2"/>
    <x v="0"/>
    <x v="2"/>
    <x v="56"/>
    <x v="15"/>
    <x v="3"/>
    <x v="3340"/>
    <x v="4704"/>
  </r>
  <r>
    <x v="1"/>
    <x v="0"/>
    <x v="1"/>
    <x v="55"/>
    <x v="0"/>
    <x v="61"/>
    <x v="1087"/>
    <x v="4705"/>
  </r>
  <r>
    <x v="1"/>
    <x v="0"/>
    <x v="2"/>
    <x v="157"/>
    <x v="4"/>
    <x v="444"/>
    <x v="3341"/>
    <x v="4706"/>
  </r>
  <r>
    <x v="1"/>
    <x v="0"/>
    <x v="1"/>
    <x v="76"/>
    <x v="9"/>
    <x v="329"/>
    <x v="3117"/>
    <x v="4707"/>
  </r>
  <r>
    <x v="1"/>
    <x v="0"/>
    <x v="2"/>
    <x v="22"/>
    <x v="3"/>
    <x v="738"/>
    <x v="574"/>
    <x v="4708"/>
  </r>
  <r>
    <x v="3"/>
    <x v="0"/>
    <x v="2"/>
    <x v="238"/>
    <x v="6"/>
    <x v="45"/>
    <x v="3342"/>
    <x v="4709"/>
  </r>
  <r>
    <x v="0"/>
    <x v="0"/>
    <x v="0"/>
    <x v="185"/>
    <x v="6"/>
    <x v="131"/>
    <x v="2078"/>
    <x v="4710"/>
  </r>
  <r>
    <x v="0"/>
    <x v="0"/>
    <x v="0"/>
    <x v="110"/>
    <x v="0"/>
    <x v="227"/>
    <x v="812"/>
    <x v="4711"/>
  </r>
  <r>
    <x v="1"/>
    <x v="0"/>
    <x v="2"/>
    <x v="181"/>
    <x v="5"/>
    <x v="375"/>
    <x v="3343"/>
    <x v="4712"/>
  </r>
  <r>
    <x v="3"/>
    <x v="0"/>
    <x v="2"/>
    <x v="192"/>
    <x v="11"/>
    <x v="251"/>
    <x v="2760"/>
    <x v="4713"/>
  </r>
  <r>
    <x v="1"/>
    <x v="0"/>
    <x v="1"/>
    <x v="142"/>
    <x v="11"/>
    <x v="284"/>
    <x v="75"/>
    <x v="4714"/>
  </r>
  <r>
    <x v="0"/>
    <x v="0"/>
    <x v="2"/>
    <x v="78"/>
    <x v="24"/>
    <x v="572"/>
    <x v="3344"/>
    <x v="4715"/>
  </r>
  <r>
    <x v="3"/>
    <x v="0"/>
    <x v="2"/>
    <x v="43"/>
    <x v="10"/>
    <x v="3"/>
    <x v="3345"/>
    <x v="4716"/>
  </r>
  <r>
    <x v="3"/>
    <x v="0"/>
    <x v="2"/>
    <x v="76"/>
    <x v="14"/>
    <x v="203"/>
    <x v="3346"/>
    <x v="4717"/>
  </r>
  <r>
    <x v="2"/>
    <x v="0"/>
    <x v="2"/>
    <x v="214"/>
    <x v="3"/>
    <x v="11"/>
    <x v="1971"/>
    <x v="4718"/>
  </r>
  <r>
    <x v="3"/>
    <x v="0"/>
    <x v="2"/>
    <x v="241"/>
    <x v="18"/>
    <x v="245"/>
    <x v="2022"/>
    <x v="4719"/>
  </r>
  <r>
    <x v="1"/>
    <x v="0"/>
    <x v="1"/>
    <x v="183"/>
    <x v="2"/>
    <x v="2"/>
    <x v="1795"/>
    <x v="4720"/>
  </r>
  <r>
    <x v="1"/>
    <x v="0"/>
    <x v="1"/>
    <x v="29"/>
    <x v="6"/>
    <x v="771"/>
    <x v="1686"/>
    <x v="4721"/>
  </r>
  <r>
    <x v="0"/>
    <x v="0"/>
    <x v="2"/>
    <x v="136"/>
    <x v="16"/>
    <x v="227"/>
    <x v="3347"/>
    <x v="4722"/>
  </r>
  <r>
    <x v="2"/>
    <x v="0"/>
    <x v="2"/>
    <x v="120"/>
    <x v="0"/>
    <x v="111"/>
    <x v="1224"/>
    <x v="4723"/>
  </r>
  <r>
    <x v="3"/>
    <x v="0"/>
    <x v="2"/>
    <x v="187"/>
    <x v="0"/>
    <x v="643"/>
    <x v="3348"/>
    <x v="4724"/>
  </r>
  <r>
    <x v="3"/>
    <x v="0"/>
    <x v="2"/>
    <x v="81"/>
    <x v="13"/>
    <x v="498"/>
    <x v="3349"/>
    <x v="4725"/>
  </r>
  <r>
    <x v="3"/>
    <x v="0"/>
    <x v="2"/>
    <x v="18"/>
    <x v="15"/>
    <x v="421"/>
    <x v="409"/>
    <x v="4726"/>
  </r>
  <r>
    <x v="0"/>
    <x v="0"/>
    <x v="0"/>
    <x v="237"/>
    <x v="13"/>
    <x v="672"/>
    <x v="3350"/>
    <x v="4727"/>
  </r>
  <r>
    <x v="0"/>
    <x v="0"/>
    <x v="0"/>
    <x v="110"/>
    <x v="2"/>
    <x v="2"/>
    <x v="3223"/>
    <x v="4728"/>
  </r>
  <r>
    <x v="0"/>
    <x v="0"/>
    <x v="2"/>
    <x v="95"/>
    <x v="11"/>
    <x v="494"/>
    <x v="3351"/>
    <x v="4729"/>
  </r>
  <r>
    <x v="1"/>
    <x v="0"/>
    <x v="2"/>
    <x v="15"/>
    <x v="2"/>
    <x v="2"/>
    <x v="3352"/>
    <x v="4730"/>
  </r>
  <r>
    <x v="0"/>
    <x v="0"/>
    <x v="2"/>
    <x v="45"/>
    <x v="13"/>
    <x v="442"/>
    <x v="3353"/>
    <x v="4731"/>
  </r>
  <r>
    <x v="1"/>
    <x v="0"/>
    <x v="1"/>
    <x v="164"/>
    <x v="10"/>
    <x v="0"/>
    <x v="982"/>
    <x v="4732"/>
  </r>
  <r>
    <x v="3"/>
    <x v="0"/>
    <x v="2"/>
    <x v="54"/>
    <x v="2"/>
    <x v="2"/>
    <x v="3354"/>
    <x v="4733"/>
  </r>
  <r>
    <x v="1"/>
    <x v="0"/>
    <x v="2"/>
    <x v="87"/>
    <x v="10"/>
    <x v="868"/>
    <x v="3355"/>
    <x v="4734"/>
  </r>
  <r>
    <x v="0"/>
    <x v="0"/>
    <x v="2"/>
    <x v="212"/>
    <x v="16"/>
    <x v="666"/>
    <x v="3356"/>
    <x v="4735"/>
  </r>
  <r>
    <x v="0"/>
    <x v="0"/>
    <x v="2"/>
    <x v="181"/>
    <x v="0"/>
    <x v="9"/>
    <x v="3357"/>
    <x v="4736"/>
  </r>
  <r>
    <x v="1"/>
    <x v="0"/>
    <x v="2"/>
    <x v="116"/>
    <x v="20"/>
    <x v="70"/>
    <x v="3358"/>
    <x v="4737"/>
  </r>
  <r>
    <x v="1"/>
    <x v="0"/>
    <x v="1"/>
    <x v="139"/>
    <x v="9"/>
    <x v="270"/>
    <x v="853"/>
    <x v="4738"/>
  </r>
  <r>
    <x v="0"/>
    <x v="0"/>
    <x v="0"/>
    <x v="137"/>
    <x v="6"/>
    <x v="247"/>
    <x v="3359"/>
    <x v="4739"/>
  </r>
  <r>
    <x v="2"/>
    <x v="0"/>
    <x v="2"/>
    <x v="138"/>
    <x v="1"/>
    <x v="166"/>
    <x v="1503"/>
    <x v="4740"/>
  </r>
  <r>
    <x v="2"/>
    <x v="0"/>
    <x v="2"/>
    <x v="211"/>
    <x v="28"/>
    <x v="88"/>
    <x v="3360"/>
    <x v="4741"/>
  </r>
  <r>
    <x v="3"/>
    <x v="0"/>
    <x v="2"/>
    <x v="211"/>
    <x v="24"/>
    <x v="841"/>
    <x v="86"/>
    <x v="4742"/>
  </r>
  <r>
    <x v="3"/>
    <x v="0"/>
    <x v="2"/>
    <x v="118"/>
    <x v="17"/>
    <x v="690"/>
    <x v="3361"/>
    <x v="4743"/>
  </r>
  <r>
    <x v="2"/>
    <x v="0"/>
    <x v="2"/>
    <x v="86"/>
    <x v="0"/>
    <x v="357"/>
    <x v="3362"/>
    <x v="4744"/>
  </r>
  <r>
    <x v="1"/>
    <x v="0"/>
    <x v="1"/>
    <x v="149"/>
    <x v="2"/>
    <x v="2"/>
    <x v="2573"/>
    <x v="4745"/>
  </r>
  <r>
    <x v="1"/>
    <x v="0"/>
    <x v="2"/>
    <x v="215"/>
    <x v="20"/>
    <x v="484"/>
    <x v="1302"/>
    <x v="4746"/>
  </r>
  <r>
    <x v="0"/>
    <x v="0"/>
    <x v="0"/>
    <x v="107"/>
    <x v="1"/>
    <x v="13"/>
    <x v="3363"/>
    <x v="4747"/>
  </r>
  <r>
    <x v="0"/>
    <x v="0"/>
    <x v="2"/>
    <x v="73"/>
    <x v="11"/>
    <x v="73"/>
    <x v="276"/>
    <x v="4748"/>
  </r>
  <r>
    <x v="0"/>
    <x v="0"/>
    <x v="0"/>
    <x v="109"/>
    <x v="10"/>
    <x v="4"/>
    <x v="3364"/>
    <x v="4749"/>
  </r>
  <r>
    <x v="2"/>
    <x v="0"/>
    <x v="2"/>
    <x v="47"/>
    <x v="7"/>
    <x v="49"/>
    <x v="3365"/>
    <x v="4750"/>
  </r>
  <r>
    <x v="0"/>
    <x v="0"/>
    <x v="2"/>
    <x v="196"/>
    <x v="15"/>
    <x v="729"/>
    <x v="1442"/>
    <x v="4751"/>
  </r>
  <r>
    <x v="0"/>
    <x v="0"/>
    <x v="2"/>
    <x v="105"/>
    <x v="5"/>
    <x v="238"/>
    <x v="1986"/>
    <x v="4752"/>
  </r>
  <r>
    <x v="0"/>
    <x v="0"/>
    <x v="2"/>
    <x v="159"/>
    <x v="20"/>
    <x v="789"/>
    <x v="3366"/>
    <x v="4753"/>
  </r>
  <r>
    <x v="2"/>
    <x v="0"/>
    <x v="2"/>
    <x v="247"/>
    <x v="13"/>
    <x v="607"/>
    <x v="1054"/>
    <x v="4754"/>
  </r>
  <r>
    <x v="0"/>
    <x v="0"/>
    <x v="0"/>
    <x v="84"/>
    <x v="1"/>
    <x v="888"/>
    <x v="3367"/>
    <x v="4755"/>
  </r>
  <r>
    <x v="3"/>
    <x v="0"/>
    <x v="2"/>
    <x v="184"/>
    <x v="15"/>
    <x v="0"/>
    <x v="3368"/>
    <x v="4756"/>
  </r>
  <r>
    <x v="1"/>
    <x v="0"/>
    <x v="2"/>
    <x v="95"/>
    <x v="5"/>
    <x v="649"/>
    <x v="3369"/>
    <x v="4757"/>
  </r>
  <r>
    <x v="0"/>
    <x v="0"/>
    <x v="0"/>
    <x v="74"/>
    <x v="7"/>
    <x v="119"/>
    <x v="3370"/>
    <x v="4758"/>
  </r>
  <r>
    <x v="0"/>
    <x v="0"/>
    <x v="2"/>
    <x v="46"/>
    <x v="15"/>
    <x v="352"/>
    <x v="3371"/>
    <x v="4759"/>
  </r>
  <r>
    <x v="0"/>
    <x v="0"/>
    <x v="2"/>
    <x v="130"/>
    <x v="0"/>
    <x v="659"/>
    <x v="543"/>
    <x v="4760"/>
  </r>
  <r>
    <x v="2"/>
    <x v="0"/>
    <x v="2"/>
    <x v="234"/>
    <x v="0"/>
    <x v="142"/>
    <x v="3372"/>
    <x v="4761"/>
  </r>
  <r>
    <x v="3"/>
    <x v="0"/>
    <x v="2"/>
    <x v="134"/>
    <x v="0"/>
    <x v="691"/>
    <x v="3373"/>
    <x v="4762"/>
  </r>
  <r>
    <x v="3"/>
    <x v="0"/>
    <x v="2"/>
    <x v="156"/>
    <x v="13"/>
    <x v="765"/>
    <x v="3374"/>
    <x v="4763"/>
  </r>
  <r>
    <x v="1"/>
    <x v="0"/>
    <x v="1"/>
    <x v="82"/>
    <x v="15"/>
    <x v="856"/>
    <x v="3375"/>
    <x v="4764"/>
  </r>
  <r>
    <x v="1"/>
    <x v="0"/>
    <x v="2"/>
    <x v="236"/>
    <x v="24"/>
    <x v="0"/>
    <x v="1196"/>
    <x v="4765"/>
  </r>
  <r>
    <x v="0"/>
    <x v="0"/>
    <x v="0"/>
    <x v="38"/>
    <x v="5"/>
    <x v="0"/>
    <x v="1716"/>
    <x v="4766"/>
  </r>
  <r>
    <x v="2"/>
    <x v="0"/>
    <x v="2"/>
    <x v="143"/>
    <x v="1"/>
    <x v="363"/>
    <x v="3376"/>
    <x v="4767"/>
  </r>
  <r>
    <x v="1"/>
    <x v="0"/>
    <x v="2"/>
    <x v="69"/>
    <x v="16"/>
    <x v="505"/>
    <x v="3377"/>
    <x v="4768"/>
  </r>
  <r>
    <x v="0"/>
    <x v="0"/>
    <x v="0"/>
    <x v="195"/>
    <x v="23"/>
    <x v="736"/>
    <x v="3378"/>
    <x v="4769"/>
  </r>
  <r>
    <x v="3"/>
    <x v="0"/>
    <x v="2"/>
    <x v="199"/>
    <x v="1"/>
    <x v="516"/>
    <x v="2432"/>
    <x v="4770"/>
  </r>
  <r>
    <x v="1"/>
    <x v="0"/>
    <x v="2"/>
    <x v="205"/>
    <x v="20"/>
    <x v="128"/>
    <x v="3379"/>
    <x v="4771"/>
  </r>
  <r>
    <x v="1"/>
    <x v="0"/>
    <x v="1"/>
    <x v="104"/>
    <x v="11"/>
    <x v="296"/>
    <x v="3380"/>
    <x v="4772"/>
  </r>
  <r>
    <x v="3"/>
    <x v="0"/>
    <x v="2"/>
    <x v="108"/>
    <x v="10"/>
    <x v="448"/>
    <x v="3381"/>
    <x v="4773"/>
  </r>
  <r>
    <x v="3"/>
    <x v="0"/>
    <x v="2"/>
    <x v="164"/>
    <x v="1"/>
    <x v="100"/>
    <x v="417"/>
    <x v="4774"/>
  </r>
  <r>
    <x v="0"/>
    <x v="0"/>
    <x v="0"/>
    <x v="7"/>
    <x v="22"/>
    <x v="281"/>
    <x v="1481"/>
    <x v="4775"/>
  </r>
  <r>
    <x v="2"/>
    <x v="0"/>
    <x v="2"/>
    <x v="185"/>
    <x v="11"/>
    <x v="440"/>
    <x v="756"/>
    <x v="4776"/>
  </r>
  <r>
    <x v="3"/>
    <x v="0"/>
    <x v="2"/>
    <x v="0"/>
    <x v="1"/>
    <x v="52"/>
    <x v="3382"/>
    <x v="4777"/>
  </r>
  <r>
    <x v="2"/>
    <x v="0"/>
    <x v="2"/>
    <x v="238"/>
    <x v="7"/>
    <x v="196"/>
    <x v="3255"/>
    <x v="4778"/>
  </r>
  <r>
    <x v="0"/>
    <x v="0"/>
    <x v="0"/>
    <x v="165"/>
    <x v="17"/>
    <x v="713"/>
    <x v="588"/>
    <x v="4779"/>
  </r>
  <r>
    <x v="0"/>
    <x v="0"/>
    <x v="0"/>
    <x v="230"/>
    <x v="17"/>
    <x v="823"/>
    <x v="552"/>
    <x v="4780"/>
  </r>
  <r>
    <x v="0"/>
    <x v="0"/>
    <x v="0"/>
    <x v="193"/>
    <x v="3"/>
    <x v="65"/>
    <x v="3383"/>
    <x v="4781"/>
  </r>
  <r>
    <x v="1"/>
    <x v="0"/>
    <x v="2"/>
    <x v="179"/>
    <x v="7"/>
    <x v="845"/>
    <x v="3384"/>
    <x v="4782"/>
  </r>
  <r>
    <x v="1"/>
    <x v="0"/>
    <x v="2"/>
    <x v="5"/>
    <x v="7"/>
    <x v="221"/>
    <x v="234"/>
    <x v="4783"/>
  </r>
  <r>
    <x v="3"/>
    <x v="0"/>
    <x v="2"/>
    <x v="240"/>
    <x v="10"/>
    <x v="898"/>
    <x v="3385"/>
    <x v="4784"/>
  </r>
  <r>
    <x v="0"/>
    <x v="0"/>
    <x v="2"/>
    <x v="157"/>
    <x v="13"/>
    <x v="191"/>
    <x v="190"/>
    <x v="4785"/>
  </r>
  <r>
    <x v="0"/>
    <x v="0"/>
    <x v="2"/>
    <x v="109"/>
    <x v="8"/>
    <x v="114"/>
    <x v="374"/>
    <x v="4786"/>
  </r>
  <r>
    <x v="1"/>
    <x v="0"/>
    <x v="2"/>
    <x v="249"/>
    <x v="22"/>
    <x v="459"/>
    <x v="3299"/>
    <x v="4787"/>
  </r>
  <r>
    <x v="1"/>
    <x v="0"/>
    <x v="2"/>
    <x v="175"/>
    <x v="4"/>
    <x v="401"/>
    <x v="3386"/>
    <x v="4788"/>
  </r>
  <r>
    <x v="0"/>
    <x v="0"/>
    <x v="2"/>
    <x v="61"/>
    <x v="14"/>
    <x v="536"/>
    <x v="3387"/>
    <x v="4789"/>
  </r>
  <r>
    <x v="0"/>
    <x v="0"/>
    <x v="0"/>
    <x v="208"/>
    <x v="25"/>
    <x v="738"/>
    <x v="3388"/>
    <x v="4790"/>
  </r>
  <r>
    <x v="1"/>
    <x v="0"/>
    <x v="2"/>
    <x v="147"/>
    <x v="11"/>
    <x v="632"/>
    <x v="3389"/>
    <x v="4791"/>
  </r>
  <r>
    <x v="1"/>
    <x v="0"/>
    <x v="1"/>
    <x v="212"/>
    <x v="3"/>
    <x v="122"/>
    <x v="3390"/>
    <x v="4792"/>
  </r>
  <r>
    <x v="0"/>
    <x v="0"/>
    <x v="2"/>
    <x v="15"/>
    <x v="5"/>
    <x v="74"/>
    <x v="3391"/>
    <x v="4793"/>
  </r>
  <r>
    <x v="2"/>
    <x v="0"/>
    <x v="2"/>
    <x v="108"/>
    <x v="16"/>
    <x v="411"/>
    <x v="3392"/>
    <x v="4794"/>
  </r>
  <r>
    <x v="1"/>
    <x v="0"/>
    <x v="2"/>
    <x v="231"/>
    <x v="2"/>
    <x v="2"/>
    <x v="3393"/>
    <x v="4795"/>
  </r>
  <r>
    <x v="1"/>
    <x v="0"/>
    <x v="1"/>
    <x v="247"/>
    <x v="16"/>
    <x v="621"/>
    <x v="3394"/>
    <x v="4796"/>
  </r>
  <r>
    <x v="1"/>
    <x v="0"/>
    <x v="1"/>
    <x v="19"/>
    <x v="2"/>
    <x v="2"/>
    <x v="1513"/>
    <x v="4797"/>
  </r>
  <r>
    <x v="3"/>
    <x v="0"/>
    <x v="2"/>
    <x v="10"/>
    <x v="1"/>
    <x v="15"/>
    <x v="1916"/>
    <x v="4798"/>
  </r>
  <r>
    <x v="2"/>
    <x v="0"/>
    <x v="2"/>
    <x v="107"/>
    <x v="7"/>
    <x v="561"/>
    <x v="3395"/>
    <x v="4799"/>
  </r>
  <r>
    <x v="0"/>
    <x v="0"/>
    <x v="0"/>
    <x v="158"/>
    <x v="14"/>
    <x v="609"/>
    <x v="1703"/>
    <x v="4800"/>
  </r>
  <r>
    <x v="0"/>
    <x v="0"/>
    <x v="2"/>
    <x v="9"/>
    <x v="13"/>
    <x v="600"/>
    <x v="2017"/>
    <x v="4801"/>
  </r>
  <r>
    <x v="2"/>
    <x v="0"/>
    <x v="2"/>
    <x v="206"/>
    <x v="1"/>
    <x v="35"/>
    <x v="3396"/>
    <x v="4802"/>
  </r>
  <r>
    <x v="0"/>
    <x v="0"/>
    <x v="0"/>
    <x v="181"/>
    <x v="5"/>
    <x v="375"/>
    <x v="3397"/>
    <x v="4803"/>
  </r>
  <r>
    <x v="1"/>
    <x v="0"/>
    <x v="2"/>
    <x v="17"/>
    <x v="3"/>
    <x v="769"/>
    <x v="3398"/>
    <x v="4804"/>
  </r>
  <r>
    <x v="3"/>
    <x v="0"/>
    <x v="2"/>
    <x v="71"/>
    <x v="3"/>
    <x v="410"/>
    <x v="435"/>
    <x v="4805"/>
  </r>
  <r>
    <x v="1"/>
    <x v="0"/>
    <x v="2"/>
    <x v="45"/>
    <x v="1"/>
    <x v="682"/>
    <x v="3399"/>
    <x v="4806"/>
  </r>
  <r>
    <x v="2"/>
    <x v="0"/>
    <x v="2"/>
    <x v="215"/>
    <x v="6"/>
    <x v="750"/>
    <x v="3400"/>
    <x v="4807"/>
  </r>
  <r>
    <x v="1"/>
    <x v="0"/>
    <x v="2"/>
    <x v="27"/>
    <x v="17"/>
    <x v="252"/>
    <x v="3401"/>
    <x v="4808"/>
  </r>
  <r>
    <x v="1"/>
    <x v="0"/>
    <x v="2"/>
    <x v="167"/>
    <x v="16"/>
    <x v="114"/>
    <x v="99"/>
    <x v="4809"/>
  </r>
  <r>
    <x v="3"/>
    <x v="0"/>
    <x v="2"/>
    <x v="59"/>
    <x v="22"/>
    <x v="484"/>
    <x v="3402"/>
    <x v="4810"/>
  </r>
  <r>
    <x v="3"/>
    <x v="0"/>
    <x v="2"/>
    <x v="108"/>
    <x v="2"/>
    <x v="2"/>
    <x v="3403"/>
    <x v="4811"/>
  </r>
  <r>
    <x v="0"/>
    <x v="0"/>
    <x v="0"/>
    <x v="175"/>
    <x v="16"/>
    <x v="540"/>
    <x v="3404"/>
    <x v="4812"/>
  </r>
  <r>
    <x v="1"/>
    <x v="0"/>
    <x v="1"/>
    <x v="205"/>
    <x v="7"/>
    <x v="696"/>
    <x v="3405"/>
    <x v="4813"/>
  </r>
  <r>
    <x v="2"/>
    <x v="0"/>
    <x v="2"/>
    <x v="248"/>
    <x v="7"/>
    <x v="564"/>
    <x v="912"/>
    <x v="4814"/>
  </r>
  <r>
    <x v="1"/>
    <x v="0"/>
    <x v="1"/>
    <x v="66"/>
    <x v="6"/>
    <x v="224"/>
    <x v="3406"/>
    <x v="4815"/>
  </r>
  <r>
    <x v="1"/>
    <x v="0"/>
    <x v="2"/>
    <x v="12"/>
    <x v="22"/>
    <x v="120"/>
    <x v="1952"/>
    <x v="4816"/>
  </r>
  <r>
    <x v="0"/>
    <x v="0"/>
    <x v="0"/>
    <x v="46"/>
    <x v="28"/>
    <x v="899"/>
    <x v="3407"/>
    <x v="4817"/>
  </r>
  <r>
    <x v="1"/>
    <x v="0"/>
    <x v="2"/>
    <x v="185"/>
    <x v="1"/>
    <x v="314"/>
    <x v="3408"/>
    <x v="4818"/>
  </r>
  <r>
    <x v="3"/>
    <x v="0"/>
    <x v="2"/>
    <x v="25"/>
    <x v="5"/>
    <x v="381"/>
    <x v="3115"/>
    <x v="4819"/>
  </r>
  <r>
    <x v="2"/>
    <x v="0"/>
    <x v="2"/>
    <x v="100"/>
    <x v="2"/>
    <x v="2"/>
    <x v="996"/>
    <x v="4820"/>
  </r>
  <r>
    <x v="0"/>
    <x v="0"/>
    <x v="0"/>
    <x v="78"/>
    <x v="17"/>
    <x v="541"/>
    <x v="3409"/>
    <x v="4821"/>
  </r>
  <r>
    <x v="0"/>
    <x v="0"/>
    <x v="2"/>
    <x v="80"/>
    <x v="17"/>
    <x v="271"/>
    <x v="2748"/>
    <x v="4822"/>
  </r>
  <r>
    <x v="2"/>
    <x v="0"/>
    <x v="2"/>
    <x v="11"/>
    <x v="8"/>
    <x v="674"/>
    <x v="3410"/>
    <x v="4823"/>
  </r>
  <r>
    <x v="2"/>
    <x v="0"/>
    <x v="2"/>
    <x v="168"/>
    <x v="9"/>
    <x v="366"/>
    <x v="1495"/>
    <x v="4824"/>
  </r>
  <r>
    <x v="3"/>
    <x v="0"/>
    <x v="2"/>
    <x v="226"/>
    <x v="5"/>
    <x v="448"/>
    <x v="3411"/>
    <x v="4825"/>
  </r>
  <r>
    <x v="0"/>
    <x v="0"/>
    <x v="0"/>
    <x v="61"/>
    <x v="0"/>
    <x v="170"/>
    <x v="1807"/>
    <x v="4826"/>
  </r>
  <r>
    <x v="2"/>
    <x v="0"/>
    <x v="2"/>
    <x v="171"/>
    <x v="9"/>
    <x v="157"/>
    <x v="304"/>
    <x v="4827"/>
  </r>
  <r>
    <x v="2"/>
    <x v="0"/>
    <x v="2"/>
    <x v="132"/>
    <x v="10"/>
    <x v="395"/>
    <x v="2071"/>
    <x v="4828"/>
  </r>
  <r>
    <x v="2"/>
    <x v="0"/>
    <x v="2"/>
    <x v="69"/>
    <x v="20"/>
    <x v="614"/>
    <x v="3412"/>
    <x v="4829"/>
  </r>
  <r>
    <x v="1"/>
    <x v="0"/>
    <x v="2"/>
    <x v="216"/>
    <x v="11"/>
    <x v="665"/>
    <x v="3040"/>
    <x v="4830"/>
  </r>
  <r>
    <x v="2"/>
    <x v="0"/>
    <x v="2"/>
    <x v="234"/>
    <x v="10"/>
    <x v="415"/>
    <x v="582"/>
    <x v="4831"/>
  </r>
  <r>
    <x v="0"/>
    <x v="0"/>
    <x v="2"/>
    <x v="21"/>
    <x v="1"/>
    <x v="342"/>
    <x v="3413"/>
    <x v="4832"/>
  </r>
  <r>
    <x v="0"/>
    <x v="0"/>
    <x v="0"/>
    <x v="11"/>
    <x v="9"/>
    <x v="318"/>
    <x v="3414"/>
    <x v="4833"/>
  </r>
  <r>
    <x v="3"/>
    <x v="0"/>
    <x v="2"/>
    <x v="32"/>
    <x v="13"/>
    <x v="30"/>
    <x v="3415"/>
    <x v="4834"/>
  </r>
  <r>
    <x v="1"/>
    <x v="0"/>
    <x v="1"/>
    <x v="105"/>
    <x v="5"/>
    <x v="238"/>
    <x v="3416"/>
    <x v="4835"/>
  </r>
  <r>
    <x v="1"/>
    <x v="0"/>
    <x v="2"/>
    <x v="142"/>
    <x v="18"/>
    <x v="351"/>
    <x v="76"/>
    <x v="4836"/>
  </r>
  <r>
    <x v="0"/>
    <x v="0"/>
    <x v="0"/>
    <x v="99"/>
    <x v="4"/>
    <x v="900"/>
    <x v="1112"/>
    <x v="4837"/>
  </r>
  <r>
    <x v="1"/>
    <x v="0"/>
    <x v="1"/>
    <x v="37"/>
    <x v="1"/>
    <x v="679"/>
    <x v="2864"/>
    <x v="4838"/>
  </r>
  <r>
    <x v="1"/>
    <x v="0"/>
    <x v="2"/>
    <x v="128"/>
    <x v="13"/>
    <x v="322"/>
    <x v="1011"/>
    <x v="4839"/>
  </r>
  <r>
    <x v="1"/>
    <x v="0"/>
    <x v="1"/>
    <x v="45"/>
    <x v="0"/>
    <x v="15"/>
    <x v="2106"/>
    <x v="4840"/>
  </r>
  <r>
    <x v="2"/>
    <x v="0"/>
    <x v="2"/>
    <x v="113"/>
    <x v="6"/>
    <x v="149"/>
    <x v="3417"/>
    <x v="4841"/>
  </r>
  <r>
    <x v="0"/>
    <x v="0"/>
    <x v="2"/>
    <x v="53"/>
    <x v="12"/>
    <x v="26"/>
    <x v="1293"/>
    <x v="4842"/>
  </r>
  <r>
    <x v="1"/>
    <x v="0"/>
    <x v="1"/>
    <x v="110"/>
    <x v="7"/>
    <x v="340"/>
    <x v="1507"/>
    <x v="4843"/>
  </r>
  <r>
    <x v="0"/>
    <x v="0"/>
    <x v="0"/>
    <x v="206"/>
    <x v="11"/>
    <x v="9"/>
    <x v="3221"/>
    <x v="4844"/>
  </r>
  <r>
    <x v="2"/>
    <x v="0"/>
    <x v="2"/>
    <x v="116"/>
    <x v="25"/>
    <x v="245"/>
    <x v="3418"/>
    <x v="4845"/>
  </r>
  <r>
    <x v="2"/>
    <x v="0"/>
    <x v="2"/>
    <x v="127"/>
    <x v="5"/>
    <x v="651"/>
    <x v="3419"/>
    <x v="4846"/>
  </r>
  <r>
    <x v="1"/>
    <x v="0"/>
    <x v="2"/>
    <x v="219"/>
    <x v="17"/>
    <x v="407"/>
    <x v="2551"/>
    <x v="4847"/>
  </r>
  <r>
    <x v="1"/>
    <x v="0"/>
    <x v="2"/>
    <x v="207"/>
    <x v="12"/>
    <x v="405"/>
    <x v="3420"/>
    <x v="4848"/>
  </r>
  <r>
    <x v="1"/>
    <x v="0"/>
    <x v="1"/>
    <x v="97"/>
    <x v="2"/>
    <x v="2"/>
    <x v="240"/>
    <x v="4849"/>
  </r>
  <r>
    <x v="1"/>
    <x v="0"/>
    <x v="1"/>
    <x v="36"/>
    <x v="13"/>
    <x v="319"/>
    <x v="2466"/>
    <x v="4850"/>
  </r>
  <r>
    <x v="0"/>
    <x v="0"/>
    <x v="0"/>
    <x v="129"/>
    <x v="0"/>
    <x v="562"/>
    <x v="3421"/>
    <x v="4851"/>
  </r>
  <r>
    <x v="3"/>
    <x v="0"/>
    <x v="2"/>
    <x v="20"/>
    <x v="0"/>
    <x v="19"/>
    <x v="1143"/>
    <x v="4852"/>
  </r>
  <r>
    <x v="0"/>
    <x v="0"/>
    <x v="0"/>
    <x v="33"/>
    <x v="17"/>
    <x v="413"/>
    <x v="544"/>
    <x v="4853"/>
  </r>
  <r>
    <x v="0"/>
    <x v="0"/>
    <x v="0"/>
    <x v="161"/>
    <x v="4"/>
    <x v="580"/>
    <x v="3004"/>
    <x v="4854"/>
  </r>
  <r>
    <x v="2"/>
    <x v="0"/>
    <x v="2"/>
    <x v="216"/>
    <x v="8"/>
    <x v="42"/>
    <x v="1180"/>
    <x v="4855"/>
  </r>
  <r>
    <x v="3"/>
    <x v="0"/>
    <x v="2"/>
    <x v="162"/>
    <x v="15"/>
    <x v="514"/>
    <x v="3422"/>
    <x v="4856"/>
  </r>
  <r>
    <x v="2"/>
    <x v="0"/>
    <x v="2"/>
    <x v="170"/>
    <x v="6"/>
    <x v="82"/>
    <x v="383"/>
    <x v="4857"/>
  </r>
  <r>
    <x v="0"/>
    <x v="0"/>
    <x v="2"/>
    <x v="36"/>
    <x v="21"/>
    <x v="55"/>
    <x v="3188"/>
    <x v="4858"/>
  </r>
  <r>
    <x v="0"/>
    <x v="0"/>
    <x v="0"/>
    <x v="6"/>
    <x v="2"/>
    <x v="2"/>
    <x v="3423"/>
    <x v="4859"/>
  </r>
  <r>
    <x v="1"/>
    <x v="0"/>
    <x v="1"/>
    <x v="201"/>
    <x v="8"/>
    <x v="502"/>
    <x v="3424"/>
    <x v="4860"/>
  </r>
  <r>
    <x v="0"/>
    <x v="0"/>
    <x v="0"/>
    <x v="10"/>
    <x v="2"/>
    <x v="2"/>
    <x v="1291"/>
    <x v="4861"/>
  </r>
  <r>
    <x v="1"/>
    <x v="0"/>
    <x v="2"/>
    <x v="118"/>
    <x v="12"/>
    <x v="126"/>
    <x v="3425"/>
    <x v="4862"/>
  </r>
  <r>
    <x v="1"/>
    <x v="0"/>
    <x v="2"/>
    <x v="127"/>
    <x v="9"/>
    <x v="294"/>
    <x v="3426"/>
    <x v="4863"/>
  </r>
  <r>
    <x v="2"/>
    <x v="0"/>
    <x v="2"/>
    <x v="96"/>
    <x v="12"/>
    <x v="763"/>
    <x v="2098"/>
    <x v="4864"/>
  </r>
  <r>
    <x v="1"/>
    <x v="0"/>
    <x v="1"/>
    <x v="149"/>
    <x v="13"/>
    <x v="549"/>
    <x v="1066"/>
    <x v="4865"/>
  </r>
  <r>
    <x v="0"/>
    <x v="0"/>
    <x v="0"/>
    <x v="204"/>
    <x v="22"/>
    <x v="361"/>
    <x v="3427"/>
    <x v="4866"/>
  </r>
  <r>
    <x v="1"/>
    <x v="0"/>
    <x v="1"/>
    <x v="107"/>
    <x v="1"/>
    <x v="13"/>
    <x v="3428"/>
    <x v="4867"/>
  </r>
  <r>
    <x v="1"/>
    <x v="0"/>
    <x v="1"/>
    <x v="24"/>
    <x v="16"/>
    <x v="658"/>
    <x v="3429"/>
    <x v="4868"/>
  </r>
  <r>
    <x v="0"/>
    <x v="0"/>
    <x v="2"/>
    <x v="220"/>
    <x v="11"/>
    <x v="359"/>
    <x v="2853"/>
    <x v="3749"/>
  </r>
  <r>
    <x v="0"/>
    <x v="0"/>
    <x v="2"/>
    <x v="44"/>
    <x v="6"/>
    <x v="694"/>
    <x v="3430"/>
    <x v="4869"/>
  </r>
  <r>
    <x v="1"/>
    <x v="0"/>
    <x v="2"/>
    <x v="97"/>
    <x v="12"/>
    <x v="564"/>
    <x v="3431"/>
    <x v="4870"/>
  </r>
  <r>
    <x v="2"/>
    <x v="0"/>
    <x v="2"/>
    <x v="67"/>
    <x v="2"/>
    <x v="2"/>
    <x v="3027"/>
    <x v="4871"/>
  </r>
  <r>
    <x v="0"/>
    <x v="0"/>
    <x v="0"/>
    <x v="98"/>
    <x v="12"/>
    <x v="232"/>
    <x v="836"/>
    <x v="4872"/>
  </r>
  <r>
    <x v="0"/>
    <x v="0"/>
    <x v="0"/>
    <x v="167"/>
    <x v="3"/>
    <x v="142"/>
    <x v="2978"/>
    <x v="4873"/>
  </r>
  <r>
    <x v="2"/>
    <x v="0"/>
    <x v="2"/>
    <x v="212"/>
    <x v="2"/>
    <x v="2"/>
    <x v="3065"/>
    <x v="4157"/>
  </r>
  <r>
    <x v="3"/>
    <x v="0"/>
    <x v="2"/>
    <x v="26"/>
    <x v="13"/>
    <x v="38"/>
    <x v="2831"/>
    <x v="4874"/>
  </r>
  <r>
    <x v="1"/>
    <x v="0"/>
    <x v="1"/>
    <x v="221"/>
    <x v="4"/>
    <x v="471"/>
    <x v="3432"/>
    <x v="4875"/>
  </r>
  <r>
    <x v="1"/>
    <x v="0"/>
    <x v="2"/>
    <x v="208"/>
    <x v="5"/>
    <x v="363"/>
    <x v="3433"/>
    <x v="4876"/>
  </r>
  <r>
    <x v="3"/>
    <x v="0"/>
    <x v="2"/>
    <x v="247"/>
    <x v="16"/>
    <x v="621"/>
    <x v="3434"/>
    <x v="4877"/>
  </r>
  <r>
    <x v="0"/>
    <x v="0"/>
    <x v="0"/>
    <x v="204"/>
    <x v="17"/>
    <x v="364"/>
    <x v="3124"/>
    <x v="4878"/>
  </r>
  <r>
    <x v="0"/>
    <x v="0"/>
    <x v="0"/>
    <x v="248"/>
    <x v="6"/>
    <x v="764"/>
    <x v="3435"/>
    <x v="4879"/>
  </r>
  <r>
    <x v="2"/>
    <x v="0"/>
    <x v="2"/>
    <x v="1"/>
    <x v="12"/>
    <x v="645"/>
    <x v="1377"/>
    <x v="4880"/>
  </r>
  <r>
    <x v="0"/>
    <x v="0"/>
    <x v="0"/>
    <x v="93"/>
    <x v="11"/>
    <x v="626"/>
    <x v="2621"/>
    <x v="4881"/>
  </r>
  <r>
    <x v="3"/>
    <x v="0"/>
    <x v="2"/>
    <x v="210"/>
    <x v="6"/>
    <x v="287"/>
    <x v="3331"/>
    <x v="4882"/>
  </r>
  <r>
    <x v="0"/>
    <x v="0"/>
    <x v="2"/>
    <x v="127"/>
    <x v="15"/>
    <x v="894"/>
    <x v="3436"/>
    <x v="4883"/>
  </r>
  <r>
    <x v="2"/>
    <x v="0"/>
    <x v="2"/>
    <x v="90"/>
    <x v="0"/>
    <x v="68"/>
    <x v="3437"/>
    <x v="4884"/>
  </r>
  <r>
    <x v="0"/>
    <x v="0"/>
    <x v="0"/>
    <x v="167"/>
    <x v="7"/>
    <x v="287"/>
    <x v="1504"/>
    <x v="4885"/>
  </r>
  <r>
    <x v="0"/>
    <x v="0"/>
    <x v="2"/>
    <x v="89"/>
    <x v="1"/>
    <x v="503"/>
    <x v="3438"/>
    <x v="4886"/>
  </r>
  <r>
    <x v="0"/>
    <x v="0"/>
    <x v="0"/>
    <x v="61"/>
    <x v="6"/>
    <x v="827"/>
    <x v="3439"/>
    <x v="4887"/>
  </r>
  <r>
    <x v="2"/>
    <x v="0"/>
    <x v="2"/>
    <x v="232"/>
    <x v="16"/>
    <x v="131"/>
    <x v="3440"/>
    <x v="4888"/>
  </r>
  <r>
    <x v="2"/>
    <x v="0"/>
    <x v="2"/>
    <x v="134"/>
    <x v="15"/>
    <x v="880"/>
    <x v="3441"/>
    <x v="4889"/>
  </r>
  <r>
    <x v="1"/>
    <x v="0"/>
    <x v="1"/>
    <x v="242"/>
    <x v="25"/>
    <x v="610"/>
    <x v="3442"/>
    <x v="4890"/>
  </r>
  <r>
    <x v="1"/>
    <x v="0"/>
    <x v="2"/>
    <x v="231"/>
    <x v="13"/>
    <x v="307"/>
    <x v="1822"/>
    <x v="4891"/>
  </r>
  <r>
    <x v="1"/>
    <x v="0"/>
    <x v="1"/>
    <x v="88"/>
    <x v="20"/>
    <x v="716"/>
    <x v="3443"/>
    <x v="4892"/>
  </r>
  <r>
    <x v="0"/>
    <x v="0"/>
    <x v="0"/>
    <x v="121"/>
    <x v="12"/>
    <x v="313"/>
    <x v="3444"/>
    <x v="4893"/>
  </r>
  <r>
    <x v="2"/>
    <x v="0"/>
    <x v="2"/>
    <x v="120"/>
    <x v="1"/>
    <x v="441"/>
    <x v="1801"/>
    <x v="4894"/>
  </r>
  <r>
    <x v="3"/>
    <x v="0"/>
    <x v="2"/>
    <x v="137"/>
    <x v="1"/>
    <x v="174"/>
    <x v="3445"/>
    <x v="4895"/>
  </r>
  <r>
    <x v="0"/>
    <x v="0"/>
    <x v="0"/>
    <x v="74"/>
    <x v="17"/>
    <x v="74"/>
    <x v="3446"/>
    <x v="4896"/>
  </r>
  <r>
    <x v="1"/>
    <x v="0"/>
    <x v="2"/>
    <x v="138"/>
    <x v="11"/>
    <x v="530"/>
    <x v="3447"/>
    <x v="4897"/>
  </r>
  <r>
    <x v="2"/>
    <x v="0"/>
    <x v="2"/>
    <x v="206"/>
    <x v="5"/>
    <x v="101"/>
    <x v="2070"/>
    <x v="4898"/>
  </r>
  <r>
    <x v="1"/>
    <x v="0"/>
    <x v="2"/>
    <x v="34"/>
    <x v="0"/>
    <x v="634"/>
    <x v="3448"/>
    <x v="4899"/>
  </r>
  <r>
    <x v="0"/>
    <x v="0"/>
    <x v="2"/>
    <x v="142"/>
    <x v="8"/>
    <x v="840"/>
    <x v="3449"/>
    <x v="4900"/>
  </r>
  <r>
    <x v="1"/>
    <x v="0"/>
    <x v="2"/>
    <x v="186"/>
    <x v="11"/>
    <x v="121"/>
    <x v="759"/>
    <x v="4901"/>
  </r>
  <r>
    <x v="0"/>
    <x v="0"/>
    <x v="2"/>
    <x v="128"/>
    <x v="13"/>
    <x v="322"/>
    <x v="3349"/>
    <x v="4902"/>
  </r>
  <r>
    <x v="3"/>
    <x v="0"/>
    <x v="2"/>
    <x v="142"/>
    <x v="0"/>
    <x v="901"/>
    <x v="3450"/>
    <x v="4903"/>
  </r>
  <r>
    <x v="3"/>
    <x v="0"/>
    <x v="2"/>
    <x v="151"/>
    <x v="14"/>
    <x v="639"/>
    <x v="3451"/>
    <x v="4904"/>
  </r>
  <r>
    <x v="0"/>
    <x v="0"/>
    <x v="0"/>
    <x v="19"/>
    <x v="17"/>
    <x v="238"/>
    <x v="3110"/>
    <x v="4905"/>
  </r>
  <r>
    <x v="0"/>
    <x v="0"/>
    <x v="2"/>
    <x v="59"/>
    <x v="8"/>
    <x v="401"/>
    <x v="3147"/>
    <x v="4906"/>
  </r>
  <r>
    <x v="0"/>
    <x v="0"/>
    <x v="0"/>
    <x v="76"/>
    <x v="7"/>
    <x v="888"/>
    <x v="2635"/>
    <x v="4907"/>
  </r>
  <r>
    <x v="1"/>
    <x v="0"/>
    <x v="2"/>
    <x v="133"/>
    <x v="0"/>
    <x v="52"/>
    <x v="2501"/>
    <x v="4908"/>
  </r>
  <r>
    <x v="1"/>
    <x v="0"/>
    <x v="2"/>
    <x v="140"/>
    <x v="22"/>
    <x v="280"/>
    <x v="951"/>
    <x v="4909"/>
  </r>
  <r>
    <x v="1"/>
    <x v="0"/>
    <x v="2"/>
    <x v="108"/>
    <x v="8"/>
    <x v="639"/>
    <x v="3452"/>
    <x v="4910"/>
  </r>
  <r>
    <x v="1"/>
    <x v="0"/>
    <x v="2"/>
    <x v="84"/>
    <x v="10"/>
    <x v="377"/>
    <x v="3453"/>
    <x v="4911"/>
  </r>
  <r>
    <x v="2"/>
    <x v="0"/>
    <x v="2"/>
    <x v="39"/>
    <x v="13"/>
    <x v="356"/>
    <x v="376"/>
    <x v="4912"/>
  </r>
  <r>
    <x v="2"/>
    <x v="0"/>
    <x v="2"/>
    <x v="237"/>
    <x v="15"/>
    <x v="114"/>
    <x v="1726"/>
    <x v="4913"/>
  </r>
  <r>
    <x v="0"/>
    <x v="0"/>
    <x v="0"/>
    <x v="110"/>
    <x v="10"/>
    <x v="743"/>
    <x v="81"/>
    <x v="4914"/>
  </r>
  <r>
    <x v="1"/>
    <x v="0"/>
    <x v="2"/>
    <x v="68"/>
    <x v="18"/>
    <x v="510"/>
    <x v="142"/>
    <x v="4915"/>
  </r>
  <r>
    <x v="0"/>
    <x v="0"/>
    <x v="0"/>
    <x v="220"/>
    <x v="14"/>
    <x v="383"/>
    <x v="1239"/>
    <x v="4916"/>
  </r>
  <r>
    <x v="2"/>
    <x v="0"/>
    <x v="2"/>
    <x v="243"/>
    <x v="3"/>
    <x v="495"/>
    <x v="3454"/>
    <x v="4917"/>
  </r>
  <r>
    <x v="2"/>
    <x v="0"/>
    <x v="2"/>
    <x v="250"/>
    <x v="6"/>
    <x v="61"/>
    <x v="2737"/>
    <x v="4918"/>
  </r>
  <r>
    <x v="3"/>
    <x v="0"/>
    <x v="2"/>
    <x v="146"/>
    <x v="15"/>
    <x v="886"/>
    <x v="1036"/>
    <x v="4919"/>
  </r>
  <r>
    <x v="1"/>
    <x v="0"/>
    <x v="1"/>
    <x v="170"/>
    <x v="6"/>
    <x v="82"/>
    <x v="3455"/>
    <x v="4920"/>
  </r>
  <r>
    <x v="1"/>
    <x v="0"/>
    <x v="1"/>
    <x v="29"/>
    <x v="6"/>
    <x v="771"/>
    <x v="3456"/>
    <x v="4921"/>
  </r>
  <r>
    <x v="1"/>
    <x v="0"/>
    <x v="2"/>
    <x v="202"/>
    <x v="9"/>
    <x v="47"/>
    <x v="3457"/>
    <x v="4922"/>
  </r>
  <r>
    <x v="0"/>
    <x v="0"/>
    <x v="2"/>
    <x v="57"/>
    <x v="8"/>
    <x v="744"/>
    <x v="3458"/>
    <x v="4923"/>
  </r>
  <r>
    <x v="3"/>
    <x v="0"/>
    <x v="2"/>
    <x v="196"/>
    <x v="1"/>
    <x v="597"/>
    <x v="2300"/>
    <x v="4924"/>
  </r>
  <r>
    <x v="1"/>
    <x v="0"/>
    <x v="1"/>
    <x v="246"/>
    <x v="14"/>
    <x v="81"/>
    <x v="590"/>
    <x v="4925"/>
  </r>
  <r>
    <x v="0"/>
    <x v="0"/>
    <x v="2"/>
    <x v="40"/>
    <x v="13"/>
    <x v="530"/>
    <x v="1136"/>
    <x v="4926"/>
  </r>
  <r>
    <x v="1"/>
    <x v="0"/>
    <x v="1"/>
    <x v="237"/>
    <x v="7"/>
    <x v="629"/>
    <x v="1904"/>
    <x v="4927"/>
  </r>
  <r>
    <x v="1"/>
    <x v="0"/>
    <x v="1"/>
    <x v="100"/>
    <x v="6"/>
    <x v="599"/>
    <x v="2910"/>
    <x v="4928"/>
  </r>
  <r>
    <x v="1"/>
    <x v="0"/>
    <x v="1"/>
    <x v="208"/>
    <x v="3"/>
    <x v="124"/>
    <x v="3459"/>
    <x v="4929"/>
  </r>
  <r>
    <x v="3"/>
    <x v="0"/>
    <x v="2"/>
    <x v="12"/>
    <x v="25"/>
    <x v="673"/>
    <x v="3460"/>
    <x v="4930"/>
  </r>
  <r>
    <x v="0"/>
    <x v="0"/>
    <x v="2"/>
    <x v="83"/>
    <x v="1"/>
    <x v="608"/>
    <x v="3461"/>
    <x v="4931"/>
  </r>
  <r>
    <x v="3"/>
    <x v="0"/>
    <x v="2"/>
    <x v="101"/>
    <x v="22"/>
    <x v="758"/>
    <x v="1135"/>
    <x v="4932"/>
  </r>
  <r>
    <x v="3"/>
    <x v="0"/>
    <x v="2"/>
    <x v="16"/>
    <x v="8"/>
    <x v="295"/>
    <x v="1604"/>
    <x v="4933"/>
  </r>
  <r>
    <x v="3"/>
    <x v="0"/>
    <x v="2"/>
    <x v="186"/>
    <x v="6"/>
    <x v="499"/>
    <x v="3462"/>
    <x v="4934"/>
  </r>
  <r>
    <x v="2"/>
    <x v="0"/>
    <x v="2"/>
    <x v="72"/>
    <x v="12"/>
    <x v="880"/>
    <x v="3463"/>
    <x v="4935"/>
  </r>
  <r>
    <x v="1"/>
    <x v="0"/>
    <x v="1"/>
    <x v="28"/>
    <x v="16"/>
    <x v="247"/>
    <x v="3464"/>
    <x v="4936"/>
  </r>
  <r>
    <x v="0"/>
    <x v="0"/>
    <x v="2"/>
    <x v="170"/>
    <x v="1"/>
    <x v="687"/>
    <x v="1000"/>
    <x v="4937"/>
  </r>
  <r>
    <x v="0"/>
    <x v="0"/>
    <x v="0"/>
    <x v="151"/>
    <x v="1"/>
    <x v="332"/>
    <x v="1736"/>
    <x v="4938"/>
  </r>
  <r>
    <x v="3"/>
    <x v="0"/>
    <x v="2"/>
    <x v="85"/>
    <x v="25"/>
    <x v="101"/>
    <x v="186"/>
    <x v="4939"/>
  </r>
  <r>
    <x v="2"/>
    <x v="0"/>
    <x v="2"/>
    <x v="240"/>
    <x v="22"/>
    <x v="52"/>
    <x v="3357"/>
    <x v="4940"/>
  </r>
  <r>
    <x v="0"/>
    <x v="0"/>
    <x v="2"/>
    <x v="162"/>
    <x v="13"/>
    <x v="767"/>
    <x v="2006"/>
    <x v="4941"/>
  </r>
  <r>
    <x v="1"/>
    <x v="0"/>
    <x v="1"/>
    <x v="23"/>
    <x v="24"/>
    <x v="725"/>
    <x v="3465"/>
    <x v="4942"/>
  </r>
  <r>
    <x v="1"/>
    <x v="0"/>
    <x v="1"/>
    <x v="77"/>
    <x v="10"/>
    <x v="51"/>
    <x v="178"/>
    <x v="4943"/>
  </r>
  <r>
    <x v="3"/>
    <x v="0"/>
    <x v="2"/>
    <x v="226"/>
    <x v="7"/>
    <x v="181"/>
    <x v="3466"/>
    <x v="4944"/>
  </r>
  <r>
    <x v="2"/>
    <x v="0"/>
    <x v="2"/>
    <x v="110"/>
    <x v="6"/>
    <x v="124"/>
    <x v="3467"/>
    <x v="4945"/>
  </r>
  <r>
    <x v="1"/>
    <x v="0"/>
    <x v="2"/>
    <x v="203"/>
    <x v="11"/>
    <x v="325"/>
    <x v="3468"/>
    <x v="4946"/>
  </r>
  <r>
    <x v="2"/>
    <x v="0"/>
    <x v="2"/>
    <x v="103"/>
    <x v="22"/>
    <x v="642"/>
    <x v="2285"/>
    <x v="4947"/>
  </r>
  <r>
    <x v="0"/>
    <x v="0"/>
    <x v="2"/>
    <x v="48"/>
    <x v="25"/>
    <x v="114"/>
    <x v="3469"/>
    <x v="4948"/>
  </r>
  <r>
    <x v="1"/>
    <x v="0"/>
    <x v="2"/>
    <x v="43"/>
    <x v="0"/>
    <x v="641"/>
    <x v="1345"/>
    <x v="4949"/>
  </r>
  <r>
    <x v="0"/>
    <x v="0"/>
    <x v="0"/>
    <x v="46"/>
    <x v="16"/>
    <x v="35"/>
    <x v="2478"/>
    <x v="4950"/>
  </r>
  <r>
    <x v="0"/>
    <x v="0"/>
    <x v="0"/>
    <x v="22"/>
    <x v="1"/>
    <x v="602"/>
    <x v="3470"/>
    <x v="4951"/>
  </r>
  <r>
    <x v="0"/>
    <x v="0"/>
    <x v="2"/>
    <x v="47"/>
    <x v="9"/>
    <x v="304"/>
    <x v="3471"/>
    <x v="4952"/>
  </r>
  <r>
    <x v="2"/>
    <x v="0"/>
    <x v="2"/>
    <x v="12"/>
    <x v="7"/>
    <x v="711"/>
    <x v="1756"/>
    <x v="4953"/>
  </r>
  <r>
    <x v="3"/>
    <x v="0"/>
    <x v="2"/>
    <x v="219"/>
    <x v="14"/>
    <x v="26"/>
    <x v="3472"/>
    <x v="4954"/>
  </r>
  <r>
    <x v="2"/>
    <x v="0"/>
    <x v="2"/>
    <x v="172"/>
    <x v="9"/>
    <x v="186"/>
    <x v="864"/>
    <x v="4955"/>
  </r>
  <r>
    <x v="1"/>
    <x v="0"/>
    <x v="1"/>
    <x v="56"/>
    <x v="1"/>
    <x v="30"/>
    <x v="3473"/>
    <x v="4956"/>
  </r>
  <r>
    <x v="1"/>
    <x v="0"/>
    <x v="2"/>
    <x v="146"/>
    <x v="3"/>
    <x v="514"/>
    <x v="3474"/>
    <x v="4957"/>
  </r>
  <r>
    <x v="1"/>
    <x v="0"/>
    <x v="2"/>
    <x v="239"/>
    <x v="22"/>
    <x v="621"/>
    <x v="3475"/>
    <x v="4958"/>
  </r>
  <r>
    <x v="0"/>
    <x v="0"/>
    <x v="0"/>
    <x v="174"/>
    <x v="7"/>
    <x v="390"/>
    <x v="2704"/>
    <x v="4959"/>
  </r>
  <r>
    <x v="1"/>
    <x v="0"/>
    <x v="2"/>
    <x v="143"/>
    <x v="17"/>
    <x v="194"/>
    <x v="1058"/>
    <x v="4960"/>
  </r>
  <r>
    <x v="1"/>
    <x v="0"/>
    <x v="1"/>
    <x v="240"/>
    <x v="8"/>
    <x v="312"/>
    <x v="3476"/>
    <x v="4961"/>
  </r>
  <r>
    <x v="3"/>
    <x v="0"/>
    <x v="2"/>
    <x v="216"/>
    <x v="22"/>
    <x v="162"/>
    <x v="3477"/>
    <x v="4962"/>
  </r>
  <r>
    <x v="0"/>
    <x v="0"/>
    <x v="2"/>
    <x v="198"/>
    <x v="10"/>
    <x v="41"/>
    <x v="1436"/>
    <x v="4963"/>
  </r>
  <r>
    <x v="3"/>
    <x v="0"/>
    <x v="2"/>
    <x v="223"/>
    <x v="9"/>
    <x v="409"/>
    <x v="727"/>
    <x v="4964"/>
  </r>
  <r>
    <x v="2"/>
    <x v="0"/>
    <x v="2"/>
    <x v="98"/>
    <x v="28"/>
    <x v="218"/>
    <x v="478"/>
    <x v="4965"/>
  </r>
  <r>
    <x v="0"/>
    <x v="0"/>
    <x v="2"/>
    <x v="39"/>
    <x v="2"/>
    <x v="2"/>
    <x v="3478"/>
    <x v="4966"/>
  </r>
  <r>
    <x v="1"/>
    <x v="0"/>
    <x v="2"/>
    <x v="42"/>
    <x v="3"/>
    <x v="712"/>
    <x v="3479"/>
    <x v="4967"/>
  </r>
  <r>
    <x v="2"/>
    <x v="0"/>
    <x v="2"/>
    <x v="191"/>
    <x v="11"/>
    <x v="300"/>
    <x v="3468"/>
    <x v="4968"/>
  </r>
  <r>
    <x v="0"/>
    <x v="0"/>
    <x v="2"/>
    <x v="233"/>
    <x v="16"/>
    <x v="142"/>
    <x v="3009"/>
    <x v="4969"/>
  </r>
  <r>
    <x v="2"/>
    <x v="0"/>
    <x v="2"/>
    <x v="242"/>
    <x v="1"/>
    <x v="688"/>
    <x v="3480"/>
    <x v="4970"/>
  </r>
  <r>
    <x v="1"/>
    <x v="0"/>
    <x v="1"/>
    <x v="33"/>
    <x v="11"/>
    <x v="709"/>
    <x v="3481"/>
    <x v="4971"/>
  </r>
  <r>
    <x v="1"/>
    <x v="0"/>
    <x v="1"/>
    <x v="170"/>
    <x v="1"/>
    <x v="687"/>
    <x v="658"/>
    <x v="4972"/>
  </r>
  <r>
    <x v="1"/>
    <x v="0"/>
    <x v="2"/>
    <x v="38"/>
    <x v="2"/>
    <x v="2"/>
    <x v="1033"/>
    <x v="4973"/>
  </r>
  <r>
    <x v="0"/>
    <x v="0"/>
    <x v="0"/>
    <x v="72"/>
    <x v="17"/>
    <x v="69"/>
    <x v="3482"/>
    <x v="4974"/>
  </r>
  <r>
    <x v="1"/>
    <x v="0"/>
    <x v="2"/>
    <x v="77"/>
    <x v="15"/>
    <x v="81"/>
    <x v="3483"/>
    <x v="4975"/>
  </r>
  <r>
    <x v="1"/>
    <x v="0"/>
    <x v="2"/>
    <x v="228"/>
    <x v="14"/>
    <x v="391"/>
    <x v="3029"/>
    <x v="4976"/>
  </r>
  <r>
    <x v="0"/>
    <x v="0"/>
    <x v="2"/>
    <x v="151"/>
    <x v="0"/>
    <x v="455"/>
    <x v="571"/>
    <x v="4977"/>
  </r>
  <r>
    <x v="0"/>
    <x v="0"/>
    <x v="0"/>
    <x v="73"/>
    <x v="15"/>
    <x v="452"/>
    <x v="2974"/>
    <x v="4978"/>
  </r>
  <r>
    <x v="3"/>
    <x v="0"/>
    <x v="2"/>
    <x v="66"/>
    <x v="0"/>
    <x v="817"/>
    <x v="3484"/>
    <x v="4979"/>
  </r>
  <r>
    <x v="0"/>
    <x v="0"/>
    <x v="2"/>
    <x v="30"/>
    <x v="17"/>
    <x v="50"/>
    <x v="1167"/>
    <x v="4980"/>
  </r>
  <r>
    <x v="0"/>
    <x v="0"/>
    <x v="2"/>
    <x v="70"/>
    <x v="22"/>
    <x v="101"/>
    <x v="3485"/>
    <x v="4981"/>
  </r>
  <r>
    <x v="0"/>
    <x v="0"/>
    <x v="2"/>
    <x v="91"/>
    <x v="7"/>
    <x v="90"/>
    <x v="3486"/>
    <x v="4982"/>
  </r>
  <r>
    <x v="1"/>
    <x v="0"/>
    <x v="1"/>
    <x v="143"/>
    <x v="6"/>
    <x v="167"/>
    <x v="951"/>
    <x v="4983"/>
  </r>
  <r>
    <x v="1"/>
    <x v="0"/>
    <x v="2"/>
    <x v="98"/>
    <x v="16"/>
    <x v="130"/>
    <x v="3487"/>
    <x v="4984"/>
  </r>
  <r>
    <x v="1"/>
    <x v="0"/>
    <x v="1"/>
    <x v="98"/>
    <x v="12"/>
    <x v="232"/>
    <x v="2105"/>
    <x v="4985"/>
  </r>
  <r>
    <x v="3"/>
    <x v="0"/>
    <x v="2"/>
    <x v="211"/>
    <x v="5"/>
    <x v="303"/>
    <x v="817"/>
    <x v="4986"/>
  </r>
  <r>
    <x v="0"/>
    <x v="0"/>
    <x v="0"/>
    <x v="193"/>
    <x v="10"/>
    <x v="346"/>
    <x v="1229"/>
    <x v="4987"/>
  </r>
  <r>
    <x v="0"/>
    <x v="0"/>
    <x v="0"/>
    <x v="33"/>
    <x v="5"/>
    <x v="357"/>
    <x v="172"/>
    <x v="4988"/>
  </r>
  <r>
    <x v="0"/>
    <x v="0"/>
    <x v="0"/>
    <x v="241"/>
    <x v="14"/>
    <x v="654"/>
    <x v="823"/>
    <x v="4989"/>
  </r>
  <r>
    <x v="3"/>
    <x v="0"/>
    <x v="2"/>
    <x v="6"/>
    <x v="3"/>
    <x v="6"/>
    <x v="1164"/>
    <x v="4990"/>
  </r>
  <r>
    <x v="1"/>
    <x v="0"/>
    <x v="2"/>
    <x v="16"/>
    <x v="10"/>
    <x v="15"/>
    <x v="3488"/>
    <x v="4991"/>
  </r>
  <r>
    <x v="3"/>
    <x v="0"/>
    <x v="2"/>
    <x v="234"/>
    <x v="0"/>
    <x v="142"/>
    <x v="3437"/>
    <x v="4992"/>
  </r>
  <r>
    <x v="2"/>
    <x v="0"/>
    <x v="2"/>
    <x v="241"/>
    <x v="18"/>
    <x v="245"/>
    <x v="2192"/>
    <x v="4993"/>
  </r>
  <r>
    <x v="2"/>
    <x v="0"/>
    <x v="2"/>
    <x v="202"/>
    <x v="10"/>
    <x v="853"/>
    <x v="439"/>
    <x v="4994"/>
  </r>
  <r>
    <x v="0"/>
    <x v="0"/>
    <x v="2"/>
    <x v="74"/>
    <x v="10"/>
    <x v="34"/>
    <x v="3489"/>
    <x v="4995"/>
  </r>
  <r>
    <x v="0"/>
    <x v="0"/>
    <x v="0"/>
    <x v="12"/>
    <x v="7"/>
    <x v="711"/>
    <x v="1759"/>
    <x v="4996"/>
  </r>
  <r>
    <x v="1"/>
    <x v="0"/>
    <x v="1"/>
    <x v="198"/>
    <x v="15"/>
    <x v="519"/>
    <x v="3284"/>
    <x v="4997"/>
  </r>
  <r>
    <x v="2"/>
    <x v="0"/>
    <x v="2"/>
    <x v="177"/>
    <x v="15"/>
    <x v="711"/>
    <x v="3490"/>
    <x v="4998"/>
  </r>
  <r>
    <x v="3"/>
    <x v="0"/>
    <x v="2"/>
    <x v="121"/>
    <x v="11"/>
    <x v="387"/>
    <x v="722"/>
    <x v="4999"/>
  </r>
  <r>
    <x v="1"/>
    <x v="0"/>
    <x v="2"/>
    <x v="56"/>
    <x v="6"/>
    <x v="850"/>
    <x v="1350"/>
    <x v="5000"/>
  </r>
  <r>
    <x v="2"/>
    <x v="0"/>
    <x v="2"/>
    <x v="106"/>
    <x v="14"/>
    <x v="417"/>
    <x v="171"/>
    <x v="5001"/>
  </r>
  <r>
    <x v="0"/>
    <x v="0"/>
    <x v="0"/>
    <x v="196"/>
    <x v="13"/>
    <x v="526"/>
    <x v="2655"/>
    <x v="5002"/>
  </r>
  <r>
    <x v="1"/>
    <x v="0"/>
    <x v="2"/>
    <x v="176"/>
    <x v="17"/>
    <x v="582"/>
    <x v="3491"/>
    <x v="5003"/>
  </r>
  <r>
    <x v="1"/>
    <x v="0"/>
    <x v="1"/>
    <x v="126"/>
    <x v="1"/>
    <x v="43"/>
    <x v="436"/>
    <x v="5004"/>
  </r>
  <r>
    <x v="2"/>
    <x v="0"/>
    <x v="2"/>
    <x v="64"/>
    <x v="17"/>
    <x v="654"/>
    <x v="3492"/>
    <x v="5005"/>
  </r>
  <r>
    <x v="0"/>
    <x v="0"/>
    <x v="2"/>
    <x v="247"/>
    <x v="22"/>
    <x v="68"/>
    <x v="1572"/>
    <x v="5006"/>
  </r>
  <r>
    <x v="2"/>
    <x v="0"/>
    <x v="2"/>
    <x v="142"/>
    <x v="16"/>
    <x v="819"/>
    <x v="3493"/>
    <x v="5007"/>
  </r>
  <r>
    <x v="0"/>
    <x v="0"/>
    <x v="2"/>
    <x v="113"/>
    <x v="8"/>
    <x v="856"/>
    <x v="3494"/>
    <x v="5008"/>
  </r>
  <r>
    <x v="3"/>
    <x v="0"/>
    <x v="2"/>
    <x v="9"/>
    <x v="15"/>
    <x v="538"/>
    <x v="3495"/>
    <x v="5009"/>
  </r>
  <r>
    <x v="0"/>
    <x v="0"/>
    <x v="0"/>
    <x v="79"/>
    <x v="7"/>
    <x v="75"/>
    <x v="1246"/>
    <x v="5010"/>
  </r>
  <r>
    <x v="0"/>
    <x v="0"/>
    <x v="0"/>
    <x v="64"/>
    <x v="14"/>
    <x v="484"/>
    <x v="2517"/>
    <x v="5011"/>
  </r>
  <r>
    <x v="2"/>
    <x v="0"/>
    <x v="2"/>
    <x v="116"/>
    <x v="25"/>
    <x v="245"/>
    <x v="3496"/>
    <x v="5012"/>
  </r>
  <r>
    <x v="0"/>
    <x v="0"/>
    <x v="2"/>
    <x v="53"/>
    <x v="28"/>
    <x v="277"/>
    <x v="3497"/>
    <x v="5013"/>
  </r>
  <r>
    <x v="1"/>
    <x v="0"/>
    <x v="2"/>
    <x v="108"/>
    <x v="9"/>
    <x v="261"/>
    <x v="3498"/>
    <x v="5014"/>
  </r>
  <r>
    <x v="0"/>
    <x v="0"/>
    <x v="2"/>
    <x v="223"/>
    <x v="13"/>
    <x v="210"/>
    <x v="3499"/>
    <x v="5015"/>
  </r>
  <r>
    <x v="1"/>
    <x v="0"/>
    <x v="1"/>
    <x v="59"/>
    <x v="9"/>
    <x v="199"/>
    <x v="267"/>
    <x v="5016"/>
  </r>
  <r>
    <x v="1"/>
    <x v="0"/>
    <x v="2"/>
    <x v="185"/>
    <x v="6"/>
    <x v="131"/>
    <x v="65"/>
    <x v="5017"/>
  </r>
  <r>
    <x v="2"/>
    <x v="0"/>
    <x v="2"/>
    <x v="83"/>
    <x v="3"/>
    <x v="35"/>
    <x v="1800"/>
    <x v="5018"/>
  </r>
  <r>
    <x v="1"/>
    <x v="0"/>
    <x v="1"/>
    <x v="234"/>
    <x v="10"/>
    <x v="415"/>
    <x v="452"/>
    <x v="5019"/>
  </r>
  <r>
    <x v="1"/>
    <x v="0"/>
    <x v="1"/>
    <x v="30"/>
    <x v="17"/>
    <x v="50"/>
    <x v="3500"/>
    <x v="5020"/>
  </r>
  <r>
    <x v="3"/>
    <x v="0"/>
    <x v="2"/>
    <x v="160"/>
    <x v="22"/>
    <x v="469"/>
    <x v="3501"/>
    <x v="5021"/>
  </r>
  <r>
    <x v="1"/>
    <x v="0"/>
    <x v="2"/>
    <x v="51"/>
    <x v="27"/>
    <x v="391"/>
    <x v="3502"/>
    <x v="5022"/>
  </r>
  <r>
    <x v="2"/>
    <x v="0"/>
    <x v="2"/>
    <x v="232"/>
    <x v="15"/>
    <x v="314"/>
    <x v="3503"/>
    <x v="5023"/>
  </r>
  <r>
    <x v="0"/>
    <x v="0"/>
    <x v="0"/>
    <x v="247"/>
    <x v="2"/>
    <x v="2"/>
    <x v="3504"/>
    <x v="5024"/>
  </r>
  <r>
    <x v="0"/>
    <x v="0"/>
    <x v="0"/>
    <x v="151"/>
    <x v="22"/>
    <x v="491"/>
    <x v="3505"/>
    <x v="5025"/>
  </r>
  <r>
    <x v="2"/>
    <x v="0"/>
    <x v="2"/>
    <x v="117"/>
    <x v="3"/>
    <x v="338"/>
    <x v="3506"/>
    <x v="5026"/>
  </r>
  <r>
    <x v="3"/>
    <x v="0"/>
    <x v="2"/>
    <x v="91"/>
    <x v="10"/>
    <x v="312"/>
    <x v="1594"/>
    <x v="5027"/>
  </r>
  <r>
    <x v="1"/>
    <x v="0"/>
    <x v="2"/>
    <x v="75"/>
    <x v="17"/>
    <x v="493"/>
    <x v="2558"/>
    <x v="5028"/>
  </r>
  <r>
    <x v="0"/>
    <x v="0"/>
    <x v="2"/>
    <x v="127"/>
    <x v="11"/>
    <x v="239"/>
    <x v="755"/>
    <x v="5029"/>
  </r>
  <r>
    <x v="3"/>
    <x v="0"/>
    <x v="2"/>
    <x v="218"/>
    <x v="3"/>
    <x v="0"/>
    <x v="3086"/>
    <x v="5030"/>
  </r>
  <r>
    <x v="2"/>
    <x v="0"/>
    <x v="2"/>
    <x v="172"/>
    <x v="1"/>
    <x v="291"/>
    <x v="3507"/>
    <x v="5031"/>
  </r>
  <r>
    <x v="3"/>
    <x v="0"/>
    <x v="2"/>
    <x v="37"/>
    <x v="7"/>
    <x v="161"/>
    <x v="3508"/>
    <x v="5032"/>
  </r>
  <r>
    <x v="1"/>
    <x v="0"/>
    <x v="1"/>
    <x v="49"/>
    <x v="15"/>
    <x v="685"/>
    <x v="3108"/>
    <x v="5033"/>
  </r>
  <r>
    <x v="0"/>
    <x v="0"/>
    <x v="0"/>
    <x v="130"/>
    <x v="17"/>
    <x v="277"/>
    <x v="3509"/>
    <x v="5034"/>
  </r>
  <r>
    <x v="2"/>
    <x v="0"/>
    <x v="2"/>
    <x v="73"/>
    <x v="1"/>
    <x v="251"/>
    <x v="3510"/>
    <x v="5035"/>
  </r>
  <r>
    <x v="0"/>
    <x v="0"/>
    <x v="2"/>
    <x v="170"/>
    <x v="1"/>
    <x v="687"/>
    <x v="2966"/>
    <x v="5036"/>
  </r>
  <r>
    <x v="0"/>
    <x v="0"/>
    <x v="0"/>
    <x v="15"/>
    <x v="6"/>
    <x v="119"/>
    <x v="99"/>
    <x v="5037"/>
  </r>
  <r>
    <x v="3"/>
    <x v="0"/>
    <x v="2"/>
    <x v="126"/>
    <x v="16"/>
    <x v="826"/>
    <x v="3511"/>
    <x v="5038"/>
  </r>
  <r>
    <x v="1"/>
    <x v="0"/>
    <x v="2"/>
    <x v="241"/>
    <x v="9"/>
    <x v="539"/>
    <x v="905"/>
    <x v="5039"/>
  </r>
  <r>
    <x v="2"/>
    <x v="0"/>
    <x v="2"/>
    <x v="203"/>
    <x v="0"/>
    <x v="616"/>
    <x v="182"/>
    <x v="5040"/>
  </r>
  <r>
    <x v="3"/>
    <x v="0"/>
    <x v="2"/>
    <x v="135"/>
    <x v="5"/>
    <x v="747"/>
    <x v="3512"/>
    <x v="5041"/>
  </r>
  <r>
    <x v="0"/>
    <x v="0"/>
    <x v="2"/>
    <x v="133"/>
    <x v="10"/>
    <x v="819"/>
    <x v="2187"/>
    <x v="5042"/>
  </r>
  <r>
    <x v="0"/>
    <x v="0"/>
    <x v="0"/>
    <x v="45"/>
    <x v="3"/>
    <x v="662"/>
    <x v="543"/>
    <x v="5043"/>
  </r>
  <r>
    <x v="0"/>
    <x v="0"/>
    <x v="0"/>
    <x v="157"/>
    <x v="6"/>
    <x v="477"/>
    <x v="2852"/>
    <x v="5044"/>
  </r>
  <r>
    <x v="0"/>
    <x v="0"/>
    <x v="0"/>
    <x v="190"/>
    <x v="12"/>
    <x v="538"/>
    <x v="2468"/>
    <x v="5045"/>
  </r>
  <r>
    <x v="2"/>
    <x v="0"/>
    <x v="2"/>
    <x v="126"/>
    <x v="12"/>
    <x v="635"/>
    <x v="3513"/>
    <x v="5046"/>
  </r>
  <r>
    <x v="1"/>
    <x v="0"/>
    <x v="2"/>
    <x v="59"/>
    <x v="11"/>
    <x v="608"/>
    <x v="1155"/>
    <x v="5047"/>
  </r>
  <r>
    <x v="1"/>
    <x v="0"/>
    <x v="2"/>
    <x v="188"/>
    <x v="14"/>
    <x v="528"/>
    <x v="3514"/>
    <x v="5048"/>
  </r>
  <r>
    <x v="0"/>
    <x v="0"/>
    <x v="0"/>
    <x v="204"/>
    <x v="10"/>
    <x v="35"/>
    <x v="2123"/>
    <x v="5049"/>
  </r>
  <r>
    <x v="1"/>
    <x v="0"/>
    <x v="1"/>
    <x v="71"/>
    <x v="21"/>
    <x v="355"/>
    <x v="3515"/>
    <x v="5050"/>
  </r>
  <r>
    <x v="0"/>
    <x v="0"/>
    <x v="0"/>
    <x v="41"/>
    <x v="2"/>
    <x v="2"/>
    <x v="1698"/>
    <x v="5051"/>
  </r>
  <r>
    <x v="0"/>
    <x v="0"/>
    <x v="2"/>
    <x v="40"/>
    <x v="15"/>
    <x v="256"/>
    <x v="3516"/>
    <x v="5052"/>
  </r>
  <r>
    <x v="1"/>
    <x v="0"/>
    <x v="1"/>
    <x v="246"/>
    <x v="24"/>
    <x v="592"/>
    <x v="2515"/>
    <x v="5053"/>
  </r>
  <r>
    <x v="1"/>
    <x v="0"/>
    <x v="2"/>
    <x v="212"/>
    <x v="5"/>
    <x v="437"/>
    <x v="3517"/>
    <x v="5054"/>
  </r>
  <r>
    <x v="1"/>
    <x v="0"/>
    <x v="1"/>
    <x v="47"/>
    <x v="1"/>
    <x v="737"/>
    <x v="3445"/>
    <x v="5055"/>
  </r>
  <r>
    <x v="1"/>
    <x v="0"/>
    <x v="1"/>
    <x v="9"/>
    <x v="2"/>
    <x v="2"/>
    <x v="1989"/>
    <x v="5056"/>
  </r>
  <r>
    <x v="0"/>
    <x v="0"/>
    <x v="2"/>
    <x v="215"/>
    <x v="6"/>
    <x v="750"/>
    <x v="2686"/>
    <x v="5057"/>
  </r>
  <r>
    <x v="1"/>
    <x v="0"/>
    <x v="2"/>
    <x v="248"/>
    <x v="6"/>
    <x v="764"/>
    <x v="3518"/>
    <x v="5058"/>
  </r>
  <r>
    <x v="1"/>
    <x v="0"/>
    <x v="1"/>
    <x v="70"/>
    <x v="3"/>
    <x v="704"/>
    <x v="1931"/>
    <x v="5059"/>
  </r>
  <r>
    <x v="0"/>
    <x v="0"/>
    <x v="0"/>
    <x v="250"/>
    <x v="11"/>
    <x v="863"/>
    <x v="3253"/>
    <x v="5060"/>
  </r>
  <r>
    <x v="0"/>
    <x v="0"/>
    <x v="0"/>
    <x v="88"/>
    <x v="24"/>
    <x v="302"/>
    <x v="1072"/>
    <x v="5061"/>
  </r>
  <r>
    <x v="1"/>
    <x v="0"/>
    <x v="1"/>
    <x v="41"/>
    <x v="11"/>
    <x v="38"/>
    <x v="1964"/>
    <x v="5062"/>
  </r>
  <r>
    <x v="1"/>
    <x v="0"/>
    <x v="2"/>
    <x v="186"/>
    <x v="22"/>
    <x v="389"/>
    <x v="3519"/>
    <x v="5063"/>
  </r>
  <r>
    <x v="1"/>
    <x v="0"/>
    <x v="1"/>
    <x v="186"/>
    <x v="1"/>
    <x v="838"/>
    <x v="3520"/>
    <x v="5064"/>
  </r>
  <r>
    <x v="3"/>
    <x v="0"/>
    <x v="2"/>
    <x v="157"/>
    <x v="17"/>
    <x v="547"/>
    <x v="3521"/>
    <x v="5065"/>
  </r>
  <r>
    <x v="1"/>
    <x v="0"/>
    <x v="2"/>
    <x v="12"/>
    <x v="11"/>
    <x v="765"/>
    <x v="70"/>
    <x v="5066"/>
  </r>
  <r>
    <x v="3"/>
    <x v="0"/>
    <x v="2"/>
    <x v="198"/>
    <x v="17"/>
    <x v="351"/>
    <x v="3522"/>
    <x v="5067"/>
  </r>
  <r>
    <x v="0"/>
    <x v="0"/>
    <x v="0"/>
    <x v="116"/>
    <x v="24"/>
    <x v="655"/>
    <x v="3330"/>
    <x v="5068"/>
  </r>
  <r>
    <x v="0"/>
    <x v="0"/>
    <x v="0"/>
    <x v="132"/>
    <x v="14"/>
    <x v="52"/>
    <x v="3523"/>
    <x v="5069"/>
  </r>
  <r>
    <x v="0"/>
    <x v="0"/>
    <x v="0"/>
    <x v="153"/>
    <x v="25"/>
    <x v="561"/>
    <x v="1045"/>
    <x v="5070"/>
  </r>
  <r>
    <x v="1"/>
    <x v="0"/>
    <x v="1"/>
    <x v="81"/>
    <x v="2"/>
    <x v="2"/>
    <x v="1518"/>
    <x v="5071"/>
  </r>
  <r>
    <x v="1"/>
    <x v="0"/>
    <x v="1"/>
    <x v="71"/>
    <x v="8"/>
    <x v="173"/>
    <x v="3052"/>
    <x v="5072"/>
  </r>
  <r>
    <x v="0"/>
    <x v="0"/>
    <x v="2"/>
    <x v="220"/>
    <x v="0"/>
    <x v="410"/>
    <x v="3524"/>
    <x v="5073"/>
  </r>
  <r>
    <x v="3"/>
    <x v="0"/>
    <x v="2"/>
    <x v="24"/>
    <x v="5"/>
    <x v="106"/>
    <x v="3525"/>
    <x v="5074"/>
  </r>
  <r>
    <x v="3"/>
    <x v="0"/>
    <x v="2"/>
    <x v="200"/>
    <x v="10"/>
    <x v="321"/>
    <x v="2741"/>
    <x v="5075"/>
  </r>
  <r>
    <x v="0"/>
    <x v="0"/>
    <x v="0"/>
    <x v="136"/>
    <x v="16"/>
    <x v="227"/>
    <x v="3526"/>
    <x v="5076"/>
  </r>
  <r>
    <x v="2"/>
    <x v="0"/>
    <x v="2"/>
    <x v="173"/>
    <x v="1"/>
    <x v="695"/>
    <x v="2875"/>
    <x v="5077"/>
  </r>
  <r>
    <x v="1"/>
    <x v="0"/>
    <x v="2"/>
    <x v="239"/>
    <x v="15"/>
    <x v="441"/>
    <x v="3116"/>
    <x v="5078"/>
  </r>
  <r>
    <x v="1"/>
    <x v="0"/>
    <x v="1"/>
    <x v="174"/>
    <x v="7"/>
    <x v="390"/>
    <x v="1439"/>
    <x v="5079"/>
  </r>
  <r>
    <x v="1"/>
    <x v="0"/>
    <x v="2"/>
    <x v="128"/>
    <x v="6"/>
    <x v="587"/>
    <x v="3527"/>
    <x v="5080"/>
  </r>
  <r>
    <x v="0"/>
    <x v="0"/>
    <x v="0"/>
    <x v="179"/>
    <x v="15"/>
    <x v="605"/>
    <x v="3528"/>
    <x v="4530"/>
  </r>
  <r>
    <x v="1"/>
    <x v="0"/>
    <x v="2"/>
    <x v="133"/>
    <x v="0"/>
    <x v="52"/>
    <x v="1642"/>
    <x v="5081"/>
  </r>
  <r>
    <x v="0"/>
    <x v="0"/>
    <x v="0"/>
    <x v="51"/>
    <x v="5"/>
    <x v="315"/>
    <x v="3529"/>
    <x v="5082"/>
  </r>
  <r>
    <x v="3"/>
    <x v="0"/>
    <x v="2"/>
    <x v="9"/>
    <x v="11"/>
    <x v="310"/>
    <x v="3530"/>
    <x v="5083"/>
  </r>
  <r>
    <x v="2"/>
    <x v="0"/>
    <x v="2"/>
    <x v="146"/>
    <x v="25"/>
    <x v="111"/>
    <x v="758"/>
    <x v="5084"/>
  </r>
  <r>
    <x v="2"/>
    <x v="0"/>
    <x v="2"/>
    <x v="190"/>
    <x v="7"/>
    <x v="419"/>
    <x v="3531"/>
    <x v="5085"/>
  </r>
  <r>
    <x v="3"/>
    <x v="0"/>
    <x v="2"/>
    <x v="79"/>
    <x v="13"/>
    <x v="293"/>
    <x v="7"/>
    <x v="5086"/>
  </r>
  <r>
    <x v="3"/>
    <x v="0"/>
    <x v="2"/>
    <x v="155"/>
    <x v="10"/>
    <x v="7"/>
    <x v="312"/>
    <x v="5087"/>
  </r>
  <r>
    <x v="1"/>
    <x v="0"/>
    <x v="1"/>
    <x v="199"/>
    <x v="16"/>
    <x v="659"/>
    <x v="3532"/>
    <x v="5088"/>
  </r>
  <r>
    <x v="1"/>
    <x v="0"/>
    <x v="1"/>
    <x v="19"/>
    <x v="3"/>
    <x v="881"/>
    <x v="946"/>
    <x v="5089"/>
  </r>
  <r>
    <x v="0"/>
    <x v="0"/>
    <x v="0"/>
    <x v="7"/>
    <x v="5"/>
    <x v="7"/>
    <x v="3533"/>
    <x v="5090"/>
  </r>
  <r>
    <x v="3"/>
    <x v="0"/>
    <x v="2"/>
    <x v="238"/>
    <x v="6"/>
    <x v="45"/>
    <x v="3349"/>
    <x v="5091"/>
  </r>
  <r>
    <x v="0"/>
    <x v="0"/>
    <x v="2"/>
    <x v="94"/>
    <x v="1"/>
    <x v="762"/>
    <x v="3534"/>
    <x v="5092"/>
  </r>
  <r>
    <x v="1"/>
    <x v="0"/>
    <x v="2"/>
    <x v="235"/>
    <x v="2"/>
    <x v="2"/>
    <x v="3535"/>
    <x v="5093"/>
  </r>
  <r>
    <x v="1"/>
    <x v="0"/>
    <x v="2"/>
    <x v="120"/>
    <x v="6"/>
    <x v="527"/>
    <x v="3536"/>
    <x v="5094"/>
  </r>
  <r>
    <x v="0"/>
    <x v="0"/>
    <x v="0"/>
    <x v="166"/>
    <x v="3"/>
    <x v="416"/>
    <x v="3480"/>
    <x v="5095"/>
  </r>
  <r>
    <x v="0"/>
    <x v="0"/>
    <x v="2"/>
    <x v="129"/>
    <x v="1"/>
    <x v="625"/>
    <x v="3537"/>
    <x v="5096"/>
  </r>
  <r>
    <x v="0"/>
    <x v="0"/>
    <x v="0"/>
    <x v="208"/>
    <x v="0"/>
    <x v="649"/>
    <x v="1157"/>
    <x v="5097"/>
  </r>
  <r>
    <x v="1"/>
    <x v="0"/>
    <x v="2"/>
    <x v="190"/>
    <x v="15"/>
    <x v="353"/>
    <x v="1956"/>
    <x v="5098"/>
  </r>
  <r>
    <x v="3"/>
    <x v="0"/>
    <x v="2"/>
    <x v="123"/>
    <x v="1"/>
    <x v="551"/>
    <x v="829"/>
    <x v="5099"/>
  </r>
  <r>
    <x v="1"/>
    <x v="0"/>
    <x v="2"/>
    <x v="161"/>
    <x v="7"/>
    <x v="847"/>
    <x v="1647"/>
    <x v="5100"/>
  </r>
  <r>
    <x v="1"/>
    <x v="0"/>
    <x v="1"/>
    <x v="44"/>
    <x v="2"/>
    <x v="2"/>
    <x v="1908"/>
    <x v="5101"/>
  </r>
  <r>
    <x v="0"/>
    <x v="0"/>
    <x v="0"/>
    <x v="76"/>
    <x v="22"/>
    <x v="902"/>
    <x v="3085"/>
    <x v="5102"/>
  </r>
  <r>
    <x v="0"/>
    <x v="0"/>
    <x v="2"/>
    <x v="119"/>
    <x v="3"/>
    <x v="45"/>
    <x v="295"/>
    <x v="5103"/>
  </r>
  <r>
    <x v="1"/>
    <x v="0"/>
    <x v="1"/>
    <x v="201"/>
    <x v="26"/>
    <x v="225"/>
    <x v="3538"/>
    <x v="5104"/>
  </r>
  <r>
    <x v="2"/>
    <x v="0"/>
    <x v="2"/>
    <x v="100"/>
    <x v="6"/>
    <x v="599"/>
    <x v="3539"/>
    <x v="5105"/>
  </r>
  <r>
    <x v="2"/>
    <x v="0"/>
    <x v="2"/>
    <x v="140"/>
    <x v="22"/>
    <x v="280"/>
    <x v="320"/>
    <x v="5106"/>
  </r>
  <r>
    <x v="0"/>
    <x v="0"/>
    <x v="0"/>
    <x v="201"/>
    <x v="25"/>
    <x v="647"/>
    <x v="1602"/>
    <x v="5107"/>
  </r>
  <r>
    <x v="1"/>
    <x v="0"/>
    <x v="2"/>
    <x v="105"/>
    <x v="2"/>
    <x v="2"/>
    <x v="3540"/>
    <x v="5108"/>
  </r>
  <r>
    <x v="0"/>
    <x v="0"/>
    <x v="2"/>
    <x v="18"/>
    <x v="22"/>
    <x v="523"/>
    <x v="3541"/>
    <x v="5109"/>
  </r>
  <r>
    <x v="1"/>
    <x v="0"/>
    <x v="2"/>
    <x v="150"/>
    <x v="11"/>
    <x v="291"/>
    <x v="2577"/>
    <x v="5110"/>
  </r>
  <r>
    <x v="1"/>
    <x v="0"/>
    <x v="2"/>
    <x v="231"/>
    <x v="6"/>
    <x v="27"/>
    <x v="1663"/>
    <x v="5111"/>
  </r>
  <r>
    <x v="1"/>
    <x v="0"/>
    <x v="2"/>
    <x v="94"/>
    <x v="5"/>
    <x v="834"/>
    <x v="3542"/>
    <x v="5112"/>
  </r>
  <r>
    <x v="1"/>
    <x v="0"/>
    <x v="1"/>
    <x v="142"/>
    <x v="2"/>
    <x v="2"/>
    <x v="668"/>
    <x v="5113"/>
  </r>
  <r>
    <x v="0"/>
    <x v="0"/>
    <x v="2"/>
    <x v="247"/>
    <x v="1"/>
    <x v="187"/>
    <x v="3543"/>
    <x v="5114"/>
  </r>
  <r>
    <x v="2"/>
    <x v="0"/>
    <x v="2"/>
    <x v="204"/>
    <x v="15"/>
    <x v="699"/>
    <x v="1237"/>
    <x v="5115"/>
  </r>
  <r>
    <x v="0"/>
    <x v="0"/>
    <x v="2"/>
    <x v="199"/>
    <x v="5"/>
    <x v="373"/>
    <x v="2023"/>
    <x v="5116"/>
  </r>
  <r>
    <x v="3"/>
    <x v="0"/>
    <x v="2"/>
    <x v="121"/>
    <x v="25"/>
    <x v="145"/>
    <x v="309"/>
    <x v="5117"/>
  </r>
  <r>
    <x v="0"/>
    <x v="0"/>
    <x v="2"/>
    <x v="178"/>
    <x v="24"/>
    <x v="270"/>
    <x v="1557"/>
    <x v="5118"/>
  </r>
  <r>
    <x v="3"/>
    <x v="0"/>
    <x v="2"/>
    <x v="182"/>
    <x v="2"/>
    <x v="2"/>
    <x v="3544"/>
    <x v="5119"/>
  </r>
  <r>
    <x v="0"/>
    <x v="0"/>
    <x v="0"/>
    <x v="202"/>
    <x v="9"/>
    <x v="47"/>
    <x v="3545"/>
    <x v="5120"/>
  </r>
  <r>
    <x v="3"/>
    <x v="0"/>
    <x v="2"/>
    <x v="52"/>
    <x v="20"/>
    <x v="756"/>
    <x v="45"/>
    <x v="5121"/>
  </r>
  <r>
    <x v="1"/>
    <x v="0"/>
    <x v="2"/>
    <x v="88"/>
    <x v="7"/>
    <x v="352"/>
    <x v="3546"/>
    <x v="5122"/>
  </r>
  <r>
    <x v="1"/>
    <x v="0"/>
    <x v="2"/>
    <x v="151"/>
    <x v="5"/>
    <x v="10"/>
    <x v="1761"/>
    <x v="4928"/>
  </r>
  <r>
    <x v="0"/>
    <x v="0"/>
    <x v="0"/>
    <x v="173"/>
    <x v="16"/>
    <x v="101"/>
    <x v="240"/>
    <x v="5123"/>
  </r>
  <r>
    <x v="0"/>
    <x v="0"/>
    <x v="2"/>
    <x v="104"/>
    <x v="1"/>
    <x v="651"/>
    <x v="3547"/>
    <x v="5124"/>
  </r>
  <r>
    <x v="0"/>
    <x v="0"/>
    <x v="2"/>
    <x v="219"/>
    <x v="24"/>
    <x v="131"/>
    <x v="853"/>
    <x v="5125"/>
  </r>
  <r>
    <x v="1"/>
    <x v="0"/>
    <x v="1"/>
    <x v="152"/>
    <x v="1"/>
    <x v="119"/>
    <x v="242"/>
    <x v="5126"/>
  </r>
  <r>
    <x v="0"/>
    <x v="0"/>
    <x v="2"/>
    <x v="62"/>
    <x v="7"/>
    <x v="481"/>
    <x v="3548"/>
    <x v="5127"/>
  </r>
  <r>
    <x v="1"/>
    <x v="0"/>
    <x v="1"/>
    <x v="40"/>
    <x v="6"/>
    <x v="641"/>
    <x v="177"/>
    <x v="5128"/>
  </r>
  <r>
    <x v="1"/>
    <x v="0"/>
    <x v="1"/>
    <x v="26"/>
    <x v="11"/>
    <x v="30"/>
    <x v="3549"/>
    <x v="5129"/>
  </r>
  <r>
    <x v="2"/>
    <x v="0"/>
    <x v="2"/>
    <x v="241"/>
    <x v="11"/>
    <x v="384"/>
    <x v="2532"/>
    <x v="5130"/>
  </r>
  <r>
    <x v="0"/>
    <x v="0"/>
    <x v="2"/>
    <x v="114"/>
    <x v="20"/>
    <x v="721"/>
    <x v="3550"/>
    <x v="5131"/>
  </r>
  <r>
    <x v="2"/>
    <x v="0"/>
    <x v="2"/>
    <x v="157"/>
    <x v="10"/>
    <x v="214"/>
    <x v="2302"/>
    <x v="5132"/>
  </r>
  <r>
    <x v="1"/>
    <x v="0"/>
    <x v="2"/>
    <x v="105"/>
    <x v="1"/>
    <x v="211"/>
    <x v="3551"/>
    <x v="5133"/>
  </r>
  <r>
    <x v="1"/>
    <x v="0"/>
    <x v="1"/>
    <x v="13"/>
    <x v="12"/>
    <x v="463"/>
    <x v="868"/>
    <x v="5134"/>
  </r>
  <r>
    <x v="0"/>
    <x v="0"/>
    <x v="2"/>
    <x v="221"/>
    <x v="24"/>
    <x v="553"/>
    <x v="3552"/>
    <x v="5135"/>
  </r>
  <r>
    <x v="1"/>
    <x v="0"/>
    <x v="2"/>
    <x v="153"/>
    <x v="16"/>
    <x v="133"/>
    <x v="3553"/>
    <x v="5136"/>
  </r>
  <r>
    <x v="2"/>
    <x v="0"/>
    <x v="2"/>
    <x v="76"/>
    <x v="7"/>
    <x v="888"/>
    <x v="3554"/>
    <x v="5137"/>
  </r>
  <r>
    <x v="3"/>
    <x v="0"/>
    <x v="2"/>
    <x v="13"/>
    <x v="22"/>
    <x v="192"/>
    <x v="3555"/>
    <x v="5138"/>
  </r>
  <r>
    <x v="0"/>
    <x v="0"/>
    <x v="2"/>
    <x v="238"/>
    <x v="2"/>
    <x v="2"/>
    <x v="3556"/>
    <x v="5139"/>
  </r>
  <r>
    <x v="0"/>
    <x v="0"/>
    <x v="0"/>
    <x v="162"/>
    <x v="3"/>
    <x v="204"/>
    <x v="3541"/>
    <x v="5140"/>
  </r>
  <r>
    <x v="1"/>
    <x v="0"/>
    <x v="1"/>
    <x v="40"/>
    <x v="10"/>
    <x v="131"/>
    <x v="1242"/>
    <x v="5141"/>
  </r>
  <r>
    <x v="3"/>
    <x v="0"/>
    <x v="2"/>
    <x v="73"/>
    <x v="0"/>
    <x v="154"/>
    <x v="3557"/>
    <x v="5142"/>
  </r>
  <r>
    <x v="1"/>
    <x v="0"/>
    <x v="2"/>
    <x v="242"/>
    <x v="9"/>
    <x v="808"/>
    <x v="225"/>
    <x v="5143"/>
  </r>
  <r>
    <x v="1"/>
    <x v="0"/>
    <x v="1"/>
    <x v="210"/>
    <x v="6"/>
    <x v="287"/>
    <x v="1601"/>
    <x v="5144"/>
  </r>
  <r>
    <x v="3"/>
    <x v="0"/>
    <x v="2"/>
    <x v="112"/>
    <x v="21"/>
    <x v="385"/>
    <x v="239"/>
    <x v="5145"/>
  </r>
  <r>
    <x v="0"/>
    <x v="0"/>
    <x v="0"/>
    <x v="36"/>
    <x v="23"/>
    <x v="809"/>
    <x v="3558"/>
    <x v="5146"/>
  </r>
  <r>
    <x v="1"/>
    <x v="0"/>
    <x v="2"/>
    <x v="123"/>
    <x v="10"/>
    <x v="609"/>
    <x v="2075"/>
    <x v="5147"/>
  </r>
  <r>
    <x v="0"/>
    <x v="0"/>
    <x v="2"/>
    <x v="146"/>
    <x v="24"/>
    <x v="262"/>
    <x v="2623"/>
    <x v="5148"/>
  </r>
  <r>
    <x v="3"/>
    <x v="0"/>
    <x v="2"/>
    <x v="225"/>
    <x v="0"/>
    <x v="413"/>
    <x v="1444"/>
    <x v="5149"/>
  </r>
  <r>
    <x v="0"/>
    <x v="0"/>
    <x v="2"/>
    <x v="28"/>
    <x v="16"/>
    <x v="247"/>
    <x v="3559"/>
    <x v="5150"/>
  </r>
  <r>
    <x v="2"/>
    <x v="0"/>
    <x v="2"/>
    <x v="219"/>
    <x v="7"/>
    <x v="440"/>
    <x v="3560"/>
    <x v="5151"/>
  </r>
  <r>
    <x v="0"/>
    <x v="0"/>
    <x v="2"/>
    <x v="140"/>
    <x v="8"/>
    <x v="328"/>
    <x v="1092"/>
    <x v="5152"/>
  </r>
  <r>
    <x v="0"/>
    <x v="0"/>
    <x v="0"/>
    <x v="149"/>
    <x v="7"/>
    <x v="436"/>
    <x v="2590"/>
    <x v="5153"/>
  </r>
  <r>
    <x v="1"/>
    <x v="0"/>
    <x v="2"/>
    <x v="32"/>
    <x v="2"/>
    <x v="2"/>
    <x v="2437"/>
    <x v="5154"/>
  </r>
  <r>
    <x v="0"/>
    <x v="0"/>
    <x v="0"/>
    <x v="127"/>
    <x v="10"/>
    <x v="27"/>
    <x v="3561"/>
    <x v="5155"/>
  </r>
  <r>
    <x v="1"/>
    <x v="0"/>
    <x v="2"/>
    <x v="147"/>
    <x v="2"/>
    <x v="2"/>
    <x v="3057"/>
    <x v="5156"/>
  </r>
  <r>
    <x v="1"/>
    <x v="0"/>
    <x v="2"/>
    <x v="223"/>
    <x v="25"/>
    <x v="664"/>
    <x v="3562"/>
    <x v="5157"/>
  </r>
  <r>
    <x v="1"/>
    <x v="0"/>
    <x v="2"/>
    <x v="219"/>
    <x v="15"/>
    <x v="623"/>
    <x v="250"/>
    <x v="5158"/>
  </r>
  <r>
    <x v="2"/>
    <x v="0"/>
    <x v="2"/>
    <x v="140"/>
    <x v="13"/>
    <x v="501"/>
    <x v="3563"/>
    <x v="5159"/>
  </r>
  <r>
    <x v="1"/>
    <x v="0"/>
    <x v="2"/>
    <x v="40"/>
    <x v="1"/>
    <x v="812"/>
    <x v="3564"/>
    <x v="5160"/>
  </r>
  <r>
    <x v="1"/>
    <x v="0"/>
    <x v="2"/>
    <x v="103"/>
    <x v="5"/>
    <x v="628"/>
    <x v="3546"/>
    <x v="5161"/>
  </r>
  <r>
    <x v="2"/>
    <x v="0"/>
    <x v="2"/>
    <x v="177"/>
    <x v="2"/>
    <x v="2"/>
    <x v="3565"/>
    <x v="5162"/>
  </r>
  <r>
    <x v="1"/>
    <x v="0"/>
    <x v="1"/>
    <x v="52"/>
    <x v="16"/>
    <x v="181"/>
    <x v="3566"/>
    <x v="5163"/>
  </r>
  <r>
    <x v="1"/>
    <x v="0"/>
    <x v="1"/>
    <x v="30"/>
    <x v="22"/>
    <x v="525"/>
    <x v="42"/>
    <x v="5164"/>
  </r>
  <r>
    <x v="1"/>
    <x v="0"/>
    <x v="2"/>
    <x v="109"/>
    <x v="9"/>
    <x v="117"/>
    <x v="3567"/>
    <x v="5165"/>
  </r>
  <r>
    <x v="3"/>
    <x v="0"/>
    <x v="2"/>
    <x v="71"/>
    <x v="15"/>
    <x v="679"/>
    <x v="3568"/>
    <x v="5166"/>
  </r>
  <r>
    <x v="0"/>
    <x v="0"/>
    <x v="0"/>
    <x v="226"/>
    <x v="11"/>
    <x v="402"/>
    <x v="2728"/>
    <x v="5167"/>
  </r>
  <r>
    <x v="2"/>
    <x v="0"/>
    <x v="2"/>
    <x v="150"/>
    <x v="17"/>
    <x v="510"/>
    <x v="2151"/>
    <x v="5168"/>
  </r>
  <r>
    <x v="1"/>
    <x v="0"/>
    <x v="1"/>
    <x v="116"/>
    <x v="3"/>
    <x v="903"/>
    <x v="3569"/>
    <x v="5169"/>
  </r>
  <r>
    <x v="0"/>
    <x v="0"/>
    <x v="0"/>
    <x v="24"/>
    <x v="18"/>
    <x v="189"/>
    <x v="3570"/>
    <x v="5170"/>
  </r>
  <r>
    <x v="3"/>
    <x v="0"/>
    <x v="2"/>
    <x v="187"/>
    <x v="0"/>
    <x v="643"/>
    <x v="1604"/>
    <x v="5171"/>
  </r>
  <r>
    <x v="1"/>
    <x v="0"/>
    <x v="1"/>
    <x v="149"/>
    <x v="14"/>
    <x v="219"/>
    <x v="3571"/>
    <x v="5172"/>
  </r>
  <r>
    <x v="3"/>
    <x v="0"/>
    <x v="2"/>
    <x v="250"/>
    <x v="1"/>
    <x v="811"/>
    <x v="1767"/>
    <x v="5173"/>
  </r>
  <r>
    <x v="0"/>
    <x v="0"/>
    <x v="2"/>
    <x v="197"/>
    <x v="7"/>
    <x v="282"/>
    <x v="3572"/>
    <x v="5174"/>
  </r>
  <r>
    <x v="0"/>
    <x v="0"/>
    <x v="0"/>
    <x v="35"/>
    <x v="14"/>
    <x v="32"/>
    <x v="2934"/>
    <x v="5175"/>
  </r>
  <r>
    <x v="0"/>
    <x v="0"/>
    <x v="0"/>
    <x v="17"/>
    <x v="20"/>
    <x v="125"/>
    <x v="2394"/>
    <x v="5176"/>
  </r>
  <r>
    <x v="0"/>
    <x v="0"/>
    <x v="2"/>
    <x v="199"/>
    <x v="17"/>
    <x v="327"/>
    <x v="2812"/>
    <x v="5177"/>
  </r>
  <r>
    <x v="2"/>
    <x v="0"/>
    <x v="2"/>
    <x v="69"/>
    <x v="16"/>
    <x v="505"/>
    <x v="3573"/>
    <x v="5178"/>
  </r>
  <r>
    <x v="2"/>
    <x v="0"/>
    <x v="2"/>
    <x v="55"/>
    <x v="2"/>
    <x v="2"/>
    <x v="3574"/>
    <x v="5179"/>
  </r>
  <r>
    <x v="1"/>
    <x v="0"/>
    <x v="1"/>
    <x v="78"/>
    <x v="15"/>
    <x v="770"/>
    <x v="2915"/>
    <x v="5180"/>
  </r>
  <r>
    <x v="0"/>
    <x v="0"/>
    <x v="2"/>
    <x v="124"/>
    <x v="7"/>
    <x v="585"/>
    <x v="65"/>
    <x v="5181"/>
  </r>
  <r>
    <x v="0"/>
    <x v="0"/>
    <x v="2"/>
    <x v="103"/>
    <x v="12"/>
    <x v="114"/>
    <x v="3575"/>
    <x v="5182"/>
  </r>
  <r>
    <x v="1"/>
    <x v="0"/>
    <x v="1"/>
    <x v="248"/>
    <x v="1"/>
    <x v="27"/>
    <x v="597"/>
    <x v="5183"/>
  </r>
  <r>
    <x v="0"/>
    <x v="0"/>
    <x v="2"/>
    <x v="188"/>
    <x v="22"/>
    <x v="532"/>
    <x v="3576"/>
    <x v="5184"/>
  </r>
  <r>
    <x v="0"/>
    <x v="0"/>
    <x v="2"/>
    <x v="230"/>
    <x v="2"/>
    <x v="2"/>
    <x v="3577"/>
    <x v="5185"/>
  </r>
  <r>
    <x v="0"/>
    <x v="0"/>
    <x v="0"/>
    <x v="151"/>
    <x v="0"/>
    <x v="455"/>
    <x v="2269"/>
    <x v="5186"/>
  </r>
  <r>
    <x v="2"/>
    <x v="0"/>
    <x v="2"/>
    <x v="174"/>
    <x v="13"/>
    <x v="904"/>
    <x v="969"/>
    <x v="5187"/>
  </r>
  <r>
    <x v="3"/>
    <x v="0"/>
    <x v="2"/>
    <x v="14"/>
    <x v="17"/>
    <x v="869"/>
    <x v="2323"/>
    <x v="5188"/>
  </r>
  <r>
    <x v="1"/>
    <x v="0"/>
    <x v="1"/>
    <x v="119"/>
    <x v="26"/>
    <x v="523"/>
    <x v="3578"/>
    <x v="5189"/>
  </r>
  <r>
    <x v="1"/>
    <x v="0"/>
    <x v="1"/>
    <x v="211"/>
    <x v="14"/>
    <x v="754"/>
    <x v="3579"/>
    <x v="5190"/>
  </r>
  <r>
    <x v="3"/>
    <x v="0"/>
    <x v="2"/>
    <x v="210"/>
    <x v="6"/>
    <x v="287"/>
    <x v="3580"/>
    <x v="5191"/>
  </r>
  <r>
    <x v="2"/>
    <x v="0"/>
    <x v="2"/>
    <x v="55"/>
    <x v="0"/>
    <x v="61"/>
    <x v="1746"/>
    <x v="5192"/>
  </r>
  <r>
    <x v="1"/>
    <x v="0"/>
    <x v="2"/>
    <x v="212"/>
    <x v="1"/>
    <x v="768"/>
    <x v="3581"/>
    <x v="5193"/>
  </r>
  <r>
    <x v="1"/>
    <x v="0"/>
    <x v="1"/>
    <x v="231"/>
    <x v="17"/>
    <x v="135"/>
    <x v="1121"/>
    <x v="5194"/>
  </r>
  <r>
    <x v="1"/>
    <x v="0"/>
    <x v="2"/>
    <x v="72"/>
    <x v="16"/>
    <x v="534"/>
    <x v="2491"/>
    <x v="5195"/>
  </r>
  <r>
    <x v="1"/>
    <x v="0"/>
    <x v="1"/>
    <x v="78"/>
    <x v="11"/>
    <x v="255"/>
    <x v="3582"/>
    <x v="5196"/>
  </r>
  <r>
    <x v="3"/>
    <x v="0"/>
    <x v="2"/>
    <x v="165"/>
    <x v="6"/>
    <x v="21"/>
    <x v="3290"/>
    <x v="5197"/>
  </r>
  <r>
    <x v="2"/>
    <x v="0"/>
    <x v="2"/>
    <x v="250"/>
    <x v="5"/>
    <x v="510"/>
    <x v="1108"/>
    <x v="5198"/>
  </r>
  <r>
    <x v="1"/>
    <x v="0"/>
    <x v="1"/>
    <x v="187"/>
    <x v="1"/>
    <x v="530"/>
    <x v="3583"/>
    <x v="5199"/>
  </r>
  <r>
    <x v="3"/>
    <x v="0"/>
    <x v="2"/>
    <x v="159"/>
    <x v="14"/>
    <x v="260"/>
    <x v="3584"/>
    <x v="5200"/>
  </r>
  <r>
    <x v="0"/>
    <x v="0"/>
    <x v="2"/>
    <x v="0"/>
    <x v="5"/>
    <x v="142"/>
    <x v="3524"/>
    <x v="5201"/>
  </r>
  <r>
    <x v="3"/>
    <x v="0"/>
    <x v="2"/>
    <x v="85"/>
    <x v="7"/>
    <x v="180"/>
    <x v="3585"/>
    <x v="5202"/>
  </r>
  <r>
    <x v="3"/>
    <x v="0"/>
    <x v="2"/>
    <x v="142"/>
    <x v="16"/>
    <x v="819"/>
    <x v="3586"/>
    <x v="5203"/>
  </r>
  <r>
    <x v="0"/>
    <x v="0"/>
    <x v="0"/>
    <x v="123"/>
    <x v="0"/>
    <x v="686"/>
    <x v="789"/>
    <x v="5204"/>
  </r>
  <r>
    <x v="3"/>
    <x v="0"/>
    <x v="2"/>
    <x v="93"/>
    <x v="14"/>
    <x v="664"/>
    <x v="3587"/>
    <x v="5205"/>
  </r>
  <r>
    <x v="1"/>
    <x v="0"/>
    <x v="2"/>
    <x v="118"/>
    <x v="25"/>
    <x v="142"/>
    <x v="3102"/>
    <x v="5206"/>
  </r>
  <r>
    <x v="1"/>
    <x v="0"/>
    <x v="2"/>
    <x v="159"/>
    <x v="10"/>
    <x v="889"/>
    <x v="3588"/>
    <x v="5207"/>
  </r>
  <r>
    <x v="0"/>
    <x v="0"/>
    <x v="0"/>
    <x v="73"/>
    <x v="6"/>
    <x v="697"/>
    <x v="2558"/>
    <x v="5208"/>
  </r>
  <r>
    <x v="3"/>
    <x v="0"/>
    <x v="2"/>
    <x v="211"/>
    <x v="10"/>
    <x v="855"/>
    <x v="1949"/>
    <x v="5209"/>
  </r>
  <r>
    <x v="1"/>
    <x v="0"/>
    <x v="2"/>
    <x v="163"/>
    <x v="1"/>
    <x v="579"/>
    <x v="3589"/>
    <x v="5210"/>
  </r>
  <r>
    <x v="3"/>
    <x v="0"/>
    <x v="2"/>
    <x v="91"/>
    <x v="15"/>
    <x v="157"/>
    <x v="3590"/>
    <x v="5211"/>
  </r>
  <r>
    <x v="1"/>
    <x v="0"/>
    <x v="1"/>
    <x v="188"/>
    <x v="5"/>
    <x v="339"/>
    <x v="3591"/>
    <x v="5212"/>
  </r>
  <r>
    <x v="0"/>
    <x v="0"/>
    <x v="0"/>
    <x v="164"/>
    <x v="5"/>
    <x v="131"/>
    <x v="3592"/>
    <x v="5213"/>
  </r>
  <r>
    <x v="0"/>
    <x v="0"/>
    <x v="2"/>
    <x v="92"/>
    <x v="1"/>
    <x v="244"/>
    <x v="1483"/>
    <x v="5214"/>
  </r>
  <r>
    <x v="0"/>
    <x v="0"/>
    <x v="0"/>
    <x v="54"/>
    <x v="11"/>
    <x v="552"/>
    <x v="3252"/>
    <x v="5215"/>
  </r>
  <r>
    <x v="3"/>
    <x v="0"/>
    <x v="2"/>
    <x v="172"/>
    <x v="1"/>
    <x v="291"/>
    <x v="3593"/>
    <x v="5216"/>
  </r>
  <r>
    <x v="0"/>
    <x v="0"/>
    <x v="2"/>
    <x v="15"/>
    <x v="17"/>
    <x v="615"/>
    <x v="3594"/>
    <x v="5217"/>
  </r>
  <r>
    <x v="1"/>
    <x v="0"/>
    <x v="2"/>
    <x v="3"/>
    <x v="22"/>
    <x v="181"/>
    <x v="3595"/>
    <x v="5218"/>
  </r>
  <r>
    <x v="1"/>
    <x v="0"/>
    <x v="1"/>
    <x v="92"/>
    <x v="6"/>
    <x v="692"/>
    <x v="234"/>
    <x v="5219"/>
  </r>
  <r>
    <x v="0"/>
    <x v="0"/>
    <x v="0"/>
    <x v="90"/>
    <x v="5"/>
    <x v="194"/>
    <x v="1511"/>
    <x v="5220"/>
  </r>
  <r>
    <x v="0"/>
    <x v="0"/>
    <x v="2"/>
    <x v="78"/>
    <x v="3"/>
    <x v="67"/>
    <x v="3208"/>
    <x v="5221"/>
  </r>
  <r>
    <x v="3"/>
    <x v="0"/>
    <x v="2"/>
    <x v="9"/>
    <x v="13"/>
    <x v="600"/>
    <x v="1017"/>
    <x v="1963"/>
  </r>
  <r>
    <x v="2"/>
    <x v="0"/>
    <x v="2"/>
    <x v="189"/>
    <x v="2"/>
    <x v="2"/>
    <x v="3596"/>
    <x v="5222"/>
  </r>
  <r>
    <x v="1"/>
    <x v="0"/>
    <x v="1"/>
    <x v="148"/>
    <x v="7"/>
    <x v="0"/>
    <x v="3597"/>
    <x v="5223"/>
  </r>
  <r>
    <x v="0"/>
    <x v="0"/>
    <x v="2"/>
    <x v="179"/>
    <x v="6"/>
    <x v="334"/>
    <x v="3241"/>
    <x v="5224"/>
  </r>
  <r>
    <x v="1"/>
    <x v="0"/>
    <x v="2"/>
    <x v="79"/>
    <x v="1"/>
    <x v="787"/>
    <x v="3598"/>
    <x v="5225"/>
  </r>
  <r>
    <x v="1"/>
    <x v="0"/>
    <x v="2"/>
    <x v="49"/>
    <x v="11"/>
    <x v="132"/>
    <x v="3290"/>
    <x v="5226"/>
  </r>
  <r>
    <x v="1"/>
    <x v="0"/>
    <x v="1"/>
    <x v="46"/>
    <x v="28"/>
    <x v="899"/>
    <x v="1550"/>
    <x v="5227"/>
  </r>
  <r>
    <x v="3"/>
    <x v="0"/>
    <x v="2"/>
    <x v="170"/>
    <x v="11"/>
    <x v="169"/>
    <x v="284"/>
    <x v="53"/>
  </r>
  <r>
    <x v="2"/>
    <x v="0"/>
    <x v="2"/>
    <x v="67"/>
    <x v="1"/>
    <x v="344"/>
    <x v="3599"/>
    <x v="5228"/>
  </r>
  <r>
    <x v="0"/>
    <x v="0"/>
    <x v="2"/>
    <x v="48"/>
    <x v="22"/>
    <x v="16"/>
    <x v="871"/>
    <x v="5229"/>
  </r>
  <r>
    <x v="3"/>
    <x v="0"/>
    <x v="2"/>
    <x v="44"/>
    <x v="0"/>
    <x v="242"/>
    <x v="3600"/>
    <x v="5230"/>
  </r>
  <r>
    <x v="1"/>
    <x v="0"/>
    <x v="1"/>
    <x v="205"/>
    <x v="11"/>
    <x v="320"/>
    <x v="3601"/>
    <x v="5231"/>
  </r>
  <r>
    <x v="3"/>
    <x v="0"/>
    <x v="2"/>
    <x v="169"/>
    <x v="1"/>
    <x v="214"/>
    <x v="2058"/>
    <x v="5232"/>
  </r>
  <r>
    <x v="1"/>
    <x v="0"/>
    <x v="1"/>
    <x v="199"/>
    <x v="9"/>
    <x v="713"/>
    <x v="2187"/>
    <x v="5233"/>
  </r>
  <r>
    <x v="1"/>
    <x v="0"/>
    <x v="1"/>
    <x v="62"/>
    <x v="2"/>
    <x v="2"/>
    <x v="2106"/>
    <x v="5234"/>
  </r>
  <r>
    <x v="0"/>
    <x v="0"/>
    <x v="2"/>
    <x v="27"/>
    <x v="13"/>
    <x v="537"/>
    <x v="3602"/>
    <x v="5235"/>
  </r>
  <r>
    <x v="1"/>
    <x v="0"/>
    <x v="2"/>
    <x v="184"/>
    <x v="7"/>
    <x v="475"/>
    <x v="3347"/>
    <x v="5236"/>
  </r>
  <r>
    <x v="3"/>
    <x v="0"/>
    <x v="2"/>
    <x v="207"/>
    <x v="5"/>
    <x v="793"/>
    <x v="1146"/>
    <x v="5237"/>
  </r>
  <r>
    <x v="1"/>
    <x v="0"/>
    <x v="1"/>
    <x v="187"/>
    <x v="13"/>
    <x v="702"/>
    <x v="2882"/>
    <x v="5238"/>
  </r>
  <r>
    <x v="0"/>
    <x v="0"/>
    <x v="0"/>
    <x v="221"/>
    <x v="8"/>
    <x v="306"/>
    <x v="644"/>
    <x v="5239"/>
  </r>
  <r>
    <x v="1"/>
    <x v="0"/>
    <x v="2"/>
    <x v="197"/>
    <x v="3"/>
    <x v="848"/>
    <x v="1747"/>
    <x v="5240"/>
  </r>
  <r>
    <x v="2"/>
    <x v="0"/>
    <x v="2"/>
    <x v="149"/>
    <x v="24"/>
    <x v="142"/>
    <x v="2756"/>
    <x v="5241"/>
  </r>
  <r>
    <x v="0"/>
    <x v="0"/>
    <x v="2"/>
    <x v="159"/>
    <x v="8"/>
    <x v="101"/>
    <x v="3603"/>
    <x v="5242"/>
  </r>
  <r>
    <x v="0"/>
    <x v="0"/>
    <x v="2"/>
    <x v="164"/>
    <x v="13"/>
    <x v="207"/>
    <x v="1846"/>
    <x v="5243"/>
  </r>
  <r>
    <x v="1"/>
    <x v="0"/>
    <x v="2"/>
    <x v="181"/>
    <x v="3"/>
    <x v="852"/>
    <x v="1389"/>
    <x v="5244"/>
  </r>
  <r>
    <x v="2"/>
    <x v="0"/>
    <x v="2"/>
    <x v="19"/>
    <x v="13"/>
    <x v="543"/>
    <x v="3448"/>
    <x v="5245"/>
  </r>
  <r>
    <x v="0"/>
    <x v="0"/>
    <x v="2"/>
    <x v="247"/>
    <x v="3"/>
    <x v="837"/>
    <x v="2928"/>
    <x v="5246"/>
  </r>
  <r>
    <x v="1"/>
    <x v="0"/>
    <x v="1"/>
    <x v="4"/>
    <x v="0"/>
    <x v="620"/>
    <x v="1386"/>
    <x v="5247"/>
  </r>
  <r>
    <x v="1"/>
    <x v="0"/>
    <x v="1"/>
    <x v="125"/>
    <x v="7"/>
    <x v="540"/>
    <x v="3604"/>
    <x v="5248"/>
  </r>
  <r>
    <x v="3"/>
    <x v="0"/>
    <x v="2"/>
    <x v="237"/>
    <x v="0"/>
    <x v="287"/>
    <x v="2741"/>
    <x v="5249"/>
  </r>
  <r>
    <x v="2"/>
    <x v="0"/>
    <x v="2"/>
    <x v="171"/>
    <x v="25"/>
    <x v="444"/>
    <x v="1312"/>
    <x v="5250"/>
  </r>
  <r>
    <x v="3"/>
    <x v="0"/>
    <x v="2"/>
    <x v="223"/>
    <x v="14"/>
    <x v="411"/>
    <x v="1202"/>
    <x v="5251"/>
  </r>
  <r>
    <x v="2"/>
    <x v="0"/>
    <x v="2"/>
    <x v="39"/>
    <x v="2"/>
    <x v="2"/>
    <x v="3472"/>
    <x v="5252"/>
  </r>
  <r>
    <x v="0"/>
    <x v="0"/>
    <x v="2"/>
    <x v="135"/>
    <x v="7"/>
    <x v="34"/>
    <x v="1930"/>
    <x v="5253"/>
  </r>
  <r>
    <x v="0"/>
    <x v="0"/>
    <x v="2"/>
    <x v="73"/>
    <x v="6"/>
    <x v="697"/>
    <x v="319"/>
    <x v="5254"/>
  </r>
  <r>
    <x v="0"/>
    <x v="0"/>
    <x v="2"/>
    <x v="23"/>
    <x v="20"/>
    <x v="587"/>
    <x v="3605"/>
    <x v="5255"/>
  </r>
  <r>
    <x v="3"/>
    <x v="0"/>
    <x v="2"/>
    <x v="122"/>
    <x v="25"/>
    <x v="306"/>
    <x v="1913"/>
    <x v="5256"/>
  </r>
  <r>
    <x v="2"/>
    <x v="0"/>
    <x v="2"/>
    <x v="249"/>
    <x v="7"/>
    <x v="880"/>
    <x v="2319"/>
    <x v="5257"/>
  </r>
  <r>
    <x v="2"/>
    <x v="0"/>
    <x v="2"/>
    <x v="244"/>
    <x v="11"/>
    <x v="465"/>
    <x v="2283"/>
    <x v="5258"/>
  </r>
  <r>
    <x v="3"/>
    <x v="0"/>
    <x v="2"/>
    <x v="176"/>
    <x v="6"/>
    <x v="388"/>
    <x v="3606"/>
    <x v="5259"/>
  </r>
  <r>
    <x v="1"/>
    <x v="0"/>
    <x v="1"/>
    <x v="85"/>
    <x v="20"/>
    <x v="743"/>
    <x v="3607"/>
    <x v="5260"/>
  </r>
  <r>
    <x v="3"/>
    <x v="0"/>
    <x v="2"/>
    <x v="9"/>
    <x v="12"/>
    <x v="0"/>
    <x v="3608"/>
    <x v="5261"/>
  </r>
  <r>
    <x v="0"/>
    <x v="0"/>
    <x v="0"/>
    <x v="19"/>
    <x v="0"/>
    <x v="211"/>
    <x v="2367"/>
    <x v="5262"/>
  </r>
  <r>
    <x v="0"/>
    <x v="0"/>
    <x v="0"/>
    <x v="187"/>
    <x v="11"/>
    <x v="396"/>
    <x v="3592"/>
    <x v="5263"/>
  </r>
  <r>
    <x v="2"/>
    <x v="0"/>
    <x v="2"/>
    <x v="57"/>
    <x v="18"/>
    <x v="89"/>
    <x v="3609"/>
    <x v="5264"/>
  </r>
  <r>
    <x v="0"/>
    <x v="0"/>
    <x v="2"/>
    <x v="123"/>
    <x v="13"/>
    <x v="146"/>
    <x v="983"/>
    <x v="5265"/>
  </r>
  <r>
    <x v="0"/>
    <x v="0"/>
    <x v="0"/>
    <x v="48"/>
    <x v="17"/>
    <x v="65"/>
    <x v="3610"/>
    <x v="5266"/>
  </r>
  <r>
    <x v="1"/>
    <x v="0"/>
    <x v="2"/>
    <x v="201"/>
    <x v="11"/>
    <x v="118"/>
    <x v="556"/>
    <x v="5267"/>
  </r>
  <r>
    <x v="0"/>
    <x v="0"/>
    <x v="0"/>
    <x v="189"/>
    <x v="11"/>
    <x v="688"/>
    <x v="3611"/>
    <x v="5268"/>
  </r>
  <r>
    <x v="0"/>
    <x v="0"/>
    <x v="2"/>
    <x v="149"/>
    <x v="16"/>
    <x v="26"/>
    <x v="3612"/>
    <x v="5269"/>
  </r>
  <r>
    <x v="0"/>
    <x v="0"/>
    <x v="0"/>
    <x v="199"/>
    <x v="24"/>
    <x v="158"/>
    <x v="2030"/>
    <x v="5270"/>
  </r>
  <r>
    <x v="2"/>
    <x v="0"/>
    <x v="2"/>
    <x v="232"/>
    <x v="2"/>
    <x v="2"/>
    <x v="2343"/>
    <x v="5271"/>
  </r>
  <r>
    <x v="1"/>
    <x v="0"/>
    <x v="1"/>
    <x v="178"/>
    <x v="22"/>
    <x v="852"/>
    <x v="3613"/>
    <x v="5272"/>
  </r>
  <r>
    <x v="0"/>
    <x v="0"/>
    <x v="2"/>
    <x v="57"/>
    <x v="12"/>
    <x v="321"/>
    <x v="3614"/>
    <x v="5273"/>
  </r>
  <r>
    <x v="3"/>
    <x v="0"/>
    <x v="2"/>
    <x v="95"/>
    <x v="20"/>
    <x v="452"/>
    <x v="3615"/>
    <x v="5274"/>
  </r>
  <r>
    <x v="2"/>
    <x v="0"/>
    <x v="2"/>
    <x v="241"/>
    <x v="26"/>
    <x v="717"/>
    <x v="1050"/>
    <x v="5275"/>
  </r>
  <r>
    <x v="0"/>
    <x v="0"/>
    <x v="2"/>
    <x v="168"/>
    <x v="22"/>
    <x v="403"/>
    <x v="3616"/>
    <x v="5276"/>
  </r>
  <r>
    <x v="1"/>
    <x v="0"/>
    <x v="1"/>
    <x v="199"/>
    <x v="9"/>
    <x v="713"/>
    <x v="1365"/>
    <x v="5277"/>
  </r>
  <r>
    <x v="3"/>
    <x v="0"/>
    <x v="2"/>
    <x v="62"/>
    <x v="13"/>
    <x v="121"/>
    <x v="2830"/>
    <x v="5278"/>
  </r>
  <r>
    <x v="2"/>
    <x v="0"/>
    <x v="2"/>
    <x v="13"/>
    <x v="7"/>
    <x v="21"/>
    <x v="3227"/>
    <x v="5279"/>
  </r>
  <r>
    <x v="3"/>
    <x v="0"/>
    <x v="2"/>
    <x v="197"/>
    <x v="7"/>
    <x v="282"/>
    <x v="3445"/>
    <x v="5280"/>
  </r>
  <r>
    <x v="2"/>
    <x v="0"/>
    <x v="2"/>
    <x v="95"/>
    <x v="15"/>
    <x v="496"/>
    <x v="3617"/>
    <x v="5281"/>
  </r>
  <r>
    <x v="3"/>
    <x v="0"/>
    <x v="2"/>
    <x v="206"/>
    <x v="10"/>
    <x v="631"/>
    <x v="3341"/>
    <x v="5282"/>
  </r>
  <r>
    <x v="2"/>
    <x v="0"/>
    <x v="2"/>
    <x v="246"/>
    <x v="15"/>
    <x v="793"/>
    <x v="2772"/>
    <x v="5283"/>
  </r>
  <r>
    <x v="0"/>
    <x v="0"/>
    <x v="0"/>
    <x v="159"/>
    <x v="17"/>
    <x v="58"/>
    <x v="3618"/>
    <x v="5284"/>
  </r>
  <r>
    <x v="1"/>
    <x v="0"/>
    <x v="2"/>
    <x v="246"/>
    <x v="13"/>
    <x v="515"/>
    <x v="2253"/>
    <x v="5285"/>
  </r>
  <r>
    <x v="1"/>
    <x v="0"/>
    <x v="1"/>
    <x v="188"/>
    <x v="11"/>
    <x v="284"/>
    <x v="3619"/>
    <x v="5286"/>
  </r>
  <r>
    <x v="3"/>
    <x v="0"/>
    <x v="2"/>
    <x v="14"/>
    <x v="22"/>
    <x v="861"/>
    <x v="3620"/>
    <x v="5287"/>
  </r>
  <r>
    <x v="0"/>
    <x v="0"/>
    <x v="0"/>
    <x v="17"/>
    <x v="0"/>
    <x v="698"/>
    <x v="2778"/>
    <x v="5288"/>
  </r>
  <r>
    <x v="2"/>
    <x v="0"/>
    <x v="2"/>
    <x v="99"/>
    <x v="8"/>
    <x v="880"/>
    <x v="3621"/>
    <x v="5289"/>
  </r>
  <r>
    <x v="0"/>
    <x v="0"/>
    <x v="2"/>
    <x v="96"/>
    <x v="1"/>
    <x v="633"/>
    <x v="3622"/>
    <x v="5290"/>
  </r>
  <r>
    <x v="0"/>
    <x v="0"/>
    <x v="2"/>
    <x v="197"/>
    <x v="24"/>
    <x v="192"/>
    <x v="964"/>
    <x v="5291"/>
  </r>
  <r>
    <x v="0"/>
    <x v="0"/>
    <x v="0"/>
    <x v="175"/>
    <x v="22"/>
    <x v="107"/>
    <x v="2314"/>
    <x v="5292"/>
  </r>
  <r>
    <x v="2"/>
    <x v="0"/>
    <x v="2"/>
    <x v="166"/>
    <x v="0"/>
    <x v="753"/>
    <x v="1257"/>
    <x v="5293"/>
  </r>
  <r>
    <x v="1"/>
    <x v="0"/>
    <x v="1"/>
    <x v="152"/>
    <x v="0"/>
    <x v="578"/>
    <x v="501"/>
    <x v="5294"/>
  </r>
  <r>
    <x v="2"/>
    <x v="0"/>
    <x v="2"/>
    <x v="104"/>
    <x v="13"/>
    <x v="566"/>
    <x v="3623"/>
    <x v="5295"/>
  </r>
  <r>
    <x v="2"/>
    <x v="0"/>
    <x v="2"/>
    <x v="88"/>
    <x v="3"/>
    <x v="257"/>
    <x v="3624"/>
    <x v="5296"/>
  </r>
  <r>
    <x v="1"/>
    <x v="0"/>
    <x v="2"/>
    <x v="83"/>
    <x v="18"/>
    <x v="82"/>
    <x v="478"/>
    <x v="5297"/>
  </r>
  <r>
    <x v="1"/>
    <x v="0"/>
    <x v="2"/>
    <x v="121"/>
    <x v="7"/>
    <x v="853"/>
    <x v="3625"/>
    <x v="5298"/>
  </r>
  <r>
    <x v="0"/>
    <x v="0"/>
    <x v="2"/>
    <x v="128"/>
    <x v="11"/>
    <x v="58"/>
    <x v="3626"/>
    <x v="5299"/>
  </r>
  <r>
    <x v="1"/>
    <x v="0"/>
    <x v="1"/>
    <x v="19"/>
    <x v="2"/>
    <x v="2"/>
    <x v="3627"/>
    <x v="5300"/>
  </r>
  <r>
    <x v="3"/>
    <x v="0"/>
    <x v="2"/>
    <x v="53"/>
    <x v="5"/>
    <x v="414"/>
    <x v="1251"/>
    <x v="5301"/>
  </r>
  <r>
    <x v="3"/>
    <x v="0"/>
    <x v="2"/>
    <x v="148"/>
    <x v="13"/>
    <x v="297"/>
    <x v="3628"/>
    <x v="5302"/>
  </r>
  <r>
    <x v="1"/>
    <x v="0"/>
    <x v="1"/>
    <x v="93"/>
    <x v="17"/>
    <x v="658"/>
    <x v="333"/>
    <x v="5303"/>
  </r>
  <r>
    <x v="0"/>
    <x v="0"/>
    <x v="0"/>
    <x v="6"/>
    <x v="14"/>
    <x v="190"/>
    <x v="3629"/>
    <x v="5304"/>
  </r>
  <r>
    <x v="1"/>
    <x v="0"/>
    <x v="1"/>
    <x v="211"/>
    <x v="10"/>
    <x v="855"/>
    <x v="2471"/>
    <x v="5305"/>
  </r>
  <r>
    <x v="2"/>
    <x v="0"/>
    <x v="2"/>
    <x v="150"/>
    <x v="15"/>
    <x v="647"/>
    <x v="2756"/>
    <x v="5306"/>
  </r>
  <r>
    <x v="3"/>
    <x v="0"/>
    <x v="2"/>
    <x v="99"/>
    <x v="26"/>
    <x v="252"/>
    <x v="1732"/>
    <x v="5307"/>
  </r>
  <r>
    <x v="1"/>
    <x v="0"/>
    <x v="1"/>
    <x v="19"/>
    <x v="15"/>
    <x v="258"/>
    <x v="3630"/>
    <x v="5308"/>
  </r>
  <r>
    <x v="3"/>
    <x v="0"/>
    <x v="2"/>
    <x v="42"/>
    <x v="7"/>
    <x v="270"/>
    <x v="3631"/>
    <x v="5309"/>
  </r>
  <r>
    <x v="2"/>
    <x v="0"/>
    <x v="2"/>
    <x v="40"/>
    <x v="0"/>
    <x v="37"/>
    <x v="3632"/>
    <x v="5310"/>
  </r>
  <r>
    <x v="3"/>
    <x v="0"/>
    <x v="2"/>
    <x v="39"/>
    <x v="1"/>
    <x v="535"/>
    <x v="377"/>
    <x v="5311"/>
  </r>
  <r>
    <x v="2"/>
    <x v="0"/>
    <x v="2"/>
    <x v="84"/>
    <x v="0"/>
    <x v="759"/>
    <x v="2936"/>
    <x v="5312"/>
  </r>
  <r>
    <x v="1"/>
    <x v="0"/>
    <x v="2"/>
    <x v="76"/>
    <x v="12"/>
    <x v="63"/>
    <x v="3633"/>
    <x v="5313"/>
  </r>
  <r>
    <x v="0"/>
    <x v="0"/>
    <x v="0"/>
    <x v="40"/>
    <x v="1"/>
    <x v="812"/>
    <x v="3634"/>
    <x v="5314"/>
  </r>
  <r>
    <x v="0"/>
    <x v="0"/>
    <x v="0"/>
    <x v="27"/>
    <x v="0"/>
    <x v="314"/>
    <x v="3635"/>
    <x v="5315"/>
  </r>
  <r>
    <x v="0"/>
    <x v="0"/>
    <x v="0"/>
    <x v="44"/>
    <x v="2"/>
    <x v="2"/>
    <x v="1129"/>
    <x v="5316"/>
  </r>
  <r>
    <x v="0"/>
    <x v="0"/>
    <x v="0"/>
    <x v="59"/>
    <x v="16"/>
    <x v="8"/>
    <x v="3636"/>
    <x v="5317"/>
  </r>
  <r>
    <x v="3"/>
    <x v="0"/>
    <x v="2"/>
    <x v="93"/>
    <x v="0"/>
    <x v="333"/>
    <x v="3507"/>
    <x v="5318"/>
  </r>
  <r>
    <x v="0"/>
    <x v="0"/>
    <x v="0"/>
    <x v="45"/>
    <x v="5"/>
    <x v="612"/>
    <x v="1008"/>
    <x v="5319"/>
  </r>
  <r>
    <x v="3"/>
    <x v="0"/>
    <x v="2"/>
    <x v="132"/>
    <x v="21"/>
    <x v="252"/>
    <x v="3494"/>
    <x v="5320"/>
  </r>
  <r>
    <x v="1"/>
    <x v="0"/>
    <x v="1"/>
    <x v="211"/>
    <x v="18"/>
    <x v="243"/>
    <x v="1592"/>
    <x v="5321"/>
  </r>
  <r>
    <x v="3"/>
    <x v="0"/>
    <x v="2"/>
    <x v="13"/>
    <x v="28"/>
    <x v="114"/>
    <x v="1481"/>
    <x v="5322"/>
  </r>
  <r>
    <x v="1"/>
    <x v="0"/>
    <x v="2"/>
    <x v="94"/>
    <x v="11"/>
    <x v="414"/>
    <x v="3046"/>
    <x v="5323"/>
  </r>
  <r>
    <x v="0"/>
    <x v="0"/>
    <x v="0"/>
    <x v="99"/>
    <x v="26"/>
    <x v="252"/>
    <x v="93"/>
    <x v="5324"/>
  </r>
  <r>
    <x v="1"/>
    <x v="0"/>
    <x v="1"/>
    <x v="86"/>
    <x v="16"/>
    <x v="413"/>
    <x v="2987"/>
    <x v="5325"/>
  </r>
  <r>
    <x v="0"/>
    <x v="0"/>
    <x v="0"/>
    <x v="136"/>
    <x v="17"/>
    <x v="211"/>
    <x v="2211"/>
    <x v="5326"/>
  </r>
  <r>
    <x v="1"/>
    <x v="0"/>
    <x v="2"/>
    <x v="108"/>
    <x v="14"/>
    <x v="531"/>
    <x v="3637"/>
    <x v="5327"/>
  </r>
  <r>
    <x v="2"/>
    <x v="0"/>
    <x v="2"/>
    <x v="58"/>
    <x v="16"/>
    <x v="3"/>
    <x v="3638"/>
    <x v="5328"/>
  </r>
  <r>
    <x v="0"/>
    <x v="0"/>
    <x v="2"/>
    <x v="128"/>
    <x v="6"/>
    <x v="587"/>
    <x v="3639"/>
    <x v="5329"/>
  </r>
  <r>
    <x v="1"/>
    <x v="0"/>
    <x v="2"/>
    <x v="215"/>
    <x v="11"/>
    <x v="600"/>
    <x v="3640"/>
    <x v="5330"/>
  </r>
  <r>
    <x v="0"/>
    <x v="0"/>
    <x v="0"/>
    <x v="55"/>
    <x v="5"/>
    <x v="445"/>
    <x v="3641"/>
    <x v="5331"/>
  </r>
  <r>
    <x v="3"/>
    <x v="0"/>
    <x v="2"/>
    <x v="62"/>
    <x v="2"/>
    <x v="2"/>
    <x v="908"/>
    <x v="5332"/>
  </r>
  <r>
    <x v="1"/>
    <x v="0"/>
    <x v="2"/>
    <x v="43"/>
    <x v="2"/>
    <x v="2"/>
    <x v="1111"/>
    <x v="5333"/>
  </r>
  <r>
    <x v="1"/>
    <x v="0"/>
    <x v="1"/>
    <x v="235"/>
    <x v="13"/>
    <x v="485"/>
    <x v="2289"/>
    <x v="5334"/>
  </r>
  <r>
    <x v="1"/>
    <x v="0"/>
    <x v="1"/>
    <x v="131"/>
    <x v="10"/>
    <x v="812"/>
    <x v="3642"/>
    <x v="5335"/>
  </r>
  <r>
    <x v="3"/>
    <x v="0"/>
    <x v="2"/>
    <x v="72"/>
    <x v="25"/>
    <x v="595"/>
    <x v="1297"/>
    <x v="5336"/>
  </r>
  <r>
    <x v="0"/>
    <x v="0"/>
    <x v="2"/>
    <x v="148"/>
    <x v="6"/>
    <x v="52"/>
    <x v="885"/>
    <x v="5337"/>
  </r>
  <r>
    <x v="1"/>
    <x v="0"/>
    <x v="2"/>
    <x v="158"/>
    <x v="8"/>
    <x v="215"/>
    <x v="510"/>
    <x v="5338"/>
  </r>
  <r>
    <x v="2"/>
    <x v="0"/>
    <x v="2"/>
    <x v="76"/>
    <x v="3"/>
    <x v="591"/>
    <x v="1449"/>
    <x v="5339"/>
  </r>
  <r>
    <x v="0"/>
    <x v="0"/>
    <x v="0"/>
    <x v="117"/>
    <x v="24"/>
    <x v="75"/>
    <x v="2928"/>
    <x v="5340"/>
  </r>
  <r>
    <x v="0"/>
    <x v="0"/>
    <x v="2"/>
    <x v="196"/>
    <x v="5"/>
    <x v="3"/>
    <x v="2034"/>
    <x v="5341"/>
  </r>
  <r>
    <x v="1"/>
    <x v="0"/>
    <x v="1"/>
    <x v="139"/>
    <x v="2"/>
    <x v="2"/>
    <x v="501"/>
    <x v="5342"/>
  </r>
  <r>
    <x v="3"/>
    <x v="0"/>
    <x v="2"/>
    <x v="105"/>
    <x v="2"/>
    <x v="2"/>
    <x v="3643"/>
    <x v="5343"/>
  </r>
  <r>
    <x v="2"/>
    <x v="0"/>
    <x v="2"/>
    <x v="171"/>
    <x v="13"/>
    <x v="178"/>
    <x v="2263"/>
    <x v="5344"/>
  </r>
  <r>
    <x v="2"/>
    <x v="0"/>
    <x v="2"/>
    <x v="81"/>
    <x v="6"/>
    <x v="3"/>
    <x v="3644"/>
    <x v="5345"/>
  </r>
  <r>
    <x v="2"/>
    <x v="0"/>
    <x v="2"/>
    <x v="175"/>
    <x v="8"/>
    <x v="746"/>
    <x v="3645"/>
    <x v="5346"/>
  </r>
  <r>
    <x v="0"/>
    <x v="0"/>
    <x v="0"/>
    <x v="46"/>
    <x v="13"/>
    <x v="877"/>
    <x v="2154"/>
    <x v="5347"/>
  </r>
  <r>
    <x v="2"/>
    <x v="0"/>
    <x v="2"/>
    <x v="48"/>
    <x v="15"/>
    <x v="129"/>
    <x v="3646"/>
    <x v="5348"/>
  </r>
  <r>
    <x v="1"/>
    <x v="0"/>
    <x v="1"/>
    <x v="242"/>
    <x v="16"/>
    <x v="532"/>
    <x v="1601"/>
    <x v="5349"/>
  </r>
  <r>
    <x v="2"/>
    <x v="0"/>
    <x v="2"/>
    <x v="57"/>
    <x v="5"/>
    <x v="22"/>
    <x v="3647"/>
    <x v="5350"/>
  </r>
  <r>
    <x v="2"/>
    <x v="0"/>
    <x v="2"/>
    <x v="10"/>
    <x v="1"/>
    <x v="15"/>
    <x v="3648"/>
    <x v="5351"/>
  </r>
  <r>
    <x v="0"/>
    <x v="0"/>
    <x v="2"/>
    <x v="169"/>
    <x v="11"/>
    <x v="675"/>
    <x v="3649"/>
    <x v="5352"/>
  </r>
  <r>
    <x v="1"/>
    <x v="0"/>
    <x v="2"/>
    <x v="160"/>
    <x v="12"/>
    <x v="131"/>
    <x v="525"/>
    <x v="5353"/>
  </r>
  <r>
    <x v="3"/>
    <x v="0"/>
    <x v="2"/>
    <x v="238"/>
    <x v="11"/>
    <x v="356"/>
    <x v="3650"/>
    <x v="5354"/>
  </r>
  <r>
    <x v="3"/>
    <x v="0"/>
    <x v="2"/>
    <x v="89"/>
    <x v="2"/>
    <x v="2"/>
    <x v="3651"/>
    <x v="5355"/>
  </r>
  <r>
    <x v="3"/>
    <x v="0"/>
    <x v="2"/>
    <x v="194"/>
    <x v="6"/>
    <x v="695"/>
    <x v="1537"/>
    <x v="5356"/>
  </r>
  <r>
    <x v="3"/>
    <x v="0"/>
    <x v="2"/>
    <x v="161"/>
    <x v="22"/>
    <x v="348"/>
    <x v="3652"/>
    <x v="5357"/>
  </r>
  <r>
    <x v="1"/>
    <x v="0"/>
    <x v="2"/>
    <x v="4"/>
    <x v="17"/>
    <x v="830"/>
    <x v="3653"/>
    <x v="5358"/>
  </r>
  <r>
    <x v="3"/>
    <x v="0"/>
    <x v="2"/>
    <x v="215"/>
    <x v="27"/>
    <x v="36"/>
    <x v="1814"/>
    <x v="5359"/>
  </r>
  <r>
    <x v="1"/>
    <x v="0"/>
    <x v="1"/>
    <x v="84"/>
    <x v="6"/>
    <x v="83"/>
    <x v="2090"/>
    <x v="5360"/>
  </r>
  <r>
    <x v="2"/>
    <x v="0"/>
    <x v="2"/>
    <x v="131"/>
    <x v="24"/>
    <x v="714"/>
    <x v="3654"/>
    <x v="5361"/>
  </r>
  <r>
    <x v="1"/>
    <x v="0"/>
    <x v="1"/>
    <x v="218"/>
    <x v="6"/>
    <x v="169"/>
    <x v="3655"/>
    <x v="5362"/>
  </r>
  <r>
    <x v="1"/>
    <x v="0"/>
    <x v="1"/>
    <x v="147"/>
    <x v="7"/>
    <x v="55"/>
    <x v="1115"/>
    <x v="5363"/>
  </r>
  <r>
    <x v="1"/>
    <x v="0"/>
    <x v="2"/>
    <x v="126"/>
    <x v="20"/>
    <x v="740"/>
    <x v="2460"/>
    <x v="5364"/>
  </r>
  <r>
    <x v="2"/>
    <x v="0"/>
    <x v="2"/>
    <x v="63"/>
    <x v="21"/>
    <x v="580"/>
    <x v="3656"/>
    <x v="5365"/>
  </r>
  <r>
    <x v="0"/>
    <x v="0"/>
    <x v="0"/>
    <x v="151"/>
    <x v="1"/>
    <x v="332"/>
    <x v="3657"/>
    <x v="5366"/>
  </r>
  <r>
    <x v="3"/>
    <x v="0"/>
    <x v="2"/>
    <x v="147"/>
    <x v="13"/>
    <x v="255"/>
    <x v="3658"/>
    <x v="5367"/>
  </r>
  <r>
    <x v="0"/>
    <x v="0"/>
    <x v="2"/>
    <x v="223"/>
    <x v="12"/>
    <x v="120"/>
    <x v="872"/>
    <x v="5368"/>
  </r>
  <r>
    <x v="3"/>
    <x v="0"/>
    <x v="2"/>
    <x v="238"/>
    <x v="17"/>
    <x v="36"/>
    <x v="2035"/>
    <x v="5369"/>
  </r>
  <r>
    <x v="1"/>
    <x v="0"/>
    <x v="2"/>
    <x v="159"/>
    <x v="23"/>
    <x v="481"/>
    <x v="527"/>
    <x v="5370"/>
  </r>
  <r>
    <x v="1"/>
    <x v="0"/>
    <x v="1"/>
    <x v="185"/>
    <x v="5"/>
    <x v="252"/>
    <x v="1892"/>
    <x v="5371"/>
  </r>
  <r>
    <x v="1"/>
    <x v="0"/>
    <x v="1"/>
    <x v="125"/>
    <x v="10"/>
    <x v="748"/>
    <x v="3659"/>
    <x v="5372"/>
  </r>
  <r>
    <x v="0"/>
    <x v="0"/>
    <x v="2"/>
    <x v="98"/>
    <x v="1"/>
    <x v="254"/>
    <x v="1938"/>
    <x v="5373"/>
  </r>
  <r>
    <x v="1"/>
    <x v="0"/>
    <x v="1"/>
    <x v="161"/>
    <x v="0"/>
    <x v="557"/>
    <x v="3660"/>
    <x v="5374"/>
  </r>
  <r>
    <x v="0"/>
    <x v="0"/>
    <x v="0"/>
    <x v="144"/>
    <x v="1"/>
    <x v="506"/>
    <x v="1958"/>
    <x v="5375"/>
  </r>
  <r>
    <x v="3"/>
    <x v="0"/>
    <x v="2"/>
    <x v="65"/>
    <x v="13"/>
    <x v="650"/>
    <x v="1414"/>
    <x v="5376"/>
  </r>
  <r>
    <x v="1"/>
    <x v="0"/>
    <x v="1"/>
    <x v="2"/>
    <x v="1"/>
    <x v="96"/>
    <x v="3012"/>
    <x v="5377"/>
  </r>
  <r>
    <x v="3"/>
    <x v="0"/>
    <x v="2"/>
    <x v="222"/>
    <x v="0"/>
    <x v="741"/>
    <x v="3661"/>
    <x v="5378"/>
  </r>
  <r>
    <x v="0"/>
    <x v="0"/>
    <x v="0"/>
    <x v="6"/>
    <x v="22"/>
    <x v="54"/>
    <x v="1674"/>
    <x v="5379"/>
  </r>
  <r>
    <x v="0"/>
    <x v="0"/>
    <x v="0"/>
    <x v="238"/>
    <x v="6"/>
    <x v="45"/>
    <x v="1921"/>
    <x v="5380"/>
  </r>
  <r>
    <x v="0"/>
    <x v="0"/>
    <x v="2"/>
    <x v="4"/>
    <x v="14"/>
    <x v="3"/>
    <x v="2166"/>
    <x v="5381"/>
  </r>
  <r>
    <x v="3"/>
    <x v="0"/>
    <x v="2"/>
    <x v="151"/>
    <x v="22"/>
    <x v="491"/>
    <x v="1178"/>
    <x v="5382"/>
  </r>
  <r>
    <x v="0"/>
    <x v="0"/>
    <x v="2"/>
    <x v="149"/>
    <x v="24"/>
    <x v="142"/>
    <x v="3662"/>
    <x v="5383"/>
  </r>
  <r>
    <x v="1"/>
    <x v="0"/>
    <x v="2"/>
    <x v="138"/>
    <x v="10"/>
    <x v="440"/>
    <x v="2770"/>
    <x v="5384"/>
  </r>
  <r>
    <x v="1"/>
    <x v="0"/>
    <x v="2"/>
    <x v="54"/>
    <x v="8"/>
    <x v="792"/>
    <x v="2902"/>
    <x v="5385"/>
  </r>
  <r>
    <x v="0"/>
    <x v="0"/>
    <x v="0"/>
    <x v="207"/>
    <x v="6"/>
    <x v="7"/>
    <x v="3663"/>
    <x v="5386"/>
  </r>
  <r>
    <x v="2"/>
    <x v="0"/>
    <x v="2"/>
    <x v="146"/>
    <x v="16"/>
    <x v="16"/>
    <x v="3664"/>
    <x v="5387"/>
  </r>
  <r>
    <x v="0"/>
    <x v="0"/>
    <x v="0"/>
    <x v="248"/>
    <x v="1"/>
    <x v="27"/>
    <x v="2038"/>
    <x v="5388"/>
  </r>
  <r>
    <x v="0"/>
    <x v="0"/>
    <x v="0"/>
    <x v="43"/>
    <x v="6"/>
    <x v="715"/>
    <x v="2796"/>
    <x v="5389"/>
  </r>
  <r>
    <x v="0"/>
    <x v="0"/>
    <x v="0"/>
    <x v="7"/>
    <x v="5"/>
    <x v="7"/>
    <x v="3598"/>
    <x v="5390"/>
  </r>
  <r>
    <x v="3"/>
    <x v="0"/>
    <x v="2"/>
    <x v="118"/>
    <x v="9"/>
    <x v="258"/>
    <x v="3665"/>
    <x v="5391"/>
  </r>
  <r>
    <x v="0"/>
    <x v="0"/>
    <x v="0"/>
    <x v="80"/>
    <x v="1"/>
    <x v="269"/>
    <x v="3666"/>
    <x v="5392"/>
  </r>
  <r>
    <x v="2"/>
    <x v="0"/>
    <x v="2"/>
    <x v="177"/>
    <x v="12"/>
    <x v="368"/>
    <x v="1150"/>
    <x v="5393"/>
  </r>
  <r>
    <x v="2"/>
    <x v="0"/>
    <x v="2"/>
    <x v="106"/>
    <x v="15"/>
    <x v="848"/>
    <x v="3667"/>
    <x v="5394"/>
  </r>
  <r>
    <x v="1"/>
    <x v="0"/>
    <x v="1"/>
    <x v="4"/>
    <x v="28"/>
    <x v="90"/>
    <x v="3668"/>
    <x v="5395"/>
  </r>
  <r>
    <x v="0"/>
    <x v="0"/>
    <x v="2"/>
    <x v="25"/>
    <x v="17"/>
    <x v="80"/>
    <x v="1309"/>
    <x v="5396"/>
  </r>
  <r>
    <x v="0"/>
    <x v="0"/>
    <x v="0"/>
    <x v="194"/>
    <x v="8"/>
    <x v="784"/>
    <x v="2494"/>
    <x v="5397"/>
  </r>
  <r>
    <x v="0"/>
    <x v="0"/>
    <x v="2"/>
    <x v="45"/>
    <x v="11"/>
    <x v="43"/>
    <x v="1951"/>
    <x v="5398"/>
  </r>
  <r>
    <x v="1"/>
    <x v="0"/>
    <x v="2"/>
    <x v="62"/>
    <x v="5"/>
    <x v="61"/>
    <x v="3431"/>
    <x v="5399"/>
  </r>
  <r>
    <x v="3"/>
    <x v="0"/>
    <x v="2"/>
    <x v="189"/>
    <x v="0"/>
    <x v="546"/>
    <x v="2880"/>
    <x v="5400"/>
  </r>
  <r>
    <x v="0"/>
    <x v="0"/>
    <x v="2"/>
    <x v="73"/>
    <x v="5"/>
    <x v="380"/>
    <x v="3578"/>
    <x v="5401"/>
  </r>
  <r>
    <x v="2"/>
    <x v="0"/>
    <x v="2"/>
    <x v="110"/>
    <x v="10"/>
    <x v="743"/>
    <x v="3332"/>
    <x v="5402"/>
  </r>
  <r>
    <x v="0"/>
    <x v="0"/>
    <x v="0"/>
    <x v="34"/>
    <x v="10"/>
    <x v="324"/>
    <x v="1341"/>
    <x v="5403"/>
  </r>
  <r>
    <x v="0"/>
    <x v="0"/>
    <x v="2"/>
    <x v="76"/>
    <x v="16"/>
    <x v="65"/>
    <x v="2963"/>
    <x v="5404"/>
  </r>
  <r>
    <x v="0"/>
    <x v="0"/>
    <x v="0"/>
    <x v="125"/>
    <x v="24"/>
    <x v="561"/>
    <x v="3669"/>
    <x v="5405"/>
  </r>
  <r>
    <x v="0"/>
    <x v="0"/>
    <x v="0"/>
    <x v="206"/>
    <x v="5"/>
    <x v="101"/>
    <x v="3019"/>
    <x v="5406"/>
  </r>
  <r>
    <x v="3"/>
    <x v="0"/>
    <x v="2"/>
    <x v="131"/>
    <x v="5"/>
    <x v="835"/>
    <x v="2174"/>
    <x v="5407"/>
  </r>
  <r>
    <x v="0"/>
    <x v="0"/>
    <x v="2"/>
    <x v="210"/>
    <x v="0"/>
    <x v="114"/>
    <x v="3670"/>
    <x v="5408"/>
  </r>
  <r>
    <x v="1"/>
    <x v="0"/>
    <x v="2"/>
    <x v="192"/>
    <x v="2"/>
    <x v="2"/>
    <x v="3411"/>
    <x v="5409"/>
  </r>
  <r>
    <x v="1"/>
    <x v="0"/>
    <x v="1"/>
    <x v="212"/>
    <x v="7"/>
    <x v="26"/>
    <x v="631"/>
    <x v="5410"/>
  </r>
  <r>
    <x v="0"/>
    <x v="0"/>
    <x v="0"/>
    <x v="43"/>
    <x v="7"/>
    <x v="518"/>
    <x v="3671"/>
    <x v="5411"/>
  </r>
  <r>
    <x v="1"/>
    <x v="0"/>
    <x v="1"/>
    <x v="85"/>
    <x v="27"/>
    <x v="311"/>
    <x v="1437"/>
    <x v="5412"/>
  </r>
  <r>
    <x v="0"/>
    <x v="0"/>
    <x v="0"/>
    <x v="192"/>
    <x v="6"/>
    <x v="154"/>
    <x v="179"/>
    <x v="5413"/>
  </r>
  <r>
    <x v="0"/>
    <x v="0"/>
    <x v="2"/>
    <x v="211"/>
    <x v="10"/>
    <x v="855"/>
    <x v="2105"/>
    <x v="5414"/>
  </r>
  <r>
    <x v="1"/>
    <x v="0"/>
    <x v="1"/>
    <x v="203"/>
    <x v="7"/>
    <x v="338"/>
    <x v="3672"/>
    <x v="5415"/>
  </r>
  <r>
    <x v="1"/>
    <x v="0"/>
    <x v="2"/>
    <x v="228"/>
    <x v="1"/>
    <x v="643"/>
    <x v="3295"/>
    <x v="5416"/>
  </r>
  <r>
    <x v="1"/>
    <x v="0"/>
    <x v="2"/>
    <x v="2"/>
    <x v="11"/>
    <x v="337"/>
    <x v="61"/>
    <x v="5417"/>
  </r>
  <r>
    <x v="0"/>
    <x v="0"/>
    <x v="2"/>
    <x v="48"/>
    <x v="25"/>
    <x v="114"/>
    <x v="2017"/>
    <x v="5418"/>
  </r>
  <r>
    <x v="0"/>
    <x v="0"/>
    <x v="0"/>
    <x v="169"/>
    <x v="15"/>
    <x v="511"/>
    <x v="3673"/>
    <x v="992"/>
  </r>
  <r>
    <x v="3"/>
    <x v="0"/>
    <x v="2"/>
    <x v="158"/>
    <x v="0"/>
    <x v="551"/>
    <x v="3674"/>
    <x v="5419"/>
  </r>
  <r>
    <x v="0"/>
    <x v="0"/>
    <x v="0"/>
    <x v="200"/>
    <x v="6"/>
    <x v="465"/>
    <x v="3675"/>
    <x v="5420"/>
  </r>
  <r>
    <x v="1"/>
    <x v="0"/>
    <x v="2"/>
    <x v="150"/>
    <x v="1"/>
    <x v="815"/>
    <x v="3543"/>
    <x v="5421"/>
  </r>
  <r>
    <x v="3"/>
    <x v="0"/>
    <x v="2"/>
    <x v="197"/>
    <x v="23"/>
    <x v="449"/>
    <x v="2512"/>
    <x v="5422"/>
  </r>
  <r>
    <x v="1"/>
    <x v="0"/>
    <x v="2"/>
    <x v="26"/>
    <x v="13"/>
    <x v="38"/>
    <x v="3676"/>
    <x v="5423"/>
  </r>
  <r>
    <x v="2"/>
    <x v="0"/>
    <x v="2"/>
    <x v="76"/>
    <x v="10"/>
    <x v="159"/>
    <x v="1541"/>
    <x v="5424"/>
  </r>
  <r>
    <x v="0"/>
    <x v="0"/>
    <x v="2"/>
    <x v="156"/>
    <x v="11"/>
    <x v="433"/>
    <x v="3677"/>
    <x v="5425"/>
  </r>
  <r>
    <x v="0"/>
    <x v="0"/>
    <x v="0"/>
    <x v="47"/>
    <x v="9"/>
    <x v="304"/>
    <x v="2691"/>
    <x v="5426"/>
  </r>
  <r>
    <x v="2"/>
    <x v="0"/>
    <x v="2"/>
    <x v="116"/>
    <x v="8"/>
    <x v="867"/>
    <x v="3678"/>
    <x v="5427"/>
  </r>
  <r>
    <x v="0"/>
    <x v="0"/>
    <x v="0"/>
    <x v="38"/>
    <x v="6"/>
    <x v="299"/>
    <x v="3679"/>
    <x v="5428"/>
  </r>
  <r>
    <x v="0"/>
    <x v="0"/>
    <x v="2"/>
    <x v="21"/>
    <x v="14"/>
    <x v="724"/>
    <x v="3680"/>
    <x v="5429"/>
  </r>
  <r>
    <x v="1"/>
    <x v="0"/>
    <x v="1"/>
    <x v="42"/>
    <x v="2"/>
    <x v="2"/>
    <x v="3681"/>
    <x v="5430"/>
  </r>
  <r>
    <x v="0"/>
    <x v="0"/>
    <x v="2"/>
    <x v="45"/>
    <x v="5"/>
    <x v="612"/>
    <x v="801"/>
    <x v="5431"/>
  </r>
  <r>
    <x v="1"/>
    <x v="0"/>
    <x v="1"/>
    <x v="51"/>
    <x v="7"/>
    <x v="214"/>
    <x v="1460"/>
    <x v="5432"/>
  </r>
  <r>
    <x v="1"/>
    <x v="0"/>
    <x v="1"/>
    <x v="70"/>
    <x v="24"/>
    <x v="165"/>
    <x v="864"/>
    <x v="5433"/>
  </r>
  <r>
    <x v="3"/>
    <x v="0"/>
    <x v="2"/>
    <x v="114"/>
    <x v="27"/>
    <x v="304"/>
    <x v="1040"/>
    <x v="5434"/>
  </r>
  <r>
    <x v="1"/>
    <x v="0"/>
    <x v="1"/>
    <x v="139"/>
    <x v="8"/>
    <x v="802"/>
    <x v="2942"/>
    <x v="5435"/>
  </r>
  <r>
    <x v="0"/>
    <x v="0"/>
    <x v="0"/>
    <x v="84"/>
    <x v="10"/>
    <x v="377"/>
    <x v="3682"/>
    <x v="5436"/>
  </r>
  <r>
    <x v="0"/>
    <x v="0"/>
    <x v="0"/>
    <x v="100"/>
    <x v="11"/>
    <x v="106"/>
    <x v="3683"/>
    <x v="5437"/>
  </r>
  <r>
    <x v="2"/>
    <x v="0"/>
    <x v="2"/>
    <x v="5"/>
    <x v="3"/>
    <x v="546"/>
    <x v="1015"/>
    <x v="5438"/>
  </r>
  <r>
    <x v="0"/>
    <x v="0"/>
    <x v="2"/>
    <x v="73"/>
    <x v="6"/>
    <x v="697"/>
    <x v="2505"/>
    <x v="5439"/>
  </r>
  <r>
    <x v="3"/>
    <x v="0"/>
    <x v="2"/>
    <x v="231"/>
    <x v="13"/>
    <x v="307"/>
    <x v="3610"/>
    <x v="5440"/>
  </r>
  <r>
    <x v="2"/>
    <x v="0"/>
    <x v="2"/>
    <x v="72"/>
    <x v="3"/>
    <x v="905"/>
    <x v="3684"/>
    <x v="5441"/>
  </r>
  <r>
    <x v="0"/>
    <x v="0"/>
    <x v="2"/>
    <x v="18"/>
    <x v="6"/>
    <x v="134"/>
    <x v="409"/>
    <x v="4726"/>
  </r>
  <r>
    <x v="0"/>
    <x v="0"/>
    <x v="2"/>
    <x v="222"/>
    <x v="11"/>
    <x v="586"/>
    <x v="3685"/>
    <x v="5442"/>
  </r>
  <r>
    <x v="3"/>
    <x v="0"/>
    <x v="2"/>
    <x v="144"/>
    <x v="11"/>
    <x v="637"/>
    <x v="3553"/>
    <x v="5443"/>
  </r>
  <r>
    <x v="0"/>
    <x v="0"/>
    <x v="2"/>
    <x v="30"/>
    <x v="6"/>
    <x v="237"/>
    <x v="2056"/>
    <x v="5444"/>
  </r>
  <r>
    <x v="1"/>
    <x v="0"/>
    <x v="1"/>
    <x v="65"/>
    <x v="13"/>
    <x v="650"/>
    <x v="1523"/>
    <x v="5445"/>
  </r>
  <r>
    <x v="0"/>
    <x v="0"/>
    <x v="0"/>
    <x v="90"/>
    <x v="5"/>
    <x v="194"/>
    <x v="3686"/>
    <x v="5446"/>
  </r>
  <r>
    <x v="0"/>
    <x v="0"/>
    <x v="0"/>
    <x v="207"/>
    <x v="24"/>
    <x v="594"/>
    <x v="668"/>
    <x v="5447"/>
  </r>
  <r>
    <x v="1"/>
    <x v="0"/>
    <x v="1"/>
    <x v="181"/>
    <x v="2"/>
    <x v="2"/>
    <x v="2229"/>
    <x v="5448"/>
  </r>
  <r>
    <x v="3"/>
    <x v="0"/>
    <x v="2"/>
    <x v="223"/>
    <x v="6"/>
    <x v="577"/>
    <x v="3687"/>
    <x v="5449"/>
  </r>
  <r>
    <x v="0"/>
    <x v="0"/>
    <x v="0"/>
    <x v="97"/>
    <x v="24"/>
    <x v="311"/>
    <x v="2193"/>
    <x v="5450"/>
  </r>
  <r>
    <x v="2"/>
    <x v="0"/>
    <x v="2"/>
    <x v="137"/>
    <x v="1"/>
    <x v="174"/>
    <x v="1326"/>
    <x v="5451"/>
  </r>
  <r>
    <x v="0"/>
    <x v="0"/>
    <x v="2"/>
    <x v="119"/>
    <x v="15"/>
    <x v="337"/>
    <x v="2369"/>
    <x v="5452"/>
  </r>
  <r>
    <x v="0"/>
    <x v="0"/>
    <x v="2"/>
    <x v="164"/>
    <x v="10"/>
    <x v="0"/>
    <x v="1766"/>
    <x v="5453"/>
  </r>
  <r>
    <x v="0"/>
    <x v="0"/>
    <x v="0"/>
    <x v="132"/>
    <x v="1"/>
    <x v="254"/>
    <x v="3688"/>
    <x v="5454"/>
  </r>
  <r>
    <x v="2"/>
    <x v="0"/>
    <x v="2"/>
    <x v="201"/>
    <x v="3"/>
    <x v="844"/>
    <x v="3689"/>
    <x v="5455"/>
  </r>
  <r>
    <x v="0"/>
    <x v="0"/>
    <x v="0"/>
    <x v="33"/>
    <x v="3"/>
    <x v="47"/>
    <x v="2593"/>
    <x v="5456"/>
  </r>
  <r>
    <x v="0"/>
    <x v="0"/>
    <x v="2"/>
    <x v="235"/>
    <x v="24"/>
    <x v="662"/>
    <x v="3690"/>
    <x v="5457"/>
  </r>
  <r>
    <x v="0"/>
    <x v="0"/>
    <x v="2"/>
    <x v="42"/>
    <x v="0"/>
    <x v="286"/>
    <x v="1010"/>
    <x v="5458"/>
  </r>
  <r>
    <x v="3"/>
    <x v="0"/>
    <x v="2"/>
    <x v="182"/>
    <x v="19"/>
    <x v="349"/>
    <x v="634"/>
    <x v="5459"/>
  </r>
  <r>
    <x v="2"/>
    <x v="0"/>
    <x v="2"/>
    <x v="236"/>
    <x v="14"/>
    <x v="216"/>
    <x v="2254"/>
    <x v="5460"/>
  </r>
  <r>
    <x v="2"/>
    <x v="0"/>
    <x v="2"/>
    <x v="225"/>
    <x v="11"/>
    <x v="876"/>
    <x v="2457"/>
    <x v="5461"/>
  </r>
  <r>
    <x v="2"/>
    <x v="0"/>
    <x v="2"/>
    <x v="248"/>
    <x v="5"/>
    <x v="797"/>
    <x v="3691"/>
    <x v="5462"/>
  </r>
  <r>
    <x v="1"/>
    <x v="0"/>
    <x v="2"/>
    <x v="247"/>
    <x v="10"/>
    <x v="897"/>
    <x v="3566"/>
    <x v="5463"/>
  </r>
  <r>
    <x v="0"/>
    <x v="0"/>
    <x v="0"/>
    <x v="242"/>
    <x v="10"/>
    <x v="455"/>
    <x v="3692"/>
    <x v="5464"/>
  </r>
  <r>
    <x v="2"/>
    <x v="0"/>
    <x v="2"/>
    <x v="232"/>
    <x v="14"/>
    <x v="142"/>
    <x v="3693"/>
    <x v="5465"/>
  </r>
  <r>
    <x v="2"/>
    <x v="0"/>
    <x v="2"/>
    <x v="60"/>
    <x v="17"/>
    <x v="312"/>
    <x v="788"/>
    <x v="5466"/>
  </r>
  <r>
    <x v="0"/>
    <x v="0"/>
    <x v="2"/>
    <x v="250"/>
    <x v="11"/>
    <x v="863"/>
    <x v="3694"/>
    <x v="5467"/>
  </r>
  <r>
    <x v="1"/>
    <x v="0"/>
    <x v="1"/>
    <x v="27"/>
    <x v="15"/>
    <x v="761"/>
    <x v="2684"/>
    <x v="5468"/>
  </r>
  <r>
    <x v="0"/>
    <x v="0"/>
    <x v="2"/>
    <x v="51"/>
    <x v="20"/>
    <x v="50"/>
    <x v="2858"/>
    <x v="5469"/>
  </r>
  <r>
    <x v="2"/>
    <x v="0"/>
    <x v="2"/>
    <x v="154"/>
    <x v="14"/>
    <x v="193"/>
    <x v="3483"/>
    <x v="5470"/>
  </r>
  <r>
    <x v="0"/>
    <x v="0"/>
    <x v="0"/>
    <x v="202"/>
    <x v="8"/>
    <x v="575"/>
    <x v="3695"/>
    <x v="5471"/>
  </r>
  <r>
    <x v="1"/>
    <x v="0"/>
    <x v="2"/>
    <x v="41"/>
    <x v="7"/>
    <x v="820"/>
    <x v="3297"/>
    <x v="5472"/>
  </r>
  <r>
    <x v="1"/>
    <x v="0"/>
    <x v="2"/>
    <x v="240"/>
    <x v="1"/>
    <x v="548"/>
    <x v="3290"/>
    <x v="5473"/>
  </r>
  <r>
    <x v="3"/>
    <x v="0"/>
    <x v="2"/>
    <x v="67"/>
    <x v="13"/>
    <x v="319"/>
    <x v="3696"/>
    <x v="5474"/>
  </r>
  <r>
    <x v="2"/>
    <x v="0"/>
    <x v="2"/>
    <x v="72"/>
    <x v="20"/>
    <x v="792"/>
    <x v="2268"/>
    <x v="5475"/>
  </r>
  <r>
    <x v="1"/>
    <x v="0"/>
    <x v="2"/>
    <x v="15"/>
    <x v="1"/>
    <x v="731"/>
    <x v="1843"/>
    <x v="5476"/>
  </r>
  <r>
    <x v="1"/>
    <x v="0"/>
    <x v="1"/>
    <x v="48"/>
    <x v="9"/>
    <x v="464"/>
    <x v="3697"/>
    <x v="5477"/>
  </r>
  <r>
    <x v="3"/>
    <x v="0"/>
    <x v="2"/>
    <x v="234"/>
    <x v="1"/>
    <x v="436"/>
    <x v="3698"/>
    <x v="5478"/>
  </r>
  <r>
    <x v="0"/>
    <x v="0"/>
    <x v="0"/>
    <x v="169"/>
    <x v="6"/>
    <x v="353"/>
    <x v="3045"/>
    <x v="5479"/>
  </r>
  <r>
    <x v="3"/>
    <x v="0"/>
    <x v="2"/>
    <x v="53"/>
    <x v="22"/>
    <x v="843"/>
    <x v="3699"/>
    <x v="5480"/>
  </r>
  <r>
    <x v="0"/>
    <x v="0"/>
    <x v="0"/>
    <x v="183"/>
    <x v="11"/>
    <x v="428"/>
    <x v="3700"/>
    <x v="5481"/>
  </r>
  <r>
    <x v="0"/>
    <x v="0"/>
    <x v="0"/>
    <x v="191"/>
    <x v="13"/>
    <x v="315"/>
    <x v="1798"/>
    <x v="5482"/>
  </r>
  <r>
    <x v="3"/>
    <x v="0"/>
    <x v="2"/>
    <x v="216"/>
    <x v="10"/>
    <x v="637"/>
    <x v="3353"/>
    <x v="5483"/>
  </r>
  <r>
    <x v="2"/>
    <x v="0"/>
    <x v="2"/>
    <x v="114"/>
    <x v="8"/>
    <x v="745"/>
    <x v="911"/>
    <x v="5484"/>
  </r>
  <r>
    <x v="1"/>
    <x v="0"/>
    <x v="2"/>
    <x v="190"/>
    <x v="24"/>
    <x v="338"/>
    <x v="1250"/>
    <x v="4396"/>
  </r>
  <r>
    <x v="1"/>
    <x v="0"/>
    <x v="1"/>
    <x v="74"/>
    <x v="2"/>
    <x v="2"/>
    <x v="3701"/>
    <x v="5485"/>
  </r>
  <r>
    <x v="0"/>
    <x v="0"/>
    <x v="0"/>
    <x v="160"/>
    <x v="5"/>
    <x v="259"/>
    <x v="2568"/>
    <x v="5486"/>
  </r>
  <r>
    <x v="0"/>
    <x v="0"/>
    <x v="2"/>
    <x v="183"/>
    <x v="16"/>
    <x v="656"/>
    <x v="999"/>
    <x v="5487"/>
  </r>
  <r>
    <x v="1"/>
    <x v="0"/>
    <x v="1"/>
    <x v="159"/>
    <x v="12"/>
    <x v="61"/>
    <x v="1224"/>
    <x v="5488"/>
  </r>
  <r>
    <x v="1"/>
    <x v="0"/>
    <x v="1"/>
    <x v="140"/>
    <x v="24"/>
    <x v="406"/>
    <x v="2374"/>
    <x v="5489"/>
  </r>
  <r>
    <x v="0"/>
    <x v="0"/>
    <x v="0"/>
    <x v="91"/>
    <x v="17"/>
    <x v="91"/>
    <x v="3702"/>
    <x v="5490"/>
  </r>
  <r>
    <x v="0"/>
    <x v="0"/>
    <x v="0"/>
    <x v="62"/>
    <x v="1"/>
    <x v="200"/>
    <x v="582"/>
    <x v="5491"/>
  </r>
  <r>
    <x v="3"/>
    <x v="0"/>
    <x v="2"/>
    <x v="101"/>
    <x v="0"/>
    <x v="100"/>
    <x v="899"/>
    <x v="5492"/>
  </r>
  <r>
    <x v="1"/>
    <x v="0"/>
    <x v="2"/>
    <x v="180"/>
    <x v="5"/>
    <x v="615"/>
    <x v="676"/>
    <x v="5493"/>
  </r>
  <r>
    <x v="1"/>
    <x v="0"/>
    <x v="1"/>
    <x v="182"/>
    <x v="0"/>
    <x v="434"/>
    <x v="3574"/>
    <x v="5494"/>
  </r>
  <r>
    <x v="0"/>
    <x v="0"/>
    <x v="0"/>
    <x v="133"/>
    <x v="15"/>
    <x v="439"/>
    <x v="2975"/>
    <x v="5495"/>
  </r>
  <r>
    <x v="3"/>
    <x v="0"/>
    <x v="2"/>
    <x v="147"/>
    <x v="11"/>
    <x v="632"/>
    <x v="1401"/>
    <x v="5496"/>
  </r>
  <r>
    <x v="3"/>
    <x v="0"/>
    <x v="2"/>
    <x v="18"/>
    <x v="14"/>
    <x v="670"/>
    <x v="28"/>
    <x v="5497"/>
  </r>
  <r>
    <x v="3"/>
    <x v="0"/>
    <x v="2"/>
    <x v="219"/>
    <x v="8"/>
    <x v="634"/>
    <x v="3703"/>
    <x v="5498"/>
  </r>
  <r>
    <x v="1"/>
    <x v="0"/>
    <x v="1"/>
    <x v="166"/>
    <x v="22"/>
    <x v="235"/>
    <x v="3704"/>
    <x v="5499"/>
  </r>
  <r>
    <x v="0"/>
    <x v="0"/>
    <x v="0"/>
    <x v="69"/>
    <x v="18"/>
    <x v="493"/>
    <x v="3705"/>
    <x v="5500"/>
  </r>
  <r>
    <x v="1"/>
    <x v="0"/>
    <x v="2"/>
    <x v="34"/>
    <x v="0"/>
    <x v="634"/>
    <x v="1175"/>
    <x v="5501"/>
  </r>
  <r>
    <x v="0"/>
    <x v="0"/>
    <x v="2"/>
    <x v="67"/>
    <x v="23"/>
    <x v="77"/>
    <x v="1389"/>
    <x v="5502"/>
  </r>
  <r>
    <x v="0"/>
    <x v="0"/>
    <x v="2"/>
    <x v="193"/>
    <x v="16"/>
    <x v="107"/>
    <x v="3706"/>
    <x v="5503"/>
  </r>
  <r>
    <x v="0"/>
    <x v="0"/>
    <x v="0"/>
    <x v="31"/>
    <x v="6"/>
    <x v="879"/>
    <x v="925"/>
    <x v="5504"/>
  </r>
  <r>
    <x v="3"/>
    <x v="0"/>
    <x v="2"/>
    <x v="213"/>
    <x v="2"/>
    <x v="2"/>
    <x v="3557"/>
    <x v="5505"/>
  </r>
  <r>
    <x v="3"/>
    <x v="0"/>
    <x v="2"/>
    <x v="246"/>
    <x v="25"/>
    <x v="365"/>
    <x v="3603"/>
    <x v="5506"/>
  </r>
  <r>
    <x v="1"/>
    <x v="0"/>
    <x v="1"/>
    <x v="200"/>
    <x v="17"/>
    <x v="105"/>
    <x v="3707"/>
    <x v="5507"/>
  </r>
  <r>
    <x v="3"/>
    <x v="0"/>
    <x v="2"/>
    <x v="46"/>
    <x v="16"/>
    <x v="35"/>
    <x v="3708"/>
    <x v="5508"/>
  </r>
  <r>
    <x v="3"/>
    <x v="0"/>
    <x v="2"/>
    <x v="15"/>
    <x v="2"/>
    <x v="2"/>
    <x v="3709"/>
    <x v="5509"/>
  </r>
  <r>
    <x v="2"/>
    <x v="0"/>
    <x v="2"/>
    <x v="23"/>
    <x v="13"/>
    <x v="782"/>
    <x v="3710"/>
    <x v="5510"/>
  </r>
  <r>
    <x v="1"/>
    <x v="0"/>
    <x v="2"/>
    <x v="62"/>
    <x v="1"/>
    <x v="200"/>
    <x v="3711"/>
    <x v="5511"/>
  </r>
  <r>
    <x v="0"/>
    <x v="0"/>
    <x v="0"/>
    <x v="117"/>
    <x v="5"/>
    <x v="901"/>
    <x v="2432"/>
    <x v="5512"/>
  </r>
  <r>
    <x v="0"/>
    <x v="0"/>
    <x v="0"/>
    <x v="226"/>
    <x v="17"/>
    <x v="531"/>
    <x v="3712"/>
    <x v="5513"/>
  </r>
  <r>
    <x v="1"/>
    <x v="0"/>
    <x v="2"/>
    <x v="122"/>
    <x v="26"/>
    <x v="533"/>
    <x v="3713"/>
    <x v="5514"/>
  </r>
  <r>
    <x v="1"/>
    <x v="0"/>
    <x v="1"/>
    <x v="148"/>
    <x v="6"/>
    <x v="52"/>
    <x v="1527"/>
    <x v="5515"/>
  </r>
  <r>
    <x v="0"/>
    <x v="0"/>
    <x v="0"/>
    <x v="60"/>
    <x v="13"/>
    <x v="152"/>
    <x v="2716"/>
    <x v="5516"/>
  </r>
  <r>
    <x v="0"/>
    <x v="0"/>
    <x v="2"/>
    <x v="19"/>
    <x v="0"/>
    <x v="211"/>
    <x v="3036"/>
    <x v="5517"/>
  </r>
  <r>
    <x v="0"/>
    <x v="0"/>
    <x v="2"/>
    <x v="216"/>
    <x v="1"/>
    <x v="590"/>
    <x v="3519"/>
    <x v="5518"/>
  </r>
  <r>
    <x v="1"/>
    <x v="0"/>
    <x v="2"/>
    <x v="161"/>
    <x v="17"/>
    <x v="45"/>
    <x v="447"/>
    <x v="5519"/>
  </r>
  <r>
    <x v="0"/>
    <x v="0"/>
    <x v="0"/>
    <x v="154"/>
    <x v="3"/>
    <x v="224"/>
    <x v="492"/>
    <x v="5520"/>
  </r>
  <r>
    <x v="1"/>
    <x v="0"/>
    <x v="2"/>
    <x v="203"/>
    <x v="17"/>
    <x v="299"/>
    <x v="243"/>
    <x v="5521"/>
  </r>
  <r>
    <x v="3"/>
    <x v="0"/>
    <x v="2"/>
    <x v="234"/>
    <x v="10"/>
    <x v="415"/>
    <x v="3714"/>
    <x v="5522"/>
  </r>
  <r>
    <x v="1"/>
    <x v="0"/>
    <x v="1"/>
    <x v="245"/>
    <x v="1"/>
    <x v="619"/>
    <x v="779"/>
    <x v="5523"/>
  </r>
  <r>
    <x v="1"/>
    <x v="0"/>
    <x v="1"/>
    <x v="141"/>
    <x v="24"/>
    <x v="212"/>
    <x v="531"/>
    <x v="5524"/>
  </r>
  <r>
    <x v="1"/>
    <x v="0"/>
    <x v="1"/>
    <x v="37"/>
    <x v="1"/>
    <x v="679"/>
    <x v="3715"/>
    <x v="5525"/>
  </r>
  <r>
    <x v="0"/>
    <x v="0"/>
    <x v="2"/>
    <x v="12"/>
    <x v="5"/>
    <x v="698"/>
    <x v="3716"/>
    <x v="5526"/>
  </r>
  <r>
    <x v="1"/>
    <x v="0"/>
    <x v="2"/>
    <x v="75"/>
    <x v="0"/>
    <x v="505"/>
    <x v="2764"/>
    <x v="5527"/>
  </r>
  <r>
    <x v="3"/>
    <x v="0"/>
    <x v="2"/>
    <x v="27"/>
    <x v="15"/>
    <x v="761"/>
    <x v="3717"/>
    <x v="5528"/>
  </r>
  <r>
    <x v="1"/>
    <x v="0"/>
    <x v="1"/>
    <x v="5"/>
    <x v="2"/>
    <x v="2"/>
    <x v="443"/>
    <x v="5529"/>
  </r>
  <r>
    <x v="0"/>
    <x v="0"/>
    <x v="2"/>
    <x v="186"/>
    <x v="7"/>
    <x v="576"/>
    <x v="3718"/>
    <x v="76"/>
  </r>
  <r>
    <x v="1"/>
    <x v="0"/>
    <x v="1"/>
    <x v="77"/>
    <x v="16"/>
    <x v="154"/>
    <x v="3652"/>
    <x v="5530"/>
  </r>
  <r>
    <x v="2"/>
    <x v="0"/>
    <x v="2"/>
    <x v="225"/>
    <x v="1"/>
    <x v="357"/>
    <x v="1115"/>
    <x v="5531"/>
  </r>
  <r>
    <x v="1"/>
    <x v="0"/>
    <x v="1"/>
    <x v="128"/>
    <x v="2"/>
    <x v="2"/>
    <x v="1195"/>
    <x v="5532"/>
  </r>
  <r>
    <x v="1"/>
    <x v="0"/>
    <x v="2"/>
    <x v="198"/>
    <x v="2"/>
    <x v="2"/>
    <x v="3719"/>
    <x v="5533"/>
  </r>
  <r>
    <x v="2"/>
    <x v="0"/>
    <x v="2"/>
    <x v="42"/>
    <x v="7"/>
    <x v="270"/>
    <x v="3720"/>
    <x v="5534"/>
  </r>
  <r>
    <x v="0"/>
    <x v="0"/>
    <x v="2"/>
    <x v="196"/>
    <x v="10"/>
    <x v="101"/>
    <x v="3226"/>
    <x v="5535"/>
  </r>
  <r>
    <x v="1"/>
    <x v="0"/>
    <x v="2"/>
    <x v="58"/>
    <x v="18"/>
    <x v="292"/>
    <x v="101"/>
    <x v="5536"/>
  </r>
  <r>
    <x v="1"/>
    <x v="0"/>
    <x v="1"/>
    <x v="31"/>
    <x v="15"/>
    <x v="213"/>
    <x v="3721"/>
    <x v="5537"/>
  </r>
  <r>
    <x v="0"/>
    <x v="0"/>
    <x v="0"/>
    <x v="149"/>
    <x v="22"/>
    <x v="799"/>
    <x v="3722"/>
    <x v="5538"/>
  </r>
  <r>
    <x v="2"/>
    <x v="0"/>
    <x v="2"/>
    <x v="247"/>
    <x v="17"/>
    <x v="502"/>
    <x v="963"/>
    <x v="5539"/>
  </r>
  <r>
    <x v="1"/>
    <x v="0"/>
    <x v="1"/>
    <x v="27"/>
    <x v="1"/>
    <x v="282"/>
    <x v="0"/>
    <x v="5540"/>
  </r>
  <r>
    <x v="0"/>
    <x v="0"/>
    <x v="0"/>
    <x v="66"/>
    <x v="5"/>
    <x v="674"/>
    <x v="2132"/>
    <x v="5541"/>
  </r>
  <r>
    <x v="1"/>
    <x v="0"/>
    <x v="2"/>
    <x v="141"/>
    <x v="20"/>
    <x v="610"/>
    <x v="3121"/>
    <x v="5542"/>
  </r>
  <r>
    <x v="3"/>
    <x v="0"/>
    <x v="2"/>
    <x v="63"/>
    <x v="12"/>
    <x v="834"/>
    <x v="3723"/>
    <x v="5543"/>
  </r>
  <r>
    <x v="0"/>
    <x v="0"/>
    <x v="2"/>
    <x v="142"/>
    <x v="16"/>
    <x v="819"/>
    <x v="3724"/>
    <x v="5544"/>
  </r>
  <r>
    <x v="1"/>
    <x v="0"/>
    <x v="1"/>
    <x v="109"/>
    <x v="24"/>
    <x v="127"/>
    <x v="3415"/>
    <x v="5545"/>
  </r>
  <r>
    <x v="1"/>
    <x v="0"/>
    <x v="2"/>
    <x v="70"/>
    <x v="16"/>
    <x v="67"/>
    <x v="3216"/>
    <x v="5546"/>
  </r>
  <r>
    <x v="1"/>
    <x v="0"/>
    <x v="2"/>
    <x v="250"/>
    <x v="5"/>
    <x v="510"/>
    <x v="2128"/>
    <x v="5547"/>
  </r>
  <r>
    <x v="0"/>
    <x v="0"/>
    <x v="0"/>
    <x v="127"/>
    <x v="0"/>
    <x v="780"/>
    <x v="1538"/>
    <x v="5548"/>
  </r>
  <r>
    <x v="0"/>
    <x v="0"/>
    <x v="2"/>
    <x v="53"/>
    <x v="4"/>
    <x v="603"/>
    <x v="3725"/>
    <x v="5549"/>
  </r>
  <r>
    <x v="0"/>
    <x v="0"/>
    <x v="0"/>
    <x v="98"/>
    <x v="22"/>
    <x v="74"/>
    <x v="1831"/>
    <x v="5550"/>
  </r>
  <r>
    <x v="0"/>
    <x v="0"/>
    <x v="2"/>
    <x v="133"/>
    <x v="16"/>
    <x v="0"/>
    <x v="3726"/>
    <x v="5551"/>
  </r>
  <r>
    <x v="3"/>
    <x v="0"/>
    <x v="2"/>
    <x v="133"/>
    <x v="17"/>
    <x v="142"/>
    <x v="3116"/>
    <x v="5552"/>
  </r>
  <r>
    <x v="0"/>
    <x v="0"/>
    <x v="2"/>
    <x v="187"/>
    <x v="7"/>
    <x v="104"/>
    <x v="3471"/>
    <x v="5553"/>
  </r>
  <r>
    <x v="0"/>
    <x v="0"/>
    <x v="0"/>
    <x v="93"/>
    <x v="1"/>
    <x v="278"/>
    <x v="2439"/>
    <x v="5554"/>
  </r>
  <r>
    <x v="2"/>
    <x v="0"/>
    <x v="2"/>
    <x v="27"/>
    <x v="11"/>
    <x v="253"/>
    <x v="3727"/>
    <x v="5555"/>
  </r>
  <r>
    <x v="2"/>
    <x v="0"/>
    <x v="2"/>
    <x v="99"/>
    <x v="16"/>
    <x v="257"/>
    <x v="2553"/>
    <x v="5556"/>
  </r>
  <r>
    <x v="1"/>
    <x v="0"/>
    <x v="2"/>
    <x v="177"/>
    <x v="2"/>
    <x v="2"/>
    <x v="3728"/>
    <x v="5557"/>
  </r>
  <r>
    <x v="1"/>
    <x v="0"/>
    <x v="1"/>
    <x v="23"/>
    <x v="25"/>
    <x v="50"/>
    <x v="3729"/>
    <x v="5558"/>
  </r>
  <r>
    <x v="0"/>
    <x v="0"/>
    <x v="2"/>
    <x v="53"/>
    <x v="25"/>
    <x v="845"/>
    <x v="3340"/>
    <x v="5559"/>
  </r>
  <r>
    <x v="0"/>
    <x v="0"/>
    <x v="0"/>
    <x v="182"/>
    <x v="0"/>
    <x v="434"/>
    <x v="3730"/>
    <x v="5560"/>
  </r>
  <r>
    <x v="1"/>
    <x v="0"/>
    <x v="2"/>
    <x v="178"/>
    <x v="21"/>
    <x v="383"/>
    <x v="3725"/>
    <x v="5561"/>
  </r>
  <r>
    <x v="2"/>
    <x v="0"/>
    <x v="2"/>
    <x v="55"/>
    <x v="0"/>
    <x v="61"/>
    <x v="3731"/>
    <x v="5562"/>
  </r>
  <r>
    <x v="0"/>
    <x v="0"/>
    <x v="2"/>
    <x v="13"/>
    <x v="0"/>
    <x v="7"/>
    <x v="3732"/>
    <x v="5563"/>
  </r>
  <r>
    <x v="0"/>
    <x v="0"/>
    <x v="2"/>
    <x v="52"/>
    <x v="8"/>
    <x v="70"/>
    <x v="646"/>
    <x v="5564"/>
  </r>
  <r>
    <x v="1"/>
    <x v="0"/>
    <x v="1"/>
    <x v="63"/>
    <x v="3"/>
    <x v="381"/>
    <x v="1237"/>
    <x v="5565"/>
  </r>
  <r>
    <x v="0"/>
    <x v="0"/>
    <x v="2"/>
    <x v="216"/>
    <x v="15"/>
    <x v="369"/>
    <x v="3733"/>
    <x v="5566"/>
  </r>
  <r>
    <x v="1"/>
    <x v="0"/>
    <x v="2"/>
    <x v="157"/>
    <x v="3"/>
    <x v="860"/>
    <x v="658"/>
    <x v="5567"/>
  </r>
  <r>
    <x v="1"/>
    <x v="0"/>
    <x v="1"/>
    <x v="233"/>
    <x v="14"/>
    <x v="415"/>
    <x v="3734"/>
    <x v="5568"/>
  </r>
  <r>
    <x v="0"/>
    <x v="0"/>
    <x v="0"/>
    <x v="5"/>
    <x v="2"/>
    <x v="2"/>
    <x v="3735"/>
    <x v="5569"/>
  </r>
  <r>
    <x v="1"/>
    <x v="0"/>
    <x v="1"/>
    <x v="87"/>
    <x v="15"/>
    <x v="223"/>
    <x v="1126"/>
    <x v="5570"/>
  </r>
  <r>
    <x v="1"/>
    <x v="0"/>
    <x v="2"/>
    <x v="137"/>
    <x v="13"/>
    <x v="577"/>
    <x v="3736"/>
    <x v="5571"/>
  </r>
  <r>
    <x v="0"/>
    <x v="0"/>
    <x v="2"/>
    <x v="23"/>
    <x v="18"/>
    <x v="582"/>
    <x v="2289"/>
    <x v="5572"/>
  </r>
  <r>
    <x v="2"/>
    <x v="0"/>
    <x v="2"/>
    <x v="87"/>
    <x v="7"/>
    <x v="172"/>
    <x v="3737"/>
    <x v="5573"/>
  </r>
  <r>
    <x v="0"/>
    <x v="0"/>
    <x v="0"/>
    <x v="68"/>
    <x v="22"/>
    <x v="65"/>
    <x v="2860"/>
    <x v="5574"/>
  </r>
  <r>
    <x v="1"/>
    <x v="0"/>
    <x v="1"/>
    <x v="245"/>
    <x v="5"/>
    <x v="528"/>
    <x v="3738"/>
    <x v="5575"/>
  </r>
  <r>
    <x v="0"/>
    <x v="0"/>
    <x v="0"/>
    <x v="142"/>
    <x v="5"/>
    <x v="906"/>
    <x v="1400"/>
    <x v="5576"/>
  </r>
  <r>
    <x v="1"/>
    <x v="0"/>
    <x v="2"/>
    <x v="3"/>
    <x v="15"/>
    <x v="691"/>
    <x v="3739"/>
    <x v="5577"/>
  </r>
  <r>
    <x v="1"/>
    <x v="0"/>
    <x v="2"/>
    <x v="12"/>
    <x v="17"/>
    <x v="103"/>
    <x v="3740"/>
    <x v="5578"/>
  </r>
  <r>
    <x v="2"/>
    <x v="0"/>
    <x v="2"/>
    <x v="160"/>
    <x v="7"/>
    <x v="201"/>
    <x v="2112"/>
    <x v="5579"/>
  </r>
  <r>
    <x v="2"/>
    <x v="0"/>
    <x v="2"/>
    <x v="92"/>
    <x v="17"/>
    <x v="451"/>
    <x v="2506"/>
    <x v="5580"/>
  </r>
  <r>
    <x v="1"/>
    <x v="0"/>
    <x v="2"/>
    <x v="245"/>
    <x v="10"/>
    <x v="391"/>
    <x v="3741"/>
    <x v="5581"/>
  </r>
  <r>
    <x v="0"/>
    <x v="0"/>
    <x v="2"/>
    <x v="36"/>
    <x v="13"/>
    <x v="319"/>
    <x v="3742"/>
    <x v="5582"/>
  </r>
  <r>
    <x v="0"/>
    <x v="0"/>
    <x v="2"/>
    <x v="63"/>
    <x v="25"/>
    <x v="193"/>
    <x v="3743"/>
    <x v="5583"/>
  </r>
  <r>
    <x v="3"/>
    <x v="0"/>
    <x v="2"/>
    <x v="208"/>
    <x v="24"/>
    <x v="795"/>
    <x v="326"/>
    <x v="5584"/>
  </r>
  <r>
    <x v="1"/>
    <x v="0"/>
    <x v="2"/>
    <x v="120"/>
    <x v="5"/>
    <x v="160"/>
    <x v="2757"/>
    <x v="5585"/>
  </r>
  <r>
    <x v="1"/>
    <x v="0"/>
    <x v="1"/>
    <x v="129"/>
    <x v="12"/>
    <x v="37"/>
    <x v="53"/>
    <x v="5586"/>
  </r>
  <r>
    <x v="0"/>
    <x v="0"/>
    <x v="2"/>
    <x v="129"/>
    <x v="1"/>
    <x v="625"/>
    <x v="973"/>
    <x v="5587"/>
  </r>
  <r>
    <x v="0"/>
    <x v="0"/>
    <x v="0"/>
    <x v="244"/>
    <x v="1"/>
    <x v="450"/>
    <x v="396"/>
    <x v="5588"/>
  </r>
  <r>
    <x v="1"/>
    <x v="0"/>
    <x v="2"/>
    <x v="140"/>
    <x v="10"/>
    <x v="814"/>
    <x v="3744"/>
    <x v="5589"/>
  </r>
  <r>
    <x v="1"/>
    <x v="0"/>
    <x v="2"/>
    <x v="97"/>
    <x v="6"/>
    <x v="562"/>
    <x v="1320"/>
    <x v="5590"/>
  </r>
  <r>
    <x v="1"/>
    <x v="0"/>
    <x v="1"/>
    <x v="18"/>
    <x v="22"/>
    <x v="523"/>
    <x v="3745"/>
    <x v="5591"/>
  </r>
  <r>
    <x v="3"/>
    <x v="0"/>
    <x v="2"/>
    <x v="39"/>
    <x v="2"/>
    <x v="2"/>
    <x v="1243"/>
    <x v="5592"/>
  </r>
  <r>
    <x v="0"/>
    <x v="0"/>
    <x v="2"/>
    <x v="133"/>
    <x v="16"/>
    <x v="0"/>
    <x v="1944"/>
    <x v="5593"/>
  </r>
  <r>
    <x v="3"/>
    <x v="0"/>
    <x v="2"/>
    <x v="51"/>
    <x v="10"/>
    <x v="123"/>
    <x v="1744"/>
    <x v="5594"/>
  </r>
  <r>
    <x v="0"/>
    <x v="0"/>
    <x v="0"/>
    <x v="1"/>
    <x v="13"/>
    <x v="141"/>
    <x v="523"/>
    <x v="5595"/>
  </r>
  <r>
    <x v="2"/>
    <x v="0"/>
    <x v="2"/>
    <x v="83"/>
    <x v="22"/>
    <x v="627"/>
    <x v="2281"/>
    <x v="5596"/>
  </r>
  <r>
    <x v="0"/>
    <x v="0"/>
    <x v="0"/>
    <x v="95"/>
    <x v="18"/>
    <x v="525"/>
    <x v="3746"/>
    <x v="921"/>
  </r>
  <r>
    <x v="2"/>
    <x v="0"/>
    <x v="2"/>
    <x v="214"/>
    <x v="13"/>
    <x v="430"/>
    <x v="1225"/>
    <x v="5597"/>
  </r>
  <r>
    <x v="0"/>
    <x v="0"/>
    <x v="2"/>
    <x v="8"/>
    <x v="15"/>
    <x v="199"/>
    <x v="1037"/>
    <x v="5598"/>
  </r>
  <r>
    <x v="1"/>
    <x v="0"/>
    <x v="1"/>
    <x v="11"/>
    <x v="10"/>
    <x v="9"/>
    <x v="3747"/>
    <x v="5599"/>
  </r>
  <r>
    <x v="0"/>
    <x v="0"/>
    <x v="0"/>
    <x v="228"/>
    <x v="0"/>
    <x v="619"/>
    <x v="2496"/>
    <x v="5600"/>
  </r>
  <r>
    <x v="2"/>
    <x v="0"/>
    <x v="2"/>
    <x v="112"/>
    <x v="18"/>
    <x v="128"/>
    <x v="2571"/>
    <x v="5601"/>
  </r>
  <r>
    <x v="1"/>
    <x v="0"/>
    <x v="2"/>
    <x v="67"/>
    <x v="16"/>
    <x v="697"/>
    <x v="861"/>
    <x v="5602"/>
  </r>
  <r>
    <x v="0"/>
    <x v="0"/>
    <x v="2"/>
    <x v="89"/>
    <x v="2"/>
    <x v="2"/>
    <x v="1707"/>
    <x v="5603"/>
  </r>
  <r>
    <x v="2"/>
    <x v="0"/>
    <x v="2"/>
    <x v="155"/>
    <x v="9"/>
    <x v="759"/>
    <x v="3748"/>
    <x v="5604"/>
  </r>
  <r>
    <x v="3"/>
    <x v="0"/>
    <x v="2"/>
    <x v="191"/>
    <x v="2"/>
    <x v="2"/>
    <x v="3749"/>
    <x v="5605"/>
  </r>
  <r>
    <x v="2"/>
    <x v="0"/>
    <x v="2"/>
    <x v="245"/>
    <x v="1"/>
    <x v="619"/>
    <x v="3750"/>
    <x v="5606"/>
  </r>
  <r>
    <x v="1"/>
    <x v="0"/>
    <x v="2"/>
    <x v="69"/>
    <x v="0"/>
    <x v="44"/>
    <x v="3751"/>
    <x v="5607"/>
  </r>
  <r>
    <x v="2"/>
    <x v="0"/>
    <x v="2"/>
    <x v="20"/>
    <x v="5"/>
    <x v="119"/>
    <x v="3752"/>
    <x v="5608"/>
  </r>
  <r>
    <x v="0"/>
    <x v="0"/>
    <x v="2"/>
    <x v="193"/>
    <x v="7"/>
    <x v="31"/>
    <x v="1477"/>
    <x v="5609"/>
  </r>
  <r>
    <x v="1"/>
    <x v="0"/>
    <x v="2"/>
    <x v="176"/>
    <x v="2"/>
    <x v="2"/>
    <x v="3753"/>
    <x v="5610"/>
  </r>
  <r>
    <x v="3"/>
    <x v="0"/>
    <x v="2"/>
    <x v="23"/>
    <x v="26"/>
    <x v="229"/>
    <x v="2660"/>
    <x v="5611"/>
  </r>
  <r>
    <x v="0"/>
    <x v="0"/>
    <x v="2"/>
    <x v="230"/>
    <x v="13"/>
    <x v="665"/>
    <x v="1572"/>
    <x v="5612"/>
  </r>
  <r>
    <x v="0"/>
    <x v="0"/>
    <x v="0"/>
    <x v="76"/>
    <x v="12"/>
    <x v="63"/>
    <x v="1614"/>
    <x v="5613"/>
  </r>
  <r>
    <x v="1"/>
    <x v="0"/>
    <x v="2"/>
    <x v="29"/>
    <x v="6"/>
    <x v="771"/>
    <x v="3754"/>
    <x v="5614"/>
  </r>
  <r>
    <x v="0"/>
    <x v="0"/>
    <x v="2"/>
    <x v="35"/>
    <x v="16"/>
    <x v="357"/>
    <x v="3755"/>
    <x v="5615"/>
  </r>
  <r>
    <x v="0"/>
    <x v="0"/>
    <x v="2"/>
    <x v="232"/>
    <x v="1"/>
    <x v="253"/>
    <x v="3756"/>
    <x v="5616"/>
  </r>
  <r>
    <x v="0"/>
    <x v="0"/>
    <x v="0"/>
    <x v="245"/>
    <x v="5"/>
    <x v="528"/>
    <x v="3757"/>
    <x v="5617"/>
  </r>
  <r>
    <x v="2"/>
    <x v="0"/>
    <x v="2"/>
    <x v="126"/>
    <x v="10"/>
    <x v="337"/>
    <x v="597"/>
    <x v="5618"/>
  </r>
  <r>
    <x v="1"/>
    <x v="0"/>
    <x v="1"/>
    <x v="58"/>
    <x v="16"/>
    <x v="3"/>
    <x v="3758"/>
    <x v="5619"/>
  </r>
  <r>
    <x v="2"/>
    <x v="0"/>
    <x v="2"/>
    <x v="122"/>
    <x v="5"/>
    <x v="356"/>
    <x v="1052"/>
    <x v="5620"/>
  </r>
  <r>
    <x v="1"/>
    <x v="0"/>
    <x v="1"/>
    <x v="144"/>
    <x v="0"/>
    <x v="376"/>
    <x v="3759"/>
    <x v="5621"/>
  </r>
  <r>
    <x v="1"/>
    <x v="0"/>
    <x v="2"/>
    <x v="190"/>
    <x v="25"/>
    <x v="92"/>
    <x v="1284"/>
    <x v="5622"/>
  </r>
  <r>
    <x v="2"/>
    <x v="0"/>
    <x v="2"/>
    <x v="217"/>
    <x v="15"/>
    <x v="418"/>
    <x v="3751"/>
    <x v="5623"/>
  </r>
  <r>
    <x v="0"/>
    <x v="0"/>
    <x v="0"/>
    <x v="19"/>
    <x v="0"/>
    <x v="211"/>
    <x v="3760"/>
    <x v="5624"/>
  </r>
  <r>
    <x v="0"/>
    <x v="0"/>
    <x v="0"/>
    <x v="154"/>
    <x v="12"/>
    <x v="137"/>
    <x v="1055"/>
    <x v="5625"/>
  </r>
  <r>
    <x v="1"/>
    <x v="0"/>
    <x v="2"/>
    <x v="182"/>
    <x v="3"/>
    <x v="766"/>
    <x v="3761"/>
    <x v="5626"/>
  </r>
  <r>
    <x v="0"/>
    <x v="0"/>
    <x v="2"/>
    <x v="103"/>
    <x v="1"/>
    <x v="545"/>
    <x v="3762"/>
    <x v="5627"/>
  </r>
  <r>
    <x v="0"/>
    <x v="0"/>
    <x v="0"/>
    <x v="189"/>
    <x v="10"/>
    <x v="907"/>
    <x v="3763"/>
    <x v="5628"/>
  </r>
  <r>
    <x v="2"/>
    <x v="0"/>
    <x v="2"/>
    <x v="76"/>
    <x v="24"/>
    <x v="644"/>
    <x v="3764"/>
    <x v="5629"/>
  </r>
  <r>
    <x v="0"/>
    <x v="0"/>
    <x v="2"/>
    <x v="61"/>
    <x v="22"/>
    <x v="466"/>
    <x v="963"/>
    <x v="5630"/>
  </r>
  <r>
    <x v="1"/>
    <x v="0"/>
    <x v="2"/>
    <x v="177"/>
    <x v="14"/>
    <x v="469"/>
    <x v="3765"/>
    <x v="5631"/>
  </r>
  <r>
    <x v="1"/>
    <x v="0"/>
    <x v="1"/>
    <x v="127"/>
    <x v="9"/>
    <x v="294"/>
    <x v="3766"/>
    <x v="5632"/>
  </r>
  <r>
    <x v="3"/>
    <x v="0"/>
    <x v="2"/>
    <x v="172"/>
    <x v="22"/>
    <x v="644"/>
    <x v="3767"/>
    <x v="5633"/>
  </r>
  <r>
    <x v="1"/>
    <x v="0"/>
    <x v="2"/>
    <x v="179"/>
    <x v="15"/>
    <x v="605"/>
    <x v="3768"/>
    <x v="5634"/>
  </r>
  <r>
    <x v="3"/>
    <x v="0"/>
    <x v="2"/>
    <x v="197"/>
    <x v="28"/>
    <x v="571"/>
    <x v="1035"/>
    <x v="5635"/>
  </r>
  <r>
    <x v="2"/>
    <x v="0"/>
    <x v="2"/>
    <x v="65"/>
    <x v="16"/>
    <x v="378"/>
    <x v="1904"/>
    <x v="5636"/>
  </r>
  <r>
    <x v="0"/>
    <x v="0"/>
    <x v="2"/>
    <x v="18"/>
    <x v="13"/>
    <x v="396"/>
    <x v="2710"/>
    <x v="5637"/>
  </r>
  <r>
    <x v="1"/>
    <x v="0"/>
    <x v="2"/>
    <x v="141"/>
    <x v="6"/>
    <x v="347"/>
    <x v="3769"/>
    <x v="5638"/>
  </r>
  <r>
    <x v="1"/>
    <x v="0"/>
    <x v="2"/>
    <x v="196"/>
    <x v="2"/>
    <x v="2"/>
    <x v="3770"/>
    <x v="5639"/>
  </r>
  <r>
    <x v="1"/>
    <x v="0"/>
    <x v="2"/>
    <x v="181"/>
    <x v="6"/>
    <x v="187"/>
    <x v="3771"/>
    <x v="5640"/>
  </r>
  <r>
    <x v="0"/>
    <x v="0"/>
    <x v="2"/>
    <x v="98"/>
    <x v="24"/>
    <x v="802"/>
    <x v="3772"/>
    <x v="5641"/>
  </r>
  <r>
    <x v="1"/>
    <x v="0"/>
    <x v="1"/>
    <x v="246"/>
    <x v="8"/>
    <x v="61"/>
    <x v="180"/>
    <x v="5642"/>
  </r>
  <r>
    <x v="1"/>
    <x v="0"/>
    <x v="1"/>
    <x v="84"/>
    <x v="11"/>
    <x v="317"/>
    <x v="3773"/>
    <x v="5643"/>
  </r>
  <r>
    <x v="3"/>
    <x v="0"/>
    <x v="2"/>
    <x v="141"/>
    <x v="8"/>
    <x v="426"/>
    <x v="18"/>
    <x v="5644"/>
  </r>
  <r>
    <x v="3"/>
    <x v="0"/>
    <x v="2"/>
    <x v="193"/>
    <x v="6"/>
    <x v="709"/>
    <x v="3774"/>
    <x v="5645"/>
  </r>
  <r>
    <x v="3"/>
    <x v="0"/>
    <x v="2"/>
    <x v="81"/>
    <x v="0"/>
    <x v="131"/>
    <x v="3775"/>
    <x v="5646"/>
  </r>
  <r>
    <x v="2"/>
    <x v="0"/>
    <x v="2"/>
    <x v="11"/>
    <x v="8"/>
    <x v="674"/>
    <x v="3776"/>
    <x v="5647"/>
  </r>
  <r>
    <x v="2"/>
    <x v="0"/>
    <x v="2"/>
    <x v="65"/>
    <x v="5"/>
    <x v="27"/>
    <x v="1736"/>
    <x v="5648"/>
  </r>
  <r>
    <x v="1"/>
    <x v="0"/>
    <x v="2"/>
    <x v="161"/>
    <x v="2"/>
    <x v="2"/>
    <x v="2365"/>
    <x v="5649"/>
  </r>
  <r>
    <x v="2"/>
    <x v="0"/>
    <x v="2"/>
    <x v="126"/>
    <x v="12"/>
    <x v="635"/>
    <x v="2118"/>
    <x v="5650"/>
  </r>
  <r>
    <x v="2"/>
    <x v="0"/>
    <x v="2"/>
    <x v="132"/>
    <x v="16"/>
    <x v="100"/>
    <x v="474"/>
    <x v="5651"/>
  </r>
  <r>
    <x v="0"/>
    <x v="0"/>
    <x v="0"/>
    <x v="207"/>
    <x v="7"/>
    <x v="776"/>
    <x v="2025"/>
    <x v="5652"/>
  </r>
  <r>
    <x v="3"/>
    <x v="0"/>
    <x v="2"/>
    <x v="226"/>
    <x v="15"/>
    <x v="108"/>
    <x v="3777"/>
    <x v="5653"/>
  </r>
  <r>
    <x v="1"/>
    <x v="0"/>
    <x v="1"/>
    <x v="225"/>
    <x v="2"/>
    <x v="2"/>
    <x v="2197"/>
    <x v="5654"/>
  </r>
  <r>
    <x v="0"/>
    <x v="0"/>
    <x v="2"/>
    <x v="43"/>
    <x v="0"/>
    <x v="641"/>
    <x v="1947"/>
    <x v="5655"/>
  </r>
  <r>
    <x v="2"/>
    <x v="0"/>
    <x v="2"/>
    <x v="20"/>
    <x v="5"/>
    <x v="119"/>
    <x v="3778"/>
    <x v="5656"/>
  </r>
  <r>
    <x v="3"/>
    <x v="0"/>
    <x v="2"/>
    <x v="195"/>
    <x v="13"/>
    <x v="319"/>
    <x v="3779"/>
    <x v="5657"/>
  </r>
  <r>
    <x v="1"/>
    <x v="0"/>
    <x v="1"/>
    <x v="224"/>
    <x v="0"/>
    <x v="64"/>
    <x v="2353"/>
    <x v="5658"/>
  </r>
  <r>
    <x v="3"/>
    <x v="0"/>
    <x v="2"/>
    <x v="74"/>
    <x v="12"/>
    <x v="483"/>
    <x v="3780"/>
    <x v="5659"/>
  </r>
  <r>
    <x v="3"/>
    <x v="0"/>
    <x v="2"/>
    <x v="204"/>
    <x v="3"/>
    <x v="366"/>
    <x v="3781"/>
    <x v="5660"/>
  </r>
  <r>
    <x v="1"/>
    <x v="0"/>
    <x v="2"/>
    <x v="133"/>
    <x v="13"/>
    <x v="234"/>
    <x v="756"/>
    <x v="5661"/>
  </r>
  <r>
    <x v="1"/>
    <x v="0"/>
    <x v="2"/>
    <x v="62"/>
    <x v="7"/>
    <x v="481"/>
    <x v="3159"/>
    <x v="5662"/>
  </r>
  <r>
    <x v="2"/>
    <x v="0"/>
    <x v="2"/>
    <x v="139"/>
    <x v="11"/>
    <x v="600"/>
    <x v="2008"/>
    <x v="5663"/>
  </r>
  <r>
    <x v="1"/>
    <x v="0"/>
    <x v="2"/>
    <x v="4"/>
    <x v="26"/>
    <x v="145"/>
    <x v="3782"/>
    <x v="5664"/>
  </r>
  <r>
    <x v="1"/>
    <x v="0"/>
    <x v="2"/>
    <x v="125"/>
    <x v="6"/>
    <x v="508"/>
    <x v="1053"/>
    <x v="5665"/>
  </r>
  <r>
    <x v="1"/>
    <x v="0"/>
    <x v="1"/>
    <x v="161"/>
    <x v="0"/>
    <x v="557"/>
    <x v="1666"/>
    <x v="5666"/>
  </r>
  <r>
    <x v="0"/>
    <x v="0"/>
    <x v="2"/>
    <x v="39"/>
    <x v="11"/>
    <x v="45"/>
    <x v="2100"/>
    <x v="5667"/>
  </r>
  <r>
    <x v="2"/>
    <x v="0"/>
    <x v="2"/>
    <x v="162"/>
    <x v="6"/>
    <x v="458"/>
    <x v="3783"/>
    <x v="5668"/>
  </r>
  <r>
    <x v="0"/>
    <x v="0"/>
    <x v="2"/>
    <x v="120"/>
    <x v="13"/>
    <x v="296"/>
    <x v="532"/>
    <x v="5669"/>
  </r>
  <r>
    <x v="0"/>
    <x v="0"/>
    <x v="0"/>
    <x v="194"/>
    <x v="28"/>
    <x v="563"/>
    <x v="2371"/>
    <x v="5670"/>
  </r>
  <r>
    <x v="1"/>
    <x v="0"/>
    <x v="1"/>
    <x v="103"/>
    <x v="22"/>
    <x v="642"/>
    <x v="3784"/>
    <x v="5671"/>
  </r>
  <r>
    <x v="2"/>
    <x v="0"/>
    <x v="2"/>
    <x v="171"/>
    <x v="24"/>
    <x v="90"/>
    <x v="3117"/>
    <x v="5672"/>
  </r>
  <r>
    <x v="3"/>
    <x v="0"/>
    <x v="2"/>
    <x v="191"/>
    <x v="1"/>
    <x v="248"/>
    <x v="2166"/>
    <x v="5673"/>
  </r>
  <r>
    <x v="3"/>
    <x v="0"/>
    <x v="2"/>
    <x v="104"/>
    <x v="11"/>
    <x v="296"/>
    <x v="2034"/>
    <x v="5674"/>
  </r>
  <r>
    <x v="1"/>
    <x v="0"/>
    <x v="1"/>
    <x v="20"/>
    <x v="10"/>
    <x v="224"/>
    <x v="2611"/>
    <x v="5675"/>
  </r>
  <r>
    <x v="3"/>
    <x v="0"/>
    <x v="2"/>
    <x v="180"/>
    <x v="11"/>
    <x v="119"/>
    <x v="3785"/>
    <x v="5676"/>
  </r>
  <r>
    <x v="1"/>
    <x v="0"/>
    <x v="2"/>
    <x v="41"/>
    <x v="4"/>
    <x v="225"/>
    <x v="2172"/>
    <x v="5677"/>
  </r>
  <r>
    <x v="2"/>
    <x v="0"/>
    <x v="2"/>
    <x v="72"/>
    <x v="9"/>
    <x v="143"/>
    <x v="3786"/>
    <x v="5678"/>
  </r>
  <r>
    <x v="3"/>
    <x v="0"/>
    <x v="2"/>
    <x v="206"/>
    <x v="5"/>
    <x v="101"/>
    <x v="1765"/>
    <x v="5679"/>
  </r>
  <r>
    <x v="1"/>
    <x v="0"/>
    <x v="2"/>
    <x v="164"/>
    <x v="6"/>
    <x v="364"/>
    <x v="3787"/>
    <x v="5680"/>
  </r>
  <r>
    <x v="1"/>
    <x v="0"/>
    <x v="1"/>
    <x v="27"/>
    <x v="17"/>
    <x v="252"/>
    <x v="861"/>
    <x v="5681"/>
  </r>
  <r>
    <x v="3"/>
    <x v="0"/>
    <x v="2"/>
    <x v="181"/>
    <x v="7"/>
    <x v="223"/>
    <x v="110"/>
    <x v="5682"/>
  </r>
  <r>
    <x v="1"/>
    <x v="0"/>
    <x v="1"/>
    <x v="77"/>
    <x v="17"/>
    <x v="380"/>
    <x v="3202"/>
    <x v="5683"/>
  </r>
  <r>
    <x v="0"/>
    <x v="0"/>
    <x v="2"/>
    <x v="151"/>
    <x v="3"/>
    <x v="371"/>
    <x v="3788"/>
    <x v="5684"/>
  </r>
  <r>
    <x v="0"/>
    <x v="0"/>
    <x v="2"/>
    <x v="132"/>
    <x v="14"/>
    <x v="52"/>
    <x v="3789"/>
    <x v="5685"/>
  </r>
  <r>
    <x v="1"/>
    <x v="0"/>
    <x v="1"/>
    <x v="131"/>
    <x v="6"/>
    <x v="278"/>
    <x v="3790"/>
    <x v="5686"/>
  </r>
  <r>
    <x v="0"/>
    <x v="0"/>
    <x v="0"/>
    <x v="39"/>
    <x v="1"/>
    <x v="535"/>
    <x v="3791"/>
    <x v="5687"/>
  </r>
  <r>
    <x v="2"/>
    <x v="0"/>
    <x v="2"/>
    <x v="67"/>
    <x v="24"/>
    <x v="810"/>
    <x v="2780"/>
    <x v="5688"/>
  </r>
  <r>
    <x v="1"/>
    <x v="0"/>
    <x v="1"/>
    <x v="117"/>
    <x v="6"/>
    <x v="44"/>
    <x v="2414"/>
    <x v="5689"/>
  </r>
  <r>
    <x v="1"/>
    <x v="0"/>
    <x v="2"/>
    <x v="100"/>
    <x v="6"/>
    <x v="599"/>
    <x v="928"/>
    <x v="5690"/>
  </r>
  <r>
    <x v="0"/>
    <x v="0"/>
    <x v="2"/>
    <x v="242"/>
    <x v="22"/>
    <x v="791"/>
    <x v="3792"/>
    <x v="5691"/>
  </r>
  <r>
    <x v="3"/>
    <x v="0"/>
    <x v="2"/>
    <x v="58"/>
    <x v="0"/>
    <x v="259"/>
    <x v="1681"/>
    <x v="5692"/>
  </r>
  <r>
    <x v="2"/>
    <x v="0"/>
    <x v="2"/>
    <x v="7"/>
    <x v="6"/>
    <x v="805"/>
    <x v="1503"/>
    <x v="5693"/>
  </r>
  <r>
    <x v="1"/>
    <x v="0"/>
    <x v="2"/>
    <x v="142"/>
    <x v="18"/>
    <x v="351"/>
    <x v="1819"/>
    <x v="5694"/>
  </r>
  <r>
    <x v="1"/>
    <x v="0"/>
    <x v="2"/>
    <x v="17"/>
    <x v="12"/>
    <x v="16"/>
    <x v="2174"/>
    <x v="5695"/>
  </r>
  <r>
    <x v="1"/>
    <x v="0"/>
    <x v="2"/>
    <x v="119"/>
    <x v="19"/>
    <x v="740"/>
    <x v="3793"/>
    <x v="5696"/>
  </r>
  <r>
    <x v="0"/>
    <x v="0"/>
    <x v="0"/>
    <x v="228"/>
    <x v="11"/>
    <x v="750"/>
    <x v="2605"/>
    <x v="5697"/>
  </r>
  <r>
    <x v="2"/>
    <x v="0"/>
    <x v="2"/>
    <x v="223"/>
    <x v="20"/>
    <x v="261"/>
    <x v="3656"/>
    <x v="5698"/>
  </r>
  <r>
    <x v="1"/>
    <x v="0"/>
    <x v="1"/>
    <x v="49"/>
    <x v="5"/>
    <x v="390"/>
    <x v="1260"/>
    <x v="5699"/>
  </r>
  <r>
    <x v="2"/>
    <x v="0"/>
    <x v="2"/>
    <x v="192"/>
    <x v="1"/>
    <x v="81"/>
    <x v="655"/>
    <x v="5700"/>
  </r>
  <r>
    <x v="0"/>
    <x v="0"/>
    <x v="0"/>
    <x v="80"/>
    <x v="1"/>
    <x v="269"/>
    <x v="3123"/>
    <x v="5701"/>
  </r>
  <r>
    <x v="0"/>
    <x v="0"/>
    <x v="2"/>
    <x v="22"/>
    <x v="10"/>
    <x v="480"/>
    <x v="3794"/>
    <x v="5702"/>
  </r>
  <r>
    <x v="0"/>
    <x v="0"/>
    <x v="0"/>
    <x v="141"/>
    <x v="15"/>
    <x v="130"/>
    <x v="2023"/>
    <x v="5703"/>
  </r>
  <r>
    <x v="1"/>
    <x v="0"/>
    <x v="1"/>
    <x v="5"/>
    <x v="12"/>
    <x v="281"/>
    <x v="3795"/>
    <x v="5704"/>
  </r>
  <r>
    <x v="1"/>
    <x v="0"/>
    <x v="1"/>
    <x v="62"/>
    <x v="1"/>
    <x v="200"/>
    <x v="2610"/>
    <x v="5705"/>
  </r>
  <r>
    <x v="1"/>
    <x v="0"/>
    <x v="1"/>
    <x v="219"/>
    <x v="20"/>
    <x v="666"/>
    <x v="1973"/>
    <x v="5706"/>
  </r>
  <r>
    <x v="2"/>
    <x v="0"/>
    <x v="2"/>
    <x v="154"/>
    <x v="5"/>
    <x v="123"/>
    <x v="3796"/>
    <x v="5707"/>
  </r>
  <r>
    <x v="3"/>
    <x v="0"/>
    <x v="2"/>
    <x v="186"/>
    <x v="16"/>
    <x v="367"/>
    <x v="3797"/>
    <x v="5708"/>
  </r>
  <r>
    <x v="0"/>
    <x v="0"/>
    <x v="2"/>
    <x v="132"/>
    <x v="25"/>
    <x v="6"/>
    <x v="3798"/>
    <x v="5709"/>
  </r>
  <r>
    <x v="0"/>
    <x v="0"/>
    <x v="0"/>
    <x v="85"/>
    <x v="28"/>
    <x v="398"/>
    <x v="1079"/>
    <x v="5710"/>
  </r>
  <r>
    <x v="1"/>
    <x v="0"/>
    <x v="1"/>
    <x v="26"/>
    <x v="0"/>
    <x v="3"/>
    <x v="916"/>
    <x v="5711"/>
  </r>
  <r>
    <x v="2"/>
    <x v="0"/>
    <x v="2"/>
    <x v="218"/>
    <x v="5"/>
    <x v="403"/>
    <x v="3799"/>
    <x v="5712"/>
  </r>
  <r>
    <x v="0"/>
    <x v="0"/>
    <x v="2"/>
    <x v="205"/>
    <x v="22"/>
    <x v="476"/>
    <x v="2303"/>
    <x v="5713"/>
  </r>
  <r>
    <x v="0"/>
    <x v="0"/>
    <x v="0"/>
    <x v="113"/>
    <x v="9"/>
    <x v="68"/>
    <x v="1654"/>
    <x v="5714"/>
  </r>
  <r>
    <x v="0"/>
    <x v="0"/>
    <x v="2"/>
    <x v="91"/>
    <x v="13"/>
    <x v="387"/>
    <x v="3800"/>
    <x v="5715"/>
  </r>
  <r>
    <x v="1"/>
    <x v="0"/>
    <x v="2"/>
    <x v="146"/>
    <x v="14"/>
    <x v="507"/>
    <x v="2740"/>
    <x v="5716"/>
  </r>
  <r>
    <x v="0"/>
    <x v="0"/>
    <x v="2"/>
    <x v="103"/>
    <x v="1"/>
    <x v="545"/>
    <x v="3801"/>
    <x v="5717"/>
  </r>
  <r>
    <x v="3"/>
    <x v="0"/>
    <x v="2"/>
    <x v="216"/>
    <x v="17"/>
    <x v="410"/>
    <x v="684"/>
    <x v="5718"/>
  </r>
  <r>
    <x v="3"/>
    <x v="0"/>
    <x v="2"/>
    <x v="217"/>
    <x v="12"/>
    <x v="686"/>
    <x v="669"/>
    <x v="5719"/>
  </r>
  <r>
    <x v="0"/>
    <x v="0"/>
    <x v="0"/>
    <x v="21"/>
    <x v="5"/>
    <x v="420"/>
    <x v="1378"/>
    <x v="5720"/>
  </r>
  <r>
    <x v="0"/>
    <x v="0"/>
    <x v="2"/>
    <x v="51"/>
    <x v="11"/>
    <x v="396"/>
    <x v="598"/>
    <x v="5721"/>
  </r>
  <r>
    <x v="1"/>
    <x v="0"/>
    <x v="1"/>
    <x v="142"/>
    <x v="1"/>
    <x v="23"/>
    <x v="3802"/>
    <x v="5722"/>
  </r>
  <r>
    <x v="0"/>
    <x v="0"/>
    <x v="2"/>
    <x v="34"/>
    <x v="5"/>
    <x v="379"/>
    <x v="3803"/>
    <x v="5723"/>
  </r>
  <r>
    <x v="2"/>
    <x v="0"/>
    <x v="2"/>
    <x v="188"/>
    <x v="15"/>
    <x v="357"/>
    <x v="2967"/>
    <x v="5724"/>
  </r>
  <r>
    <x v="3"/>
    <x v="0"/>
    <x v="2"/>
    <x v="79"/>
    <x v="13"/>
    <x v="293"/>
    <x v="3804"/>
    <x v="5725"/>
  </r>
  <r>
    <x v="2"/>
    <x v="0"/>
    <x v="2"/>
    <x v="72"/>
    <x v="13"/>
    <x v="191"/>
    <x v="3805"/>
    <x v="5726"/>
  </r>
  <r>
    <x v="1"/>
    <x v="0"/>
    <x v="1"/>
    <x v="140"/>
    <x v="13"/>
    <x v="501"/>
    <x v="3806"/>
    <x v="5727"/>
  </r>
  <r>
    <x v="1"/>
    <x v="0"/>
    <x v="1"/>
    <x v="220"/>
    <x v="15"/>
    <x v="370"/>
    <x v="2591"/>
    <x v="5728"/>
  </r>
  <r>
    <x v="1"/>
    <x v="0"/>
    <x v="1"/>
    <x v="46"/>
    <x v="16"/>
    <x v="35"/>
    <x v="816"/>
    <x v="5729"/>
  </r>
  <r>
    <x v="3"/>
    <x v="0"/>
    <x v="2"/>
    <x v="102"/>
    <x v="10"/>
    <x v="420"/>
    <x v="3807"/>
    <x v="5730"/>
  </r>
  <r>
    <x v="1"/>
    <x v="0"/>
    <x v="1"/>
    <x v="82"/>
    <x v="10"/>
    <x v="163"/>
    <x v="3808"/>
    <x v="5731"/>
  </r>
  <r>
    <x v="0"/>
    <x v="0"/>
    <x v="2"/>
    <x v="75"/>
    <x v="3"/>
    <x v="624"/>
    <x v="3809"/>
    <x v="5732"/>
  </r>
  <r>
    <x v="2"/>
    <x v="0"/>
    <x v="2"/>
    <x v="78"/>
    <x v="8"/>
    <x v="109"/>
    <x v="2759"/>
    <x v="5733"/>
  </r>
  <r>
    <x v="1"/>
    <x v="0"/>
    <x v="2"/>
    <x v="53"/>
    <x v="17"/>
    <x v="436"/>
    <x v="3125"/>
    <x v="5734"/>
  </r>
  <r>
    <x v="1"/>
    <x v="0"/>
    <x v="2"/>
    <x v="218"/>
    <x v="15"/>
    <x v="309"/>
    <x v="3810"/>
    <x v="5735"/>
  </r>
  <r>
    <x v="1"/>
    <x v="0"/>
    <x v="2"/>
    <x v="135"/>
    <x v="1"/>
    <x v="590"/>
    <x v="3464"/>
    <x v="5736"/>
  </r>
  <r>
    <x v="0"/>
    <x v="0"/>
    <x v="2"/>
    <x v="164"/>
    <x v="6"/>
    <x v="364"/>
    <x v="3811"/>
    <x v="5737"/>
  </r>
  <r>
    <x v="3"/>
    <x v="0"/>
    <x v="2"/>
    <x v="187"/>
    <x v="11"/>
    <x v="396"/>
    <x v="3812"/>
    <x v="5738"/>
  </r>
  <r>
    <x v="2"/>
    <x v="0"/>
    <x v="2"/>
    <x v="188"/>
    <x v="22"/>
    <x v="532"/>
    <x v="2033"/>
    <x v="5739"/>
  </r>
  <r>
    <x v="0"/>
    <x v="0"/>
    <x v="2"/>
    <x v="52"/>
    <x v="20"/>
    <x v="756"/>
    <x v="3142"/>
    <x v="5740"/>
  </r>
  <r>
    <x v="1"/>
    <x v="0"/>
    <x v="2"/>
    <x v="77"/>
    <x v="12"/>
    <x v="426"/>
    <x v="3813"/>
    <x v="5741"/>
  </r>
  <r>
    <x v="1"/>
    <x v="0"/>
    <x v="2"/>
    <x v="17"/>
    <x v="4"/>
    <x v="908"/>
    <x v="1292"/>
    <x v="5742"/>
  </r>
  <r>
    <x v="3"/>
    <x v="0"/>
    <x v="2"/>
    <x v="134"/>
    <x v="7"/>
    <x v="224"/>
    <x v="3071"/>
    <x v="5743"/>
  </r>
  <r>
    <x v="0"/>
    <x v="0"/>
    <x v="0"/>
    <x v="233"/>
    <x v="0"/>
    <x v="436"/>
    <x v="3814"/>
    <x v="5744"/>
  </r>
  <r>
    <x v="0"/>
    <x v="0"/>
    <x v="2"/>
    <x v="79"/>
    <x v="11"/>
    <x v="44"/>
    <x v="3815"/>
    <x v="5745"/>
  </r>
  <r>
    <x v="1"/>
    <x v="0"/>
    <x v="2"/>
    <x v="72"/>
    <x v="21"/>
    <x v="231"/>
    <x v="2535"/>
    <x v="5746"/>
  </r>
  <r>
    <x v="2"/>
    <x v="0"/>
    <x v="2"/>
    <x v="19"/>
    <x v="3"/>
    <x v="881"/>
    <x v="1822"/>
    <x v="5747"/>
  </r>
  <r>
    <x v="1"/>
    <x v="0"/>
    <x v="2"/>
    <x v="60"/>
    <x v="15"/>
    <x v="61"/>
    <x v="3816"/>
    <x v="5748"/>
  </r>
  <r>
    <x v="1"/>
    <x v="0"/>
    <x v="1"/>
    <x v="119"/>
    <x v="23"/>
    <x v="242"/>
    <x v="576"/>
    <x v="5749"/>
  </r>
  <r>
    <x v="0"/>
    <x v="0"/>
    <x v="0"/>
    <x v="202"/>
    <x v="11"/>
    <x v="268"/>
    <x v="3817"/>
    <x v="5750"/>
  </r>
  <r>
    <x v="3"/>
    <x v="0"/>
    <x v="2"/>
    <x v="205"/>
    <x v="1"/>
    <x v="255"/>
    <x v="2570"/>
    <x v="5751"/>
  </r>
  <r>
    <x v="0"/>
    <x v="0"/>
    <x v="2"/>
    <x v="50"/>
    <x v="14"/>
    <x v="174"/>
    <x v="3818"/>
    <x v="5752"/>
  </r>
  <r>
    <x v="2"/>
    <x v="0"/>
    <x v="2"/>
    <x v="87"/>
    <x v="25"/>
    <x v="781"/>
    <x v="1368"/>
    <x v="5753"/>
  </r>
  <r>
    <x v="1"/>
    <x v="0"/>
    <x v="2"/>
    <x v="186"/>
    <x v="0"/>
    <x v="200"/>
    <x v="2836"/>
    <x v="5754"/>
  </r>
  <r>
    <x v="3"/>
    <x v="0"/>
    <x v="2"/>
    <x v="112"/>
    <x v="12"/>
    <x v="657"/>
    <x v="3514"/>
    <x v="5755"/>
  </r>
  <r>
    <x v="2"/>
    <x v="0"/>
    <x v="2"/>
    <x v="124"/>
    <x v="1"/>
    <x v="167"/>
    <x v="578"/>
    <x v="5756"/>
  </r>
  <r>
    <x v="1"/>
    <x v="0"/>
    <x v="2"/>
    <x v="241"/>
    <x v="26"/>
    <x v="717"/>
    <x v="1749"/>
    <x v="5757"/>
  </r>
  <r>
    <x v="0"/>
    <x v="0"/>
    <x v="0"/>
    <x v="139"/>
    <x v="21"/>
    <x v="849"/>
    <x v="3819"/>
    <x v="5758"/>
  </r>
  <r>
    <x v="3"/>
    <x v="0"/>
    <x v="2"/>
    <x v="23"/>
    <x v="9"/>
    <x v="462"/>
    <x v="3820"/>
    <x v="5759"/>
  </r>
  <r>
    <x v="1"/>
    <x v="0"/>
    <x v="2"/>
    <x v="128"/>
    <x v="11"/>
    <x v="58"/>
    <x v="2189"/>
    <x v="5760"/>
  </r>
  <r>
    <x v="3"/>
    <x v="0"/>
    <x v="2"/>
    <x v="247"/>
    <x v="17"/>
    <x v="502"/>
    <x v="3821"/>
    <x v="5761"/>
  </r>
  <r>
    <x v="1"/>
    <x v="0"/>
    <x v="1"/>
    <x v="59"/>
    <x v="24"/>
    <x v="413"/>
    <x v="2034"/>
    <x v="5762"/>
  </r>
  <r>
    <x v="1"/>
    <x v="0"/>
    <x v="1"/>
    <x v="2"/>
    <x v="0"/>
    <x v="788"/>
    <x v="3822"/>
    <x v="5763"/>
  </r>
  <r>
    <x v="0"/>
    <x v="0"/>
    <x v="2"/>
    <x v="173"/>
    <x v="10"/>
    <x v="69"/>
    <x v="3823"/>
    <x v="5764"/>
  </r>
  <r>
    <x v="1"/>
    <x v="0"/>
    <x v="2"/>
    <x v="23"/>
    <x v="28"/>
    <x v="165"/>
    <x v="2647"/>
    <x v="5765"/>
  </r>
  <r>
    <x v="3"/>
    <x v="0"/>
    <x v="2"/>
    <x v="199"/>
    <x v="22"/>
    <x v="569"/>
    <x v="3824"/>
    <x v="5766"/>
  </r>
  <r>
    <x v="0"/>
    <x v="0"/>
    <x v="0"/>
    <x v="177"/>
    <x v="16"/>
    <x v="611"/>
    <x v="920"/>
    <x v="5767"/>
  </r>
  <r>
    <x v="1"/>
    <x v="0"/>
    <x v="2"/>
    <x v="137"/>
    <x v="13"/>
    <x v="577"/>
    <x v="3825"/>
    <x v="5768"/>
  </r>
  <r>
    <x v="0"/>
    <x v="0"/>
    <x v="2"/>
    <x v="23"/>
    <x v="15"/>
    <x v="447"/>
    <x v="1058"/>
    <x v="5769"/>
  </r>
  <r>
    <x v="0"/>
    <x v="0"/>
    <x v="0"/>
    <x v="45"/>
    <x v="13"/>
    <x v="442"/>
    <x v="2523"/>
    <x v="5770"/>
  </r>
  <r>
    <x v="3"/>
    <x v="0"/>
    <x v="2"/>
    <x v="204"/>
    <x v="3"/>
    <x v="366"/>
    <x v="2773"/>
    <x v="5771"/>
  </r>
  <r>
    <x v="3"/>
    <x v="0"/>
    <x v="2"/>
    <x v="171"/>
    <x v="11"/>
    <x v="387"/>
    <x v="3826"/>
    <x v="5772"/>
  </r>
  <r>
    <x v="3"/>
    <x v="0"/>
    <x v="2"/>
    <x v="53"/>
    <x v="9"/>
    <x v="439"/>
    <x v="1595"/>
    <x v="5773"/>
  </r>
  <r>
    <x v="0"/>
    <x v="0"/>
    <x v="0"/>
    <x v="98"/>
    <x v="6"/>
    <x v="28"/>
    <x v="1706"/>
    <x v="5774"/>
  </r>
  <r>
    <x v="3"/>
    <x v="0"/>
    <x v="2"/>
    <x v="96"/>
    <x v="5"/>
    <x v="342"/>
    <x v="414"/>
    <x v="5775"/>
  </r>
  <r>
    <x v="2"/>
    <x v="0"/>
    <x v="2"/>
    <x v="38"/>
    <x v="6"/>
    <x v="299"/>
    <x v="1409"/>
    <x v="5776"/>
  </r>
  <r>
    <x v="2"/>
    <x v="0"/>
    <x v="2"/>
    <x v="5"/>
    <x v="2"/>
    <x v="2"/>
    <x v="2845"/>
    <x v="5777"/>
  </r>
  <r>
    <x v="3"/>
    <x v="0"/>
    <x v="2"/>
    <x v="39"/>
    <x v="13"/>
    <x v="356"/>
    <x v="3827"/>
    <x v="5778"/>
  </r>
  <r>
    <x v="1"/>
    <x v="0"/>
    <x v="1"/>
    <x v="197"/>
    <x v="18"/>
    <x v="371"/>
    <x v="3828"/>
    <x v="3749"/>
  </r>
  <r>
    <x v="0"/>
    <x v="0"/>
    <x v="0"/>
    <x v="239"/>
    <x v="6"/>
    <x v="604"/>
    <x v="2255"/>
    <x v="5779"/>
  </r>
  <r>
    <x v="0"/>
    <x v="0"/>
    <x v="2"/>
    <x v="205"/>
    <x v="5"/>
    <x v="859"/>
    <x v="3829"/>
    <x v="5780"/>
  </r>
  <r>
    <x v="1"/>
    <x v="0"/>
    <x v="2"/>
    <x v="151"/>
    <x v="17"/>
    <x v="305"/>
    <x v="3764"/>
    <x v="5781"/>
  </r>
  <r>
    <x v="3"/>
    <x v="0"/>
    <x v="2"/>
    <x v="17"/>
    <x v="12"/>
    <x v="16"/>
    <x v="2972"/>
    <x v="5782"/>
  </r>
  <r>
    <x v="2"/>
    <x v="0"/>
    <x v="2"/>
    <x v="184"/>
    <x v="6"/>
    <x v="19"/>
    <x v="1859"/>
    <x v="5783"/>
  </r>
  <r>
    <x v="1"/>
    <x v="0"/>
    <x v="1"/>
    <x v="184"/>
    <x v="15"/>
    <x v="0"/>
    <x v="3830"/>
    <x v="5784"/>
  </r>
  <r>
    <x v="1"/>
    <x v="0"/>
    <x v="1"/>
    <x v="28"/>
    <x v="12"/>
    <x v="135"/>
    <x v="3831"/>
    <x v="5785"/>
  </r>
  <r>
    <x v="3"/>
    <x v="0"/>
    <x v="2"/>
    <x v="90"/>
    <x v="0"/>
    <x v="68"/>
    <x v="1992"/>
    <x v="5786"/>
  </r>
  <r>
    <x v="1"/>
    <x v="0"/>
    <x v="1"/>
    <x v="9"/>
    <x v="2"/>
    <x v="2"/>
    <x v="1325"/>
    <x v="5787"/>
  </r>
  <r>
    <x v="0"/>
    <x v="0"/>
    <x v="0"/>
    <x v="220"/>
    <x v="14"/>
    <x v="383"/>
    <x v="3832"/>
    <x v="5788"/>
  </r>
  <r>
    <x v="0"/>
    <x v="0"/>
    <x v="2"/>
    <x v="192"/>
    <x v="2"/>
    <x v="2"/>
    <x v="3833"/>
    <x v="5789"/>
  </r>
  <r>
    <x v="0"/>
    <x v="0"/>
    <x v="0"/>
    <x v="187"/>
    <x v="9"/>
    <x v="305"/>
    <x v="3262"/>
    <x v="5790"/>
  </r>
  <r>
    <x v="3"/>
    <x v="0"/>
    <x v="2"/>
    <x v="73"/>
    <x v="11"/>
    <x v="73"/>
    <x v="1373"/>
    <x v="5791"/>
  </r>
  <r>
    <x v="0"/>
    <x v="0"/>
    <x v="2"/>
    <x v="248"/>
    <x v="5"/>
    <x v="797"/>
    <x v="204"/>
    <x v="5792"/>
  </r>
  <r>
    <x v="0"/>
    <x v="0"/>
    <x v="0"/>
    <x v="248"/>
    <x v="11"/>
    <x v="649"/>
    <x v="3834"/>
    <x v="5793"/>
  </r>
  <r>
    <x v="0"/>
    <x v="0"/>
    <x v="2"/>
    <x v="128"/>
    <x v="2"/>
    <x v="2"/>
    <x v="3642"/>
    <x v="5794"/>
  </r>
  <r>
    <x v="1"/>
    <x v="0"/>
    <x v="1"/>
    <x v="118"/>
    <x v="10"/>
    <x v="858"/>
    <x v="2942"/>
    <x v="5795"/>
  </r>
  <r>
    <x v="3"/>
    <x v="0"/>
    <x v="2"/>
    <x v="100"/>
    <x v="11"/>
    <x v="106"/>
    <x v="3835"/>
    <x v="5796"/>
  </r>
  <r>
    <x v="0"/>
    <x v="0"/>
    <x v="2"/>
    <x v="204"/>
    <x v="5"/>
    <x v="597"/>
    <x v="1278"/>
    <x v="5797"/>
  </r>
  <r>
    <x v="2"/>
    <x v="0"/>
    <x v="2"/>
    <x v="123"/>
    <x v="5"/>
    <x v="175"/>
    <x v="2865"/>
    <x v="5798"/>
  </r>
  <r>
    <x v="0"/>
    <x v="0"/>
    <x v="2"/>
    <x v="220"/>
    <x v="17"/>
    <x v="371"/>
    <x v="2283"/>
    <x v="5799"/>
  </r>
  <r>
    <x v="2"/>
    <x v="0"/>
    <x v="2"/>
    <x v="238"/>
    <x v="6"/>
    <x v="45"/>
    <x v="1646"/>
    <x v="5800"/>
  </r>
  <r>
    <x v="0"/>
    <x v="0"/>
    <x v="2"/>
    <x v="187"/>
    <x v="24"/>
    <x v="843"/>
    <x v="482"/>
    <x v="5801"/>
  </r>
  <r>
    <x v="3"/>
    <x v="0"/>
    <x v="2"/>
    <x v="173"/>
    <x v="5"/>
    <x v="731"/>
    <x v="1945"/>
    <x v="5802"/>
  </r>
  <r>
    <x v="1"/>
    <x v="0"/>
    <x v="2"/>
    <x v="89"/>
    <x v="13"/>
    <x v="429"/>
    <x v="3058"/>
    <x v="5803"/>
  </r>
  <r>
    <x v="0"/>
    <x v="0"/>
    <x v="0"/>
    <x v="71"/>
    <x v="16"/>
    <x v="49"/>
    <x v="1503"/>
    <x v="5804"/>
  </r>
  <r>
    <x v="0"/>
    <x v="0"/>
    <x v="2"/>
    <x v="50"/>
    <x v="11"/>
    <x v="320"/>
    <x v="794"/>
    <x v="5805"/>
  </r>
  <r>
    <x v="0"/>
    <x v="0"/>
    <x v="0"/>
    <x v="2"/>
    <x v="6"/>
    <x v="67"/>
    <x v="3153"/>
    <x v="5806"/>
  </r>
  <r>
    <x v="1"/>
    <x v="0"/>
    <x v="1"/>
    <x v="209"/>
    <x v="2"/>
    <x v="2"/>
    <x v="3836"/>
    <x v="5807"/>
  </r>
  <r>
    <x v="0"/>
    <x v="0"/>
    <x v="0"/>
    <x v="199"/>
    <x v="22"/>
    <x v="569"/>
    <x v="3837"/>
    <x v="5808"/>
  </r>
  <r>
    <x v="1"/>
    <x v="0"/>
    <x v="2"/>
    <x v="208"/>
    <x v="21"/>
    <x v="603"/>
    <x v="2215"/>
    <x v="5809"/>
  </r>
  <r>
    <x v="3"/>
    <x v="0"/>
    <x v="2"/>
    <x v="12"/>
    <x v="11"/>
    <x v="765"/>
    <x v="1340"/>
    <x v="5810"/>
  </r>
  <r>
    <x v="3"/>
    <x v="0"/>
    <x v="2"/>
    <x v="69"/>
    <x v="2"/>
    <x v="2"/>
    <x v="3838"/>
    <x v="5811"/>
  </r>
  <r>
    <x v="0"/>
    <x v="0"/>
    <x v="0"/>
    <x v="1"/>
    <x v="7"/>
    <x v="96"/>
    <x v="3839"/>
    <x v="5812"/>
  </r>
  <r>
    <x v="0"/>
    <x v="0"/>
    <x v="2"/>
    <x v="94"/>
    <x v="11"/>
    <x v="414"/>
    <x v="692"/>
    <x v="5813"/>
  </r>
  <r>
    <x v="1"/>
    <x v="0"/>
    <x v="2"/>
    <x v="15"/>
    <x v="2"/>
    <x v="2"/>
    <x v="1089"/>
    <x v="5814"/>
  </r>
  <r>
    <x v="0"/>
    <x v="0"/>
    <x v="2"/>
    <x v="21"/>
    <x v="3"/>
    <x v="68"/>
    <x v="3840"/>
    <x v="5815"/>
  </r>
  <r>
    <x v="0"/>
    <x v="0"/>
    <x v="2"/>
    <x v="157"/>
    <x v="8"/>
    <x v="527"/>
    <x v="3841"/>
    <x v="5816"/>
  </r>
  <r>
    <x v="2"/>
    <x v="0"/>
    <x v="2"/>
    <x v="95"/>
    <x v="24"/>
    <x v="743"/>
    <x v="2742"/>
    <x v="5817"/>
  </r>
  <r>
    <x v="2"/>
    <x v="0"/>
    <x v="2"/>
    <x v="99"/>
    <x v="12"/>
    <x v="869"/>
    <x v="3842"/>
    <x v="5818"/>
  </r>
  <r>
    <x v="2"/>
    <x v="0"/>
    <x v="2"/>
    <x v="127"/>
    <x v="5"/>
    <x v="651"/>
    <x v="1454"/>
    <x v="5819"/>
  </r>
  <r>
    <x v="0"/>
    <x v="0"/>
    <x v="2"/>
    <x v="206"/>
    <x v="2"/>
    <x v="2"/>
    <x v="581"/>
    <x v="5820"/>
  </r>
  <r>
    <x v="0"/>
    <x v="0"/>
    <x v="0"/>
    <x v="107"/>
    <x v="11"/>
    <x v="508"/>
    <x v="500"/>
    <x v="5821"/>
  </r>
  <r>
    <x v="0"/>
    <x v="0"/>
    <x v="2"/>
    <x v="233"/>
    <x v="6"/>
    <x v="731"/>
    <x v="3843"/>
    <x v="5822"/>
  </r>
  <r>
    <x v="2"/>
    <x v="0"/>
    <x v="2"/>
    <x v="42"/>
    <x v="16"/>
    <x v="39"/>
    <x v="763"/>
    <x v="5823"/>
  </r>
  <r>
    <x v="0"/>
    <x v="0"/>
    <x v="0"/>
    <x v="12"/>
    <x v="7"/>
    <x v="711"/>
    <x v="3169"/>
    <x v="5824"/>
  </r>
  <r>
    <x v="1"/>
    <x v="0"/>
    <x v="1"/>
    <x v="138"/>
    <x v="25"/>
    <x v="701"/>
    <x v="3844"/>
    <x v="5825"/>
  </r>
  <r>
    <x v="0"/>
    <x v="0"/>
    <x v="0"/>
    <x v="23"/>
    <x v="21"/>
    <x v="631"/>
    <x v="2841"/>
    <x v="5826"/>
  </r>
  <r>
    <x v="2"/>
    <x v="0"/>
    <x v="2"/>
    <x v="50"/>
    <x v="4"/>
    <x v="198"/>
    <x v="1345"/>
    <x v="5827"/>
  </r>
  <r>
    <x v="2"/>
    <x v="0"/>
    <x v="2"/>
    <x v="120"/>
    <x v="11"/>
    <x v="112"/>
    <x v="3845"/>
    <x v="5828"/>
  </r>
  <r>
    <x v="2"/>
    <x v="0"/>
    <x v="2"/>
    <x v="248"/>
    <x v="7"/>
    <x v="564"/>
    <x v="3846"/>
    <x v="5829"/>
  </r>
  <r>
    <x v="1"/>
    <x v="0"/>
    <x v="1"/>
    <x v="54"/>
    <x v="0"/>
    <x v="692"/>
    <x v="1702"/>
    <x v="5830"/>
  </r>
  <r>
    <x v="1"/>
    <x v="0"/>
    <x v="2"/>
    <x v="146"/>
    <x v="3"/>
    <x v="514"/>
    <x v="89"/>
    <x v="5831"/>
  </r>
  <r>
    <x v="3"/>
    <x v="0"/>
    <x v="2"/>
    <x v="55"/>
    <x v="11"/>
    <x v="322"/>
    <x v="3847"/>
    <x v="5832"/>
  </r>
  <r>
    <x v="3"/>
    <x v="0"/>
    <x v="2"/>
    <x v="186"/>
    <x v="13"/>
    <x v="607"/>
    <x v="831"/>
    <x v="5833"/>
  </r>
  <r>
    <x v="0"/>
    <x v="0"/>
    <x v="0"/>
    <x v="17"/>
    <x v="24"/>
    <x v="368"/>
    <x v="3848"/>
    <x v="5834"/>
  </r>
  <r>
    <x v="1"/>
    <x v="0"/>
    <x v="1"/>
    <x v="141"/>
    <x v="9"/>
    <x v="624"/>
    <x v="3849"/>
    <x v="5835"/>
  </r>
  <r>
    <x v="2"/>
    <x v="0"/>
    <x v="2"/>
    <x v="73"/>
    <x v="7"/>
    <x v="77"/>
    <x v="3634"/>
    <x v="5836"/>
  </r>
  <r>
    <x v="2"/>
    <x v="0"/>
    <x v="2"/>
    <x v="160"/>
    <x v="2"/>
    <x v="2"/>
    <x v="2360"/>
    <x v="5837"/>
  </r>
  <r>
    <x v="2"/>
    <x v="0"/>
    <x v="2"/>
    <x v="236"/>
    <x v="13"/>
    <x v="360"/>
    <x v="987"/>
    <x v="5838"/>
  </r>
  <r>
    <x v="3"/>
    <x v="0"/>
    <x v="2"/>
    <x v="63"/>
    <x v="18"/>
    <x v="483"/>
    <x v="3083"/>
    <x v="5839"/>
  </r>
  <r>
    <x v="1"/>
    <x v="0"/>
    <x v="1"/>
    <x v="25"/>
    <x v="13"/>
    <x v="99"/>
    <x v="3850"/>
    <x v="5840"/>
  </r>
  <r>
    <x v="2"/>
    <x v="0"/>
    <x v="2"/>
    <x v="155"/>
    <x v="28"/>
    <x v="909"/>
    <x v="3851"/>
    <x v="5841"/>
  </r>
  <r>
    <x v="2"/>
    <x v="0"/>
    <x v="2"/>
    <x v="17"/>
    <x v="22"/>
    <x v="556"/>
    <x v="875"/>
    <x v="5842"/>
  </r>
  <r>
    <x v="3"/>
    <x v="0"/>
    <x v="2"/>
    <x v="131"/>
    <x v="12"/>
    <x v="749"/>
    <x v="3251"/>
    <x v="5843"/>
  </r>
  <r>
    <x v="1"/>
    <x v="0"/>
    <x v="2"/>
    <x v="162"/>
    <x v="16"/>
    <x v="634"/>
    <x v="3365"/>
    <x v="5844"/>
  </r>
  <r>
    <x v="0"/>
    <x v="0"/>
    <x v="2"/>
    <x v="213"/>
    <x v="2"/>
    <x v="2"/>
    <x v="1642"/>
    <x v="5845"/>
  </r>
  <r>
    <x v="3"/>
    <x v="0"/>
    <x v="2"/>
    <x v="168"/>
    <x v="16"/>
    <x v="393"/>
    <x v="3852"/>
    <x v="5846"/>
  </r>
  <r>
    <x v="1"/>
    <x v="0"/>
    <x v="2"/>
    <x v="210"/>
    <x v="1"/>
    <x v="403"/>
    <x v="112"/>
    <x v="5847"/>
  </r>
  <r>
    <x v="3"/>
    <x v="0"/>
    <x v="2"/>
    <x v="214"/>
    <x v="10"/>
    <x v="380"/>
    <x v="3853"/>
    <x v="5848"/>
  </r>
  <r>
    <x v="2"/>
    <x v="0"/>
    <x v="2"/>
    <x v="55"/>
    <x v="0"/>
    <x v="61"/>
    <x v="2031"/>
    <x v="614"/>
  </r>
  <r>
    <x v="0"/>
    <x v="0"/>
    <x v="2"/>
    <x v="25"/>
    <x v="15"/>
    <x v="318"/>
    <x v="2991"/>
    <x v="5849"/>
  </r>
  <r>
    <x v="1"/>
    <x v="0"/>
    <x v="1"/>
    <x v="30"/>
    <x v="2"/>
    <x v="2"/>
    <x v="3854"/>
    <x v="5850"/>
  </r>
  <r>
    <x v="1"/>
    <x v="0"/>
    <x v="2"/>
    <x v="62"/>
    <x v="1"/>
    <x v="200"/>
    <x v="3616"/>
    <x v="5851"/>
  </r>
  <r>
    <x v="1"/>
    <x v="0"/>
    <x v="1"/>
    <x v="239"/>
    <x v="1"/>
    <x v="296"/>
    <x v="1336"/>
    <x v="5852"/>
  </r>
  <r>
    <x v="1"/>
    <x v="0"/>
    <x v="2"/>
    <x v="106"/>
    <x v="5"/>
    <x v="17"/>
    <x v="3855"/>
    <x v="5853"/>
  </r>
  <r>
    <x v="0"/>
    <x v="0"/>
    <x v="2"/>
    <x v="142"/>
    <x v="2"/>
    <x v="2"/>
    <x v="3856"/>
    <x v="5854"/>
  </r>
  <r>
    <x v="3"/>
    <x v="0"/>
    <x v="2"/>
    <x v="41"/>
    <x v="1"/>
    <x v="121"/>
    <x v="3817"/>
    <x v="5855"/>
  </r>
  <r>
    <x v="1"/>
    <x v="0"/>
    <x v="1"/>
    <x v="139"/>
    <x v="28"/>
    <x v="803"/>
    <x v="3857"/>
    <x v="5856"/>
  </r>
  <r>
    <x v="1"/>
    <x v="0"/>
    <x v="1"/>
    <x v="116"/>
    <x v="22"/>
    <x v="544"/>
    <x v="3858"/>
    <x v="5857"/>
  </r>
  <r>
    <x v="0"/>
    <x v="0"/>
    <x v="0"/>
    <x v="234"/>
    <x v="13"/>
    <x v="560"/>
    <x v="2027"/>
    <x v="5858"/>
  </r>
  <r>
    <x v="3"/>
    <x v="0"/>
    <x v="2"/>
    <x v="201"/>
    <x v="6"/>
    <x v="560"/>
    <x v="3333"/>
    <x v="5859"/>
  </r>
  <r>
    <x v="3"/>
    <x v="0"/>
    <x v="2"/>
    <x v="154"/>
    <x v="7"/>
    <x v="45"/>
    <x v="358"/>
    <x v="5860"/>
  </r>
  <r>
    <x v="0"/>
    <x v="0"/>
    <x v="2"/>
    <x v="83"/>
    <x v="22"/>
    <x v="627"/>
    <x v="3859"/>
    <x v="5861"/>
  </r>
  <r>
    <x v="0"/>
    <x v="0"/>
    <x v="2"/>
    <x v="113"/>
    <x v="0"/>
    <x v="167"/>
    <x v="3860"/>
    <x v="5862"/>
  </r>
  <r>
    <x v="2"/>
    <x v="0"/>
    <x v="2"/>
    <x v="242"/>
    <x v="0"/>
    <x v="622"/>
    <x v="3861"/>
    <x v="5863"/>
  </r>
  <r>
    <x v="2"/>
    <x v="0"/>
    <x v="2"/>
    <x v="112"/>
    <x v="20"/>
    <x v="160"/>
    <x v="1801"/>
    <x v="5864"/>
  </r>
  <r>
    <x v="0"/>
    <x v="0"/>
    <x v="0"/>
    <x v="163"/>
    <x v="13"/>
    <x v="210"/>
    <x v="1470"/>
    <x v="5865"/>
  </r>
  <r>
    <x v="1"/>
    <x v="0"/>
    <x v="2"/>
    <x v="30"/>
    <x v="16"/>
    <x v="326"/>
    <x v="3862"/>
    <x v="5866"/>
  </r>
  <r>
    <x v="2"/>
    <x v="0"/>
    <x v="2"/>
    <x v="159"/>
    <x v="18"/>
    <x v="587"/>
    <x v="3863"/>
    <x v="5867"/>
  </r>
  <r>
    <x v="1"/>
    <x v="0"/>
    <x v="1"/>
    <x v="227"/>
    <x v="22"/>
    <x v="693"/>
    <x v="3864"/>
    <x v="5868"/>
  </r>
  <r>
    <x v="1"/>
    <x v="0"/>
    <x v="2"/>
    <x v="110"/>
    <x v="2"/>
    <x v="2"/>
    <x v="2801"/>
    <x v="5869"/>
  </r>
  <r>
    <x v="3"/>
    <x v="0"/>
    <x v="2"/>
    <x v="226"/>
    <x v="2"/>
    <x v="2"/>
    <x v="3102"/>
    <x v="5870"/>
  </r>
  <r>
    <x v="1"/>
    <x v="0"/>
    <x v="2"/>
    <x v="207"/>
    <x v="3"/>
    <x v="746"/>
    <x v="1264"/>
    <x v="5871"/>
  </r>
  <r>
    <x v="3"/>
    <x v="0"/>
    <x v="2"/>
    <x v="217"/>
    <x v="24"/>
    <x v="82"/>
    <x v="2881"/>
    <x v="5872"/>
  </r>
  <r>
    <x v="3"/>
    <x v="0"/>
    <x v="2"/>
    <x v="201"/>
    <x v="23"/>
    <x v="849"/>
    <x v="3865"/>
    <x v="5873"/>
  </r>
  <r>
    <x v="0"/>
    <x v="0"/>
    <x v="2"/>
    <x v="187"/>
    <x v="20"/>
    <x v="497"/>
    <x v="3866"/>
    <x v="5874"/>
  </r>
  <r>
    <x v="2"/>
    <x v="0"/>
    <x v="2"/>
    <x v="25"/>
    <x v="5"/>
    <x v="381"/>
    <x v="3867"/>
    <x v="5875"/>
  </r>
  <r>
    <x v="1"/>
    <x v="0"/>
    <x v="2"/>
    <x v="95"/>
    <x v="3"/>
    <x v="32"/>
    <x v="3570"/>
    <x v="5876"/>
  </r>
  <r>
    <x v="0"/>
    <x v="0"/>
    <x v="0"/>
    <x v="33"/>
    <x v="1"/>
    <x v="97"/>
    <x v="3533"/>
    <x v="5877"/>
  </r>
  <r>
    <x v="3"/>
    <x v="0"/>
    <x v="2"/>
    <x v="96"/>
    <x v="18"/>
    <x v="24"/>
    <x v="2550"/>
    <x v="5878"/>
  </r>
  <r>
    <x v="0"/>
    <x v="0"/>
    <x v="2"/>
    <x v="172"/>
    <x v="1"/>
    <x v="291"/>
    <x v="3868"/>
    <x v="5879"/>
  </r>
  <r>
    <x v="1"/>
    <x v="0"/>
    <x v="1"/>
    <x v="198"/>
    <x v="5"/>
    <x v="807"/>
    <x v="3869"/>
    <x v="5880"/>
  </r>
  <r>
    <x v="1"/>
    <x v="0"/>
    <x v="2"/>
    <x v="155"/>
    <x v="17"/>
    <x v="825"/>
    <x v="2349"/>
    <x v="5881"/>
  </r>
  <r>
    <x v="0"/>
    <x v="0"/>
    <x v="2"/>
    <x v="213"/>
    <x v="13"/>
    <x v="335"/>
    <x v="1379"/>
    <x v="5882"/>
  </r>
  <r>
    <x v="0"/>
    <x v="0"/>
    <x v="0"/>
    <x v="66"/>
    <x v="13"/>
    <x v="298"/>
    <x v="2706"/>
    <x v="5883"/>
  </r>
  <r>
    <x v="2"/>
    <x v="0"/>
    <x v="2"/>
    <x v="42"/>
    <x v="10"/>
    <x v="211"/>
    <x v="992"/>
    <x v="5884"/>
  </r>
  <r>
    <x v="0"/>
    <x v="0"/>
    <x v="0"/>
    <x v="3"/>
    <x v="16"/>
    <x v="224"/>
    <x v="2470"/>
    <x v="5885"/>
  </r>
  <r>
    <x v="0"/>
    <x v="0"/>
    <x v="0"/>
    <x v="179"/>
    <x v="6"/>
    <x v="334"/>
    <x v="3870"/>
    <x v="5886"/>
  </r>
  <r>
    <x v="1"/>
    <x v="0"/>
    <x v="2"/>
    <x v="171"/>
    <x v="18"/>
    <x v="91"/>
    <x v="3871"/>
    <x v="5887"/>
  </r>
  <r>
    <x v="1"/>
    <x v="0"/>
    <x v="1"/>
    <x v="29"/>
    <x v="22"/>
    <x v="378"/>
    <x v="3104"/>
    <x v="5888"/>
  </r>
  <r>
    <x v="1"/>
    <x v="0"/>
    <x v="1"/>
    <x v="31"/>
    <x v="0"/>
    <x v="375"/>
    <x v="3056"/>
    <x v="5889"/>
  </r>
  <r>
    <x v="3"/>
    <x v="0"/>
    <x v="2"/>
    <x v="7"/>
    <x v="6"/>
    <x v="805"/>
    <x v="3872"/>
    <x v="5890"/>
  </r>
  <r>
    <x v="0"/>
    <x v="0"/>
    <x v="0"/>
    <x v="61"/>
    <x v="1"/>
    <x v="675"/>
    <x v="2817"/>
    <x v="5891"/>
  </r>
  <r>
    <x v="2"/>
    <x v="0"/>
    <x v="2"/>
    <x v="14"/>
    <x v="7"/>
    <x v="257"/>
    <x v="3094"/>
    <x v="5892"/>
  </r>
  <r>
    <x v="0"/>
    <x v="0"/>
    <x v="0"/>
    <x v="174"/>
    <x v="0"/>
    <x v="21"/>
    <x v="3873"/>
    <x v="5893"/>
  </r>
  <r>
    <x v="2"/>
    <x v="0"/>
    <x v="2"/>
    <x v="56"/>
    <x v="2"/>
    <x v="2"/>
    <x v="3874"/>
    <x v="5894"/>
  </r>
  <r>
    <x v="0"/>
    <x v="0"/>
    <x v="2"/>
    <x v="176"/>
    <x v="3"/>
    <x v="165"/>
    <x v="3875"/>
    <x v="5895"/>
  </r>
  <r>
    <x v="0"/>
    <x v="0"/>
    <x v="0"/>
    <x v="247"/>
    <x v="1"/>
    <x v="187"/>
    <x v="1690"/>
    <x v="5896"/>
  </r>
  <r>
    <x v="0"/>
    <x v="0"/>
    <x v="2"/>
    <x v="123"/>
    <x v="2"/>
    <x v="2"/>
    <x v="304"/>
    <x v="5897"/>
  </r>
  <r>
    <x v="2"/>
    <x v="0"/>
    <x v="2"/>
    <x v="107"/>
    <x v="6"/>
    <x v="540"/>
    <x v="3549"/>
    <x v="5898"/>
  </r>
  <r>
    <x v="0"/>
    <x v="0"/>
    <x v="0"/>
    <x v="98"/>
    <x v="3"/>
    <x v="437"/>
    <x v="2052"/>
    <x v="5899"/>
  </r>
  <r>
    <x v="1"/>
    <x v="0"/>
    <x v="1"/>
    <x v="158"/>
    <x v="0"/>
    <x v="551"/>
    <x v="1434"/>
    <x v="5900"/>
  </r>
  <r>
    <x v="3"/>
    <x v="0"/>
    <x v="2"/>
    <x v="218"/>
    <x v="3"/>
    <x v="0"/>
    <x v="3876"/>
    <x v="5901"/>
  </r>
  <r>
    <x v="1"/>
    <x v="0"/>
    <x v="1"/>
    <x v="10"/>
    <x v="5"/>
    <x v="126"/>
    <x v="165"/>
    <x v="5902"/>
  </r>
  <r>
    <x v="0"/>
    <x v="0"/>
    <x v="0"/>
    <x v="242"/>
    <x v="2"/>
    <x v="2"/>
    <x v="1318"/>
    <x v="5903"/>
  </r>
  <r>
    <x v="0"/>
    <x v="0"/>
    <x v="2"/>
    <x v="116"/>
    <x v="23"/>
    <x v="275"/>
    <x v="419"/>
    <x v="5904"/>
  </r>
  <r>
    <x v="2"/>
    <x v="0"/>
    <x v="2"/>
    <x v="142"/>
    <x v="13"/>
    <x v="432"/>
    <x v="3877"/>
    <x v="5905"/>
  </r>
  <r>
    <x v="3"/>
    <x v="0"/>
    <x v="2"/>
    <x v="160"/>
    <x v="25"/>
    <x v="261"/>
    <x v="2399"/>
    <x v="5906"/>
  </r>
  <r>
    <x v="0"/>
    <x v="0"/>
    <x v="2"/>
    <x v="146"/>
    <x v="6"/>
    <x v="434"/>
    <x v="2357"/>
    <x v="5907"/>
  </r>
  <r>
    <x v="0"/>
    <x v="0"/>
    <x v="2"/>
    <x v="124"/>
    <x v="1"/>
    <x v="167"/>
    <x v="2355"/>
    <x v="5908"/>
  </r>
  <r>
    <x v="0"/>
    <x v="0"/>
    <x v="0"/>
    <x v="1"/>
    <x v="16"/>
    <x v="483"/>
    <x v="3878"/>
    <x v="5909"/>
  </r>
  <r>
    <x v="1"/>
    <x v="0"/>
    <x v="1"/>
    <x v="136"/>
    <x v="0"/>
    <x v="172"/>
    <x v="3879"/>
    <x v="5910"/>
  </r>
  <r>
    <x v="0"/>
    <x v="0"/>
    <x v="0"/>
    <x v="205"/>
    <x v="24"/>
    <x v="739"/>
    <x v="3880"/>
    <x v="5911"/>
  </r>
  <r>
    <x v="3"/>
    <x v="0"/>
    <x v="2"/>
    <x v="107"/>
    <x v="0"/>
    <x v="151"/>
    <x v="858"/>
    <x v="5912"/>
  </r>
  <r>
    <x v="3"/>
    <x v="0"/>
    <x v="2"/>
    <x v="36"/>
    <x v="5"/>
    <x v="675"/>
    <x v="3881"/>
    <x v="5913"/>
  </r>
  <r>
    <x v="1"/>
    <x v="0"/>
    <x v="1"/>
    <x v="14"/>
    <x v="11"/>
    <x v="429"/>
    <x v="3304"/>
    <x v="5914"/>
  </r>
  <r>
    <x v="2"/>
    <x v="0"/>
    <x v="2"/>
    <x v="154"/>
    <x v="9"/>
    <x v="198"/>
    <x v="1271"/>
    <x v="5915"/>
  </r>
  <r>
    <x v="3"/>
    <x v="0"/>
    <x v="2"/>
    <x v="161"/>
    <x v="3"/>
    <x v="496"/>
    <x v="846"/>
    <x v="5916"/>
  </r>
  <r>
    <x v="0"/>
    <x v="0"/>
    <x v="2"/>
    <x v="34"/>
    <x v="13"/>
    <x v="330"/>
    <x v="3882"/>
    <x v="5917"/>
  </r>
  <r>
    <x v="1"/>
    <x v="0"/>
    <x v="1"/>
    <x v="199"/>
    <x v="15"/>
    <x v="209"/>
    <x v="1102"/>
    <x v="5918"/>
  </r>
  <r>
    <x v="0"/>
    <x v="0"/>
    <x v="2"/>
    <x v="128"/>
    <x v="11"/>
    <x v="58"/>
    <x v="1395"/>
    <x v="5919"/>
  </r>
  <r>
    <x v="1"/>
    <x v="0"/>
    <x v="2"/>
    <x v="26"/>
    <x v="15"/>
    <x v="131"/>
    <x v="3231"/>
    <x v="5920"/>
  </r>
  <r>
    <x v="2"/>
    <x v="0"/>
    <x v="2"/>
    <x v="59"/>
    <x v="7"/>
    <x v="357"/>
    <x v="913"/>
    <x v="5921"/>
  </r>
  <r>
    <x v="0"/>
    <x v="0"/>
    <x v="2"/>
    <x v="132"/>
    <x v="1"/>
    <x v="254"/>
    <x v="3883"/>
    <x v="5922"/>
  </r>
  <r>
    <x v="3"/>
    <x v="0"/>
    <x v="2"/>
    <x v="116"/>
    <x v="24"/>
    <x v="655"/>
    <x v="2207"/>
    <x v="5923"/>
  </r>
  <r>
    <x v="2"/>
    <x v="0"/>
    <x v="2"/>
    <x v="23"/>
    <x v="22"/>
    <x v="807"/>
    <x v="3498"/>
    <x v="5924"/>
  </r>
  <r>
    <x v="1"/>
    <x v="0"/>
    <x v="1"/>
    <x v="26"/>
    <x v="0"/>
    <x v="3"/>
    <x v="1334"/>
    <x v="5925"/>
  </r>
  <r>
    <x v="1"/>
    <x v="0"/>
    <x v="1"/>
    <x v="199"/>
    <x v="18"/>
    <x v="277"/>
    <x v="3884"/>
    <x v="5926"/>
  </r>
  <r>
    <x v="1"/>
    <x v="0"/>
    <x v="2"/>
    <x v="57"/>
    <x v="15"/>
    <x v="778"/>
    <x v="3599"/>
    <x v="5927"/>
  </r>
  <r>
    <x v="0"/>
    <x v="0"/>
    <x v="2"/>
    <x v="184"/>
    <x v="10"/>
    <x v="466"/>
    <x v="1918"/>
    <x v="5928"/>
  </r>
  <r>
    <x v="0"/>
    <x v="0"/>
    <x v="0"/>
    <x v="228"/>
    <x v="1"/>
    <x v="643"/>
    <x v="3227"/>
    <x v="5929"/>
  </r>
  <r>
    <x v="1"/>
    <x v="0"/>
    <x v="2"/>
    <x v="244"/>
    <x v="11"/>
    <x v="465"/>
    <x v="2289"/>
    <x v="5930"/>
  </r>
  <r>
    <x v="3"/>
    <x v="0"/>
    <x v="2"/>
    <x v="207"/>
    <x v="16"/>
    <x v="377"/>
    <x v="3885"/>
    <x v="5931"/>
  </r>
  <r>
    <x v="2"/>
    <x v="0"/>
    <x v="2"/>
    <x v="127"/>
    <x v="5"/>
    <x v="651"/>
    <x v="3886"/>
    <x v="5932"/>
  </r>
  <r>
    <x v="1"/>
    <x v="0"/>
    <x v="1"/>
    <x v="24"/>
    <x v="13"/>
    <x v="432"/>
    <x v="3441"/>
    <x v="5933"/>
  </r>
  <r>
    <x v="3"/>
    <x v="0"/>
    <x v="2"/>
    <x v="222"/>
    <x v="7"/>
    <x v="462"/>
    <x v="3887"/>
    <x v="5934"/>
  </r>
  <r>
    <x v="0"/>
    <x v="0"/>
    <x v="0"/>
    <x v="63"/>
    <x v="12"/>
    <x v="834"/>
    <x v="425"/>
    <x v="5935"/>
  </r>
  <r>
    <x v="1"/>
    <x v="0"/>
    <x v="2"/>
    <x v="22"/>
    <x v="0"/>
    <x v="618"/>
    <x v="3888"/>
    <x v="5936"/>
  </r>
  <r>
    <x v="1"/>
    <x v="0"/>
    <x v="2"/>
    <x v="205"/>
    <x v="17"/>
    <x v="853"/>
    <x v="2491"/>
    <x v="5937"/>
  </r>
  <r>
    <x v="2"/>
    <x v="0"/>
    <x v="2"/>
    <x v="10"/>
    <x v="6"/>
    <x v="211"/>
    <x v="3889"/>
    <x v="5938"/>
  </r>
  <r>
    <x v="3"/>
    <x v="0"/>
    <x v="2"/>
    <x v="199"/>
    <x v="5"/>
    <x v="373"/>
    <x v="3890"/>
    <x v="5939"/>
  </r>
  <r>
    <x v="1"/>
    <x v="0"/>
    <x v="2"/>
    <x v="114"/>
    <x v="6"/>
    <x v="402"/>
    <x v="189"/>
    <x v="5940"/>
  </r>
  <r>
    <x v="2"/>
    <x v="0"/>
    <x v="2"/>
    <x v="195"/>
    <x v="9"/>
    <x v="365"/>
    <x v="2493"/>
    <x v="5941"/>
  </r>
  <r>
    <x v="3"/>
    <x v="0"/>
    <x v="2"/>
    <x v="6"/>
    <x v="17"/>
    <x v="153"/>
    <x v="3891"/>
    <x v="5942"/>
  </r>
  <r>
    <x v="1"/>
    <x v="0"/>
    <x v="2"/>
    <x v="58"/>
    <x v="2"/>
    <x v="2"/>
    <x v="3892"/>
    <x v="5943"/>
  </r>
  <r>
    <x v="3"/>
    <x v="0"/>
    <x v="2"/>
    <x v="209"/>
    <x v="16"/>
    <x v="196"/>
    <x v="1254"/>
    <x v="5944"/>
  </r>
  <r>
    <x v="1"/>
    <x v="0"/>
    <x v="1"/>
    <x v="207"/>
    <x v="7"/>
    <x v="776"/>
    <x v="3893"/>
    <x v="5945"/>
  </r>
  <r>
    <x v="0"/>
    <x v="0"/>
    <x v="0"/>
    <x v="145"/>
    <x v="24"/>
    <x v="55"/>
    <x v="3891"/>
    <x v="5946"/>
  </r>
  <r>
    <x v="3"/>
    <x v="0"/>
    <x v="2"/>
    <x v="249"/>
    <x v="15"/>
    <x v="365"/>
    <x v="3894"/>
    <x v="5947"/>
  </r>
  <r>
    <x v="0"/>
    <x v="0"/>
    <x v="2"/>
    <x v="103"/>
    <x v="0"/>
    <x v="169"/>
    <x v="3895"/>
    <x v="5948"/>
  </r>
  <r>
    <x v="0"/>
    <x v="0"/>
    <x v="2"/>
    <x v="199"/>
    <x v="24"/>
    <x v="158"/>
    <x v="3714"/>
    <x v="5949"/>
  </r>
  <r>
    <x v="0"/>
    <x v="0"/>
    <x v="2"/>
    <x v="64"/>
    <x v="22"/>
    <x v="365"/>
    <x v="3854"/>
    <x v="5950"/>
  </r>
  <r>
    <x v="1"/>
    <x v="0"/>
    <x v="1"/>
    <x v="240"/>
    <x v="5"/>
    <x v="363"/>
    <x v="1064"/>
    <x v="59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1">
  <r>
    <x v="0"/>
    <x v="0"/>
    <x v="0"/>
    <n v="60"/>
    <n v="6"/>
    <n v="10"/>
    <n v="68.62"/>
    <n v="4117.2"/>
  </r>
  <r>
    <x v="1"/>
    <x v="0"/>
    <x v="1"/>
    <n v="173"/>
    <n v="3"/>
    <n v="1.73"/>
    <n v="47.97"/>
    <n v="8298.81"/>
  </r>
  <r>
    <x v="0"/>
    <x v="0"/>
    <x v="2"/>
    <n v="65"/>
    <n v="0"/>
    <n v="0"/>
    <n v="55.63"/>
    <n v="3615.95"/>
  </r>
  <r>
    <x v="0"/>
    <x v="0"/>
    <x v="0"/>
    <n v="231"/>
    <n v="11"/>
    <n v="4.76"/>
    <n v="41.15"/>
    <n v="9505.65"/>
  </r>
  <r>
    <x v="1"/>
    <x v="0"/>
    <x v="2"/>
    <n v="294"/>
    <n v="11"/>
    <n v="3.74"/>
    <n v="28.06"/>
    <n v="8249.64"/>
  </r>
  <r>
    <x v="2"/>
    <x v="0"/>
    <x v="2"/>
    <n v="233"/>
    <n v="23"/>
    <n v="9.8699999999999992"/>
    <n v="63.87"/>
    <n v="14881.71"/>
  </r>
  <r>
    <x v="0"/>
    <x v="0"/>
    <x v="2"/>
    <n v="162"/>
    <n v="11"/>
    <n v="6.79"/>
    <n v="42.8"/>
    <n v="6933.6"/>
  </r>
  <r>
    <x v="1"/>
    <x v="0"/>
    <x v="1"/>
    <n v="202"/>
    <n v="5"/>
    <n v="2.48"/>
    <n v="62.35"/>
    <n v="12594.7"/>
  </r>
  <r>
    <x v="0"/>
    <x v="0"/>
    <x v="0"/>
    <n v="92"/>
    <n v="6"/>
    <n v="6.52"/>
    <n v="54.47"/>
    <n v="5011.24"/>
  </r>
  <r>
    <x v="0"/>
    <x v="0"/>
    <x v="0"/>
    <n v="150"/>
    <n v="4"/>
    <n v="2.67"/>
    <n v="12.66"/>
    <n v="1899"/>
  </r>
  <r>
    <x v="1"/>
    <x v="0"/>
    <x v="1"/>
    <n v="76"/>
    <n v="0"/>
    <n v="0"/>
    <n v="30.36"/>
    <n v="2307.36"/>
  </r>
  <r>
    <x v="0"/>
    <x v="0"/>
    <x v="2"/>
    <n v="262"/>
    <n v="8"/>
    <n v="3.05"/>
    <n v="7.49"/>
    <n v="1962.38"/>
  </r>
  <r>
    <x v="0"/>
    <x v="0"/>
    <x v="2"/>
    <n v="201"/>
    <n v="17"/>
    <n v="8.4600000000000009"/>
    <n v="11.99"/>
    <n v="2409.9899999999998"/>
  </r>
  <r>
    <x v="0"/>
    <x v="0"/>
    <x v="2"/>
    <n v="242"/>
    <n v="18"/>
    <n v="7.44"/>
    <n v="65.38"/>
    <n v="15821.96"/>
  </r>
  <r>
    <x v="0"/>
    <x v="0"/>
    <x v="0"/>
    <n v="194"/>
    <n v="7"/>
    <n v="3.61"/>
    <n v="7.08"/>
    <n v="1373.52"/>
  </r>
  <r>
    <x v="0"/>
    <x v="0"/>
    <x v="2"/>
    <n v="108"/>
    <n v="2"/>
    <n v="1.85"/>
    <n v="41.07"/>
    <n v="4435.5600000000004"/>
  </r>
  <r>
    <x v="0"/>
    <x v="0"/>
    <x v="2"/>
    <n v="177"/>
    <n v="7"/>
    <n v="3.95"/>
    <n v="38.32"/>
    <n v="6782.64"/>
  </r>
  <r>
    <x v="2"/>
    <x v="0"/>
    <x v="2"/>
    <n v="241"/>
    <n v="15"/>
    <n v="6.22"/>
    <n v="32.78"/>
    <n v="7899.98"/>
  </r>
  <r>
    <x v="0"/>
    <x v="0"/>
    <x v="2"/>
    <n v="146"/>
    <n v="3"/>
    <n v="2.0499999999999998"/>
    <n v="64.63"/>
    <n v="9435.98"/>
  </r>
  <r>
    <x v="0"/>
    <x v="0"/>
    <x v="0"/>
    <n v="114"/>
    <n v="8"/>
    <n v="7.02"/>
    <n v="8.58"/>
    <n v="978.12"/>
  </r>
  <r>
    <x v="0"/>
    <x v="0"/>
    <x v="0"/>
    <n v="135"/>
    <n v="6"/>
    <n v="4.4400000000000004"/>
    <n v="47.54"/>
    <n v="6417.9"/>
  </r>
  <r>
    <x v="3"/>
    <x v="0"/>
    <x v="2"/>
    <n v="143"/>
    <n v="4"/>
    <n v="2.8"/>
    <n v="53.83"/>
    <n v="7697.69"/>
  </r>
  <r>
    <x v="1"/>
    <x v="0"/>
    <x v="1"/>
    <n v="151"/>
    <n v="5"/>
    <n v="3.31"/>
    <n v="15.33"/>
    <n v="2314.83"/>
  </r>
  <r>
    <x v="2"/>
    <x v="0"/>
    <x v="2"/>
    <n v="268"/>
    <n v="6"/>
    <n v="2.2400000000000002"/>
    <n v="29.75"/>
    <n v="7973"/>
  </r>
  <r>
    <x v="0"/>
    <x v="0"/>
    <x v="0"/>
    <n v="205"/>
    <n v="3"/>
    <n v="1.46"/>
    <n v="48.86"/>
    <n v="10016.299999999999"/>
  </r>
  <r>
    <x v="0"/>
    <x v="0"/>
    <x v="2"/>
    <n v="131"/>
    <n v="11"/>
    <n v="8.4"/>
    <n v="52.13"/>
    <n v="6829.03"/>
  </r>
  <r>
    <x v="1"/>
    <x v="0"/>
    <x v="1"/>
    <n v="146"/>
    <n v="0"/>
    <n v="0"/>
    <n v="30.65"/>
    <n v="4474.8999999999996"/>
  </r>
  <r>
    <x v="0"/>
    <x v="0"/>
    <x v="0"/>
    <n v="126"/>
    <n v="8"/>
    <n v="6.35"/>
    <n v="18.8"/>
    <n v="2368.8000000000002"/>
  </r>
  <r>
    <x v="0"/>
    <x v="0"/>
    <x v="2"/>
    <n v="112"/>
    <n v="7"/>
    <n v="6.25"/>
    <n v="30.89"/>
    <n v="3459.68"/>
  </r>
  <r>
    <x v="0"/>
    <x v="0"/>
    <x v="0"/>
    <n v="174"/>
    <n v="6"/>
    <n v="3.45"/>
    <n v="36.58"/>
    <n v="6364.92"/>
  </r>
  <r>
    <x v="1"/>
    <x v="0"/>
    <x v="1"/>
    <n v="157"/>
    <n v="0"/>
    <n v="0"/>
    <n v="8.31"/>
    <n v="1304.67"/>
  </r>
  <r>
    <x v="3"/>
    <x v="0"/>
    <x v="2"/>
    <n v="141"/>
    <n v="2"/>
    <n v="1.42"/>
    <n v="40.61"/>
    <n v="5726.01"/>
  </r>
  <r>
    <x v="1"/>
    <x v="0"/>
    <x v="2"/>
    <n v="270"/>
    <n v="23"/>
    <n v="8.52"/>
    <n v="64.59"/>
    <n v="17439.3"/>
  </r>
  <r>
    <x v="1"/>
    <x v="0"/>
    <x v="1"/>
    <n v="63"/>
    <n v="1"/>
    <n v="1.59"/>
    <n v="48.9"/>
    <n v="3080.7"/>
  </r>
  <r>
    <x v="0"/>
    <x v="0"/>
    <x v="0"/>
    <n v="115"/>
    <n v="4"/>
    <n v="3.48"/>
    <n v="42.18"/>
    <n v="4850.7"/>
  </r>
  <r>
    <x v="2"/>
    <x v="0"/>
    <x v="2"/>
    <n v="79"/>
    <n v="0"/>
    <n v="0"/>
    <n v="42.41"/>
    <n v="3350.39"/>
  </r>
  <r>
    <x v="0"/>
    <x v="0"/>
    <x v="0"/>
    <n v="276"/>
    <n v="14"/>
    <n v="5.07"/>
    <n v="9.61"/>
    <n v="2652.36"/>
  </r>
  <r>
    <x v="0"/>
    <x v="0"/>
    <x v="2"/>
    <n v="135"/>
    <n v="11"/>
    <n v="8.15"/>
    <n v="27.44"/>
    <n v="3704.4"/>
  </r>
  <r>
    <x v="3"/>
    <x v="0"/>
    <x v="2"/>
    <n v="278"/>
    <n v="9"/>
    <n v="3.24"/>
    <n v="6.36"/>
    <n v="1768.08"/>
  </r>
  <r>
    <x v="3"/>
    <x v="0"/>
    <x v="2"/>
    <n v="91"/>
    <n v="0"/>
    <n v="0"/>
    <n v="16.760000000000002"/>
    <n v="1525.16"/>
  </r>
  <r>
    <x v="2"/>
    <x v="0"/>
    <x v="2"/>
    <n v="50"/>
    <n v="2"/>
    <n v="4"/>
    <n v="52.18"/>
    <n v="2609"/>
  </r>
  <r>
    <x v="3"/>
    <x v="0"/>
    <x v="2"/>
    <n v="53"/>
    <n v="5"/>
    <n v="9.43"/>
    <n v="32.74"/>
    <n v="1735.22"/>
  </r>
  <r>
    <x v="0"/>
    <x v="0"/>
    <x v="2"/>
    <n v="98"/>
    <n v="6"/>
    <n v="6.12"/>
    <n v="47.39"/>
    <n v="4644.22"/>
  </r>
  <r>
    <x v="1"/>
    <x v="0"/>
    <x v="2"/>
    <n v="254"/>
    <n v="2"/>
    <n v="0.79"/>
    <n v="6.95"/>
    <n v="1765.3"/>
  </r>
  <r>
    <x v="2"/>
    <x v="0"/>
    <x v="2"/>
    <n v="133"/>
    <n v="12"/>
    <n v="9.02"/>
    <n v="24.19"/>
    <n v="3217.27"/>
  </r>
  <r>
    <x v="1"/>
    <x v="0"/>
    <x v="1"/>
    <n v="143"/>
    <n v="2"/>
    <n v="1.4"/>
    <n v="51.47"/>
    <n v="7360.21"/>
  </r>
  <r>
    <x v="1"/>
    <x v="0"/>
    <x v="2"/>
    <n v="147"/>
    <n v="10"/>
    <n v="6.8"/>
    <n v="46.23"/>
    <n v="6795.81"/>
  </r>
  <r>
    <x v="0"/>
    <x v="0"/>
    <x v="0"/>
    <n v="73"/>
    <n v="5"/>
    <n v="6.85"/>
    <n v="38.130000000000003"/>
    <n v="2783.49"/>
  </r>
  <r>
    <x v="0"/>
    <x v="0"/>
    <x v="2"/>
    <n v="152"/>
    <n v="2"/>
    <n v="1.32"/>
    <n v="23.85"/>
    <n v="3625.2"/>
  </r>
  <r>
    <x v="3"/>
    <x v="0"/>
    <x v="2"/>
    <n v="300"/>
    <n v="7"/>
    <n v="2.33"/>
    <n v="48.73"/>
    <n v="14619"/>
  </r>
  <r>
    <x v="1"/>
    <x v="0"/>
    <x v="2"/>
    <n v="53"/>
    <n v="2"/>
    <n v="3.77"/>
    <n v="62.02"/>
    <n v="3287.06"/>
  </r>
  <r>
    <x v="0"/>
    <x v="0"/>
    <x v="0"/>
    <n v="182"/>
    <n v="4"/>
    <n v="2.2000000000000002"/>
    <n v="58.51"/>
    <n v="10648.82"/>
  </r>
  <r>
    <x v="3"/>
    <x v="0"/>
    <x v="2"/>
    <n v="209"/>
    <n v="20"/>
    <n v="9.57"/>
    <n v="44.99"/>
    <n v="9402.91"/>
  </r>
  <r>
    <x v="3"/>
    <x v="0"/>
    <x v="2"/>
    <n v="113"/>
    <n v="0"/>
    <n v="0"/>
    <n v="5.5"/>
    <n v="621.5"/>
  </r>
  <r>
    <x v="2"/>
    <x v="0"/>
    <x v="2"/>
    <n v="271"/>
    <n v="27"/>
    <n v="9.9600000000000009"/>
    <n v="52.98"/>
    <n v="14357.58"/>
  </r>
  <r>
    <x v="0"/>
    <x v="0"/>
    <x v="0"/>
    <n v="91"/>
    <n v="4"/>
    <n v="4.4000000000000004"/>
    <n v="9.5399999999999991"/>
    <n v="868.14"/>
  </r>
  <r>
    <x v="1"/>
    <x v="0"/>
    <x v="1"/>
    <n v="296"/>
    <n v="21"/>
    <n v="7.09"/>
    <n v="20.98"/>
    <n v="6210.08"/>
  </r>
  <r>
    <x v="2"/>
    <x v="0"/>
    <x v="2"/>
    <n v="213"/>
    <n v="8"/>
    <n v="3.76"/>
    <n v="30.89"/>
    <n v="6579.57"/>
  </r>
  <r>
    <x v="1"/>
    <x v="0"/>
    <x v="2"/>
    <n v="240"/>
    <n v="12"/>
    <n v="5"/>
    <n v="52.64"/>
    <n v="12633.6"/>
  </r>
  <r>
    <x v="3"/>
    <x v="0"/>
    <x v="2"/>
    <n v="208"/>
    <n v="1"/>
    <n v="0.48"/>
    <n v="33.53"/>
    <n v="6974.24"/>
  </r>
  <r>
    <x v="2"/>
    <x v="0"/>
    <x v="2"/>
    <n v="102"/>
    <n v="0"/>
    <n v="0"/>
    <n v="69.69"/>
    <n v="7108.38"/>
  </r>
  <r>
    <x v="0"/>
    <x v="0"/>
    <x v="0"/>
    <n v="262"/>
    <n v="21"/>
    <n v="8.02"/>
    <n v="23.16"/>
    <n v="6067.92"/>
  </r>
  <r>
    <x v="1"/>
    <x v="0"/>
    <x v="2"/>
    <n v="189"/>
    <n v="17"/>
    <n v="8.99"/>
    <n v="34.9"/>
    <n v="6596.1"/>
  </r>
  <r>
    <x v="0"/>
    <x v="0"/>
    <x v="2"/>
    <n v="223"/>
    <n v="10"/>
    <n v="4.4800000000000004"/>
    <n v="24.72"/>
    <n v="5512.56"/>
  </r>
  <r>
    <x v="0"/>
    <x v="0"/>
    <x v="2"/>
    <n v="252"/>
    <n v="1"/>
    <n v="0.4"/>
    <n v="69.040000000000006"/>
    <n v="17398.080000000002"/>
  </r>
  <r>
    <x v="0"/>
    <x v="0"/>
    <x v="2"/>
    <n v="184"/>
    <n v="15"/>
    <n v="8.15"/>
    <n v="22.73"/>
    <n v="4182.32"/>
  </r>
  <r>
    <x v="2"/>
    <x v="0"/>
    <x v="2"/>
    <n v="153"/>
    <n v="6"/>
    <n v="3.92"/>
    <n v="20.22"/>
    <n v="3093.66"/>
  </r>
  <r>
    <x v="0"/>
    <x v="0"/>
    <x v="0"/>
    <n v="167"/>
    <n v="7"/>
    <n v="4.1900000000000004"/>
    <n v="7.09"/>
    <n v="1184.03"/>
  </r>
  <r>
    <x v="3"/>
    <x v="0"/>
    <x v="2"/>
    <n v="126"/>
    <n v="4"/>
    <n v="3.17"/>
    <n v="56.24"/>
    <n v="7086.24"/>
  </r>
  <r>
    <x v="0"/>
    <x v="0"/>
    <x v="0"/>
    <n v="85"/>
    <n v="5"/>
    <n v="5.88"/>
    <n v="52.49"/>
    <n v="4461.6499999999996"/>
  </r>
  <r>
    <x v="3"/>
    <x v="0"/>
    <x v="2"/>
    <n v="288"/>
    <n v="23"/>
    <n v="7.99"/>
    <n v="45.6"/>
    <n v="13132.8"/>
  </r>
  <r>
    <x v="3"/>
    <x v="0"/>
    <x v="2"/>
    <n v="198"/>
    <n v="0"/>
    <n v="0"/>
    <n v="26.02"/>
    <n v="5151.96"/>
  </r>
  <r>
    <x v="0"/>
    <x v="0"/>
    <x v="2"/>
    <n v="145"/>
    <n v="0"/>
    <n v="0"/>
    <n v="47.69"/>
    <n v="6915.05"/>
  </r>
  <r>
    <x v="0"/>
    <x v="0"/>
    <x v="2"/>
    <n v="184"/>
    <n v="11"/>
    <n v="5.98"/>
    <n v="41.49"/>
    <n v="7634.16"/>
  </r>
  <r>
    <x v="2"/>
    <x v="0"/>
    <x v="2"/>
    <n v="77"/>
    <n v="0"/>
    <n v="0"/>
    <n v="43.8"/>
    <n v="3372.6"/>
  </r>
  <r>
    <x v="1"/>
    <x v="0"/>
    <x v="1"/>
    <n v="279"/>
    <n v="25"/>
    <n v="8.9600000000000009"/>
    <n v="26.57"/>
    <n v="7413.03"/>
  </r>
  <r>
    <x v="1"/>
    <x v="0"/>
    <x v="1"/>
    <n v="272"/>
    <n v="13"/>
    <n v="4.78"/>
    <n v="10.1"/>
    <n v="2747.2"/>
  </r>
  <r>
    <x v="3"/>
    <x v="0"/>
    <x v="2"/>
    <n v="258"/>
    <n v="15"/>
    <n v="5.81"/>
    <n v="30.53"/>
    <n v="7876.74"/>
  </r>
  <r>
    <x v="0"/>
    <x v="0"/>
    <x v="0"/>
    <n v="195"/>
    <n v="12"/>
    <n v="6.15"/>
    <n v="22.08"/>
    <n v="4305.6000000000004"/>
  </r>
  <r>
    <x v="3"/>
    <x v="0"/>
    <x v="2"/>
    <n v="273"/>
    <n v="21"/>
    <n v="7.69"/>
    <n v="27.32"/>
    <n v="7458.36"/>
  </r>
  <r>
    <x v="0"/>
    <x v="0"/>
    <x v="2"/>
    <n v="257"/>
    <n v="10"/>
    <n v="3.89"/>
    <n v="18.47"/>
    <n v="4746.79"/>
  </r>
  <r>
    <x v="0"/>
    <x v="0"/>
    <x v="2"/>
    <n v="213"/>
    <n v="17"/>
    <n v="7.98"/>
    <n v="31.47"/>
    <n v="6703.11"/>
  </r>
  <r>
    <x v="0"/>
    <x v="0"/>
    <x v="0"/>
    <n v="150"/>
    <n v="8"/>
    <n v="5.33"/>
    <n v="10.220000000000001"/>
    <n v="1533"/>
  </r>
  <r>
    <x v="0"/>
    <x v="0"/>
    <x v="2"/>
    <n v="115"/>
    <n v="1"/>
    <n v="0.87"/>
    <n v="68.92"/>
    <n v="7925.8"/>
  </r>
  <r>
    <x v="1"/>
    <x v="0"/>
    <x v="2"/>
    <n v="93"/>
    <n v="2"/>
    <n v="2.15"/>
    <n v="44.75"/>
    <n v="4161.75"/>
  </r>
  <r>
    <x v="1"/>
    <x v="0"/>
    <x v="1"/>
    <n v="216"/>
    <n v="10"/>
    <n v="4.63"/>
    <n v="7.23"/>
    <n v="1561.68"/>
  </r>
  <r>
    <x v="0"/>
    <x v="0"/>
    <x v="2"/>
    <n v="129"/>
    <n v="12"/>
    <n v="9.3000000000000007"/>
    <n v="67.47"/>
    <n v="8703.6299999999992"/>
  </r>
  <r>
    <x v="2"/>
    <x v="0"/>
    <x v="2"/>
    <n v="251"/>
    <n v="24"/>
    <n v="9.56"/>
    <n v="10.57"/>
    <n v="2653.07"/>
  </r>
  <r>
    <x v="2"/>
    <x v="0"/>
    <x v="2"/>
    <n v="186"/>
    <n v="16"/>
    <n v="8.6"/>
    <n v="66.930000000000007"/>
    <n v="12448.98"/>
  </r>
  <r>
    <x v="1"/>
    <x v="0"/>
    <x v="1"/>
    <n v="179"/>
    <n v="8"/>
    <n v="4.47"/>
    <n v="15.51"/>
    <n v="2776.29"/>
  </r>
  <r>
    <x v="1"/>
    <x v="0"/>
    <x v="1"/>
    <n v="86"/>
    <n v="5"/>
    <n v="5.81"/>
    <n v="41.13"/>
    <n v="3537.18"/>
  </r>
  <r>
    <x v="1"/>
    <x v="0"/>
    <x v="2"/>
    <n v="276"/>
    <n v="19"/>
    <n v="6.88"/>
    <n v="54.69"/>
    <n v="15094.44"/>
  </r>
  <r>
    <x v="1"/>
    <x v="0"/>
    <x v="2"/>
    <n v="118"/>
    <n v="9"/>
    <n v="7.63"/>
    <n v="32.79"/>
    <n v="3869.22"/>
  </r>
  <r>
    <x v="2"/>
    <x v="0"/>
    <x v="2"/>
    <n v="84"/>
    <n v="4"/>
    <n v="4.76"/>
    <n v="26.95"/>
    <n v="2263.8000000000002"/>
  </r>
  <r>
    <x v="3"/>
    <x v="0"/>
    <x v="2"/>
    <n v="124"/>
    <n v="6"/>
    <n v="4.84"/>
    <n v="48.92"/>
    <n v="6066.08"/>
  </r>
  <r>
    <x v="3"/>
    <x v="0"/>
    <x v="2"/>
    <n v="275"/>
    <n v="20"/>
    <n v="7.27"/>
    <n v="9.66"/>
    <n v="2656.5"/>
  </r>
  <r>
    <x v="2"/>
    <x v="0"/>
    <x v="2"/>
    <n v="94"/>
    <n v="4"/>
    <n v="4.26"/>
    <n v="23.68"/>
    <n v="2225.92"/>
  </r>
  <r>
    <x v="1"/>
    <x v="0"/>
    <x v="1"/>
    <n v="285"/>
    <n v="27"/>
    <n v="9.4700000000000006"/>
    <n v="35.9"/>
    <n v="10231.5"/>
  </r>
  <r>
    <x v="3"/>
    <x v="0"/>
    <x v="2"/>
    <n v="138"/>
    <n v="8"/>
    <n v="5.8"/>
    <n v="60.87"/>
    <n v="8400.06"/>
  </r>
  <r>
    <x v="0"/>
    <x v="0"/>
    <x v="2"/>
    <n v="253"/>
    <n v="0"/>
    <n v="0"/>
    <n v="40.299999999999997"/>
    <n v="10195.9"/>
  </r>
  <r>
    <x v="2"/>
    <x v="0"/>
    <x v="2"/>
    <n v="213"/>
    <n v="2"/>
    <n v="0.94"/>
    <n v="29.96"/>
    <n v="6381.48"/>
  </r>
  <r>
    <x v="1"/>
    <x v="0"/>
    <x v="2"/>
    <n v="153"/>
    <n v="0"/>
    <n v="0"/>
    <n v="8.2100000000000009"/>
    <n v="1256.1300000000001"/>
  </r>
  <r>
    <x v="1"/>
    <x v="0"/>
    <x v="2"/>
    <n v="267"/>
    <n v="4"/>
    <n v="1.5"/>
    <n v="45.43"/>
    <n v="12129.81"/>
  </r>
  <r>
    <x v="0"/>
    <x v="0"/>
    <x v="0"/>
    <n v="97"/>
    <n v="9"/>
    <n v="9.2799999999999994"/>
    <n v="21.25"/>
    <n v="2061.25"/>
  </r>
  <r>
    <x v="0"/>
    <x v="0"/>
    <x v="2"/>
    <n v="76"/>
    <n v="3"/>
    <n v="3.95"/>
    <n v="26.25"/>
    <n v="1995"/>
  </r>
  <r>
    <x v="3"/>
    <x v="0"/>
    <x v="2"/>
    <n v="78"/>
    <n v="7"/>
    <n v="8.9700000000000006"/>
    <n v="16.32"/>
    <n v="1272.96"/>
  </r>
  <r>
    <x v="0"/>
    <x v="0"/>
    <x v="0"/>
    <n v="107"/>
    <n v="8"/>
    <n v="7.48"/>
    <n v="10.68"/>
    <n v="1142.76"/>
  </r>
  <r>
    <x v="0"/>
    <x v="0"/>
    <x v="0"/>
    <n v="272"/>
    <n v="16"/>
    <n v="5.88"/>
    <n v="9.7200000000000006"/>
    <n v="2643.84"/>
  </r>
  <r>
    <x v="1"/>
    <x v="0"/>
    <x v="1"/>
    <n v="278"/>
    <n v="26"/>
    <n v="9.35"/>
    <n v="40.520000000000003"/>
    <n v="11264.56"/>
  </r>
  <r>
    <x v="0"/>
    <x v="0"/>
    <x v="0"/>
    <n v="139"/>
    <n v="13"/>
    <n v="9.35"/>
    <n v="63.45"/>
    <n v="8819.5499999999993"/>
  </r>
  <r>
    <x v="2"/>
    <x v="0"/>
    <x v="2"/>
    <n v="171"/>
    <n v="13"/>
    <n v="7.6"/>
    <n v="23.54"/>
    <n v="4025.34"/>
  </r>
  <r>
    <x v="1"/>
    <x v="0"/>
    <x v="2"/>
    <n v="162"/>
    <n v="2"/>
    <n v="1.23"/>
    <n v="42.85"/>
    <n v="6941.7"/>
  </r>
  <r>
    <x v="1"/>
    <x v="0"/>
    <x v="1"/>
    <n v="131"/>
    <n v="0"/>
    <n v="0"/>
    <n v="51.07"/>
    <n v="6690.17"/>
  </r>
  <r>
    <x v="2"/>
    <x v="0"/>
    <x v="2"/>
    <n v="96"/>
    <n v="0"/>
    <n v="0"/>
    <n v="49.42"/>
    <n v="4744.32"/>
  </r>
  <r>
    <x v="0"/>
    <x v="0"/>
    <x v="2"/>
    <n v="217"/>
    <n v="4"/>
    <n v="1.84"/>
    <n v="66.040000000000006"/>
    <n v="14330.68"/>
  </r>
  <r>
    <x v="1"/>
    <x v="0"/>
    <x v="1"/>
    <n v="209"/>
    <n v="15"/>
    <n v="7.18"/>
    <n v="23.28"/>
    <n v="4865.5200000000004"/>
  </r>
  <r>
    <x v="1"/>
    <x v="0"/>
    <x v="2"/>
    <n v="238"/>
    <n v="11"/>
    <n v="4.62"/>
    <n v="55.01"/>
    <n v="13092.38"/>
  </r>
  <r>
    <x v="1"/>
    <x v="0"/>
    <x v="2"/>
    <n v="153"/>
    <n v="4"/>
    <n v="2.61"/>
    <n v="25.17"/>
    <n v="3851.01"/>
  </r>
  <r>
    <x v="2"/>
    <x v="0"/>
    <x v="2"/>
    <n v="205"/>
    <n v="18"/>
    <n v="8.7799999999999994"/>
    <n v="19.25"/>
    <n v="3946.25"/>
  </r>
  <r>
    <x v="1"/>
    <x v="0"/>
    <x v="2"/>
    <n v="131"/>
    <n v="1"/>
    <n v="0.76"/>
    <n v="62.35"/>
    <n v="8167.85"/>
  </r>
  <r>
    <x v="0"/>
    <x v="0"/>
    <x v="0"/>
    <n v="163"/>
    <n v="7"/>
    <n v="4.29"/>
    <n v="59.78"/>
    <n v="9744.14"/>
  </r>
  <r>
    <x v="2"/>
    <x v="0"/>
    <x v="2"/>
    <n v="135"/>
    <n v="9"/>
    <n v="6.67"/>
    <n v="7.41"/>
    <n v="1000.35"/>
  </r>
  <r>
    <x v="1"/>
    <x v="0"/>
    <x v="2"/>
    <n v="209"/>
    <n v="3"/>
    <n v="1.44"/>
    <n v="30.06"/>
    <n v="6282.54"/>
  </r>
  <r>
    <x v="0"/>
    <x v="0"/>
    <x v="2"/>
    <n v="93"/>
    <n v="8"/>
    <n v="8.6"/>
    <n v="40.72"/>
    <n v="3786.96"/>
  </r>
  <r>
    <x v="1"/>
    <x v="0"/>
    <x v="2"/>
    <n v="281"/>
    <n v="14"/>
    <n v="4.9800000000000004"/>
    <n v="44.62"/>
    <n v="12538.22"/>
  </r>
  <r>
    <x v="1"/>
    <x v="0"/>
    <x v="2"/>
    <n v="258"/>
    <n v="7"/>
    <n v="2.71"/>
    <n v="24.29"/>
    <n v="6266.82"/>
  </r>
  <r>
    <x v="0"/>
    <x v="0"/>
    <x v="2"/>
    <n v="291"/>
    <n v="28"/>
    <n v="9.6199999999999992"/>
    <n v="62.76"/>
    <n v="18263.16"/>
  </r>
  <r>
    <x v="0"/>
    <x v="0"/>
    <x v="0"/>
    <n v="82"/>
    <n v="2"/>
    <n v="2.44"/>
    <n v="53.05"/>
    <n v="4350.1000000000004"/>
  </r>
  <r>
    <x v="0"/>
    <x v="0"/>
    <x v="0"/>
    <n v="140"/>
    <n v="7"/>
    <n v="5"/>
    <n v="18.3"/>
    <n v="2562"/>
  </r>
  <r>
    <x v="0"/>
    <x v="0"/>
    <x v="2"/>
    <n v="115"/>
    <n v="6"/>
    <n v="5.22"/>
    <n v="58.1"/>
    <n v="6681.5"/>
  </r>
  <r>
    <x v="3"/>
    <x v="0"/>
    <x v="2"/>
    <n v="268"/>
    <n v="17"/>
    <n v="6.34"/>
    <n v="34.96"/>
    <n v="9369.2800000000007"/>
  </r>
  <r>
    <x v="1"/>
    <x v="0"/>
    <x v="1"/>
    <n v="200"/>
    <n v="19"/>
    <n v="9.5"/>
    <n v="32.409999999999997"/>
    <n v="6482"/>
  </r>
  <r>
    <x v="1"/>
    <x v="0"/>
    <x v="2"/>
    <n v="165"/>
    <n v="11"/>
    <n v="6.67"/>
    <n v="8.92"/>
    <n v="1471.8"/>
  </r>
  <r>
    <x v="0"/>
    <x v="0"/>
    <x v="2"/>
    <n v="133"/>
    <n v="12"/>
    <n v="9.02"/>
    <n v="5.52"/>
    <n v="734.16"/>
  </r>
  <r>
    <x v="0"/>
    <x v="0"/>
    <x v="2"/>
    <n v="60"/>
    <n v="4"/>
    <n v="6.67"/>
    <n v="35.130000000000003"/>
    <n v="2107.8000000000002"/>
  </r>
  <r>
    <x v="0"/>
    <x v="0"/>
    <x v="2"/>
    <n v="194"/>
    <n v="7"/>
    <n v="3.61"/>
    <n v="66.53"/>
    <n v="12906.82"/>
  </r>
  <r>
    <x v="2"/>
    <x v="0"/>
    <x v="2"/>
    <n v="102"/>
    <n v="7"/>
    <n v="6.86"/>
    <n v="43.08"/>
    <n v="4394.16"/>
  </r>
  <r>
    <x v="1"/>
    <x v="0"/>
    <x v="2"/>
    <n v="122"/>
    <n v="12"/>
    <n v="9.84"/>
    <n v="25.87"/>
    <n v="3156.14"/>
  </r>
  <r>
    <x v="1"/>
    <x v="0"/>
    <x v="1"/>
    <n v="122"/>
    <n v="0"/>
    <n v="0"/>
    <n v="38.18"/>
    <n v="4657.96"/>
  </r>
  <r>
    <x v="2"/>
    <x v="0"/>
    <x v="2"/>
    <n v="57"/>
    <n v="4"/>
    <n v="7.02"/>
    <n v="22.43"/>
    <n v="1278.51"/>
  </r>
  <r>
    <x v="3"/>
    <x v="0"/>
    <x v="2"/>
    <n v="244"/>
    <n v="8"/>
    <n v="3.28"/>
    <n v="54.2"/>
    <n v="13224.8"/>
  </r>
  <r>
    <x v="1"/>
    <x v="0"/>
    <x v="2"/>
    <n v="83"/>
    <n v="7"/>
    <n v="8.43"/>
    <n v="48.3"/>
    <n v="4008.9"/>
  </r>
  <r>
    <x v="1"/>
    <x v="0"/>
    <x v="2"/>
    <n v="253"/>
    <n v="23"/>
    <n v="9.09"/>
    <n v="8.6300000000000008"/>
    <n v="2183.39"/>
  </r>
  <r>
    <x v="1"/>
    <x v="0"/>
    <x v="1"/>
    <n v="275"/>
    <n v="2"/>
    <n v="0.73"/>
    <n v="29.26"/>
    <n v="8046.5"/>
  </r>
  <r>
    <x v="1"/>
    <x v="0"/>
    <x v="2"/>
    <n v="163"/>
    <n v="2"/>
    <n v="1.23"/>
    <n v="14.47"/>
    <n v="2358.61"/>
  </r>
  <r>
    <x v="0"/>
    <x v="0"/>
    <x v="2"/>
    <n v="199"/>
    <n v="5"/>
    <n v="2.5099999999999998"/>
    <n v="43.16"/>
    <n v="8588.84"/>
  </r>
  <r>
    <x v="1"/>
    <x v="0"/>
    <x v="2"/>
    <n v="187"/>
    <n v="18"/>
    <n v="9.6300000000000008"/>
    <n v="49.02"/>
    <n v="9166.74"/>
  </r>
  <r>
    <x v="1"/>
    <x v="0"/>
    <x v="1"/>
    <n v="285"/>
    <n v="2"/>
    <n v="0.7"/>
    <n v="45.12"/>
    <n v="12859.2"/>
  </r>
  <r>
    <x v="2"/>
    <x v="0"/>
    <x v="2"/>
    <n v="216"/>
    <n v="8"/>
    <n v="3.7"/>
    <n v="34.54"/>
    <n v="7460.64"/>
  </r>
  <r>
    <x v="3"/>
    <x v="0"/>
    <x v="2"/>
    <n v="201"/>
    <n v="13"/>
    <n v="6.47"/>
    <n v="42.7"/>
    <n v="8582.7000000000007"/>
  </r>
  <r>
    <x v="3"/>
    <x v="0"/>
    <x v="2"/>
    <n v="145"/>
    <n v="13"/>
    <n v="8.9700000000000006"/>
    <n v="56.4"/>
    <n v="8178"/>
  </r>
  <r>
    <x v="0"/>
    <x v="0"/>
    <x v="0"/>
    <n v="216"/>
    <n v="8"/>
    <n v="3.7"/>
    <n v="64.709999999999994"/>
    <n v="13977.36"/>
  </r>
  <r>
    <x v="1"/>
    <x v="0"/>
    <x v="1"/>
    <n v="85"/>
    <n v="1"/>
    <n v="1.18"/>
    <n v="68.62"/>
    <n v="5832.7"/>
  </r>
  <r>
    <x v="1"/>
    <x v="0"/>
    <x v="1"/>
    <n v="198"/>
    <n v="17"/>
    <n v="8.59"/>
    <n v="21.05"/>
    <n v="4167.8999999999996"/>
  </r>
  <r>
    <x v="3"/>
    <x v="0"/>
    <x v="2"/>
    <n v="254"/>
    <n v="6"/>
    <n v="2.36"/>
    <n v="61.12"/>
    <n v="15524.48"/>
  </r>
  <r>
    <x v="1"/>
    <x v="0"/>
    <x v="1"/>
    <n v="95"/>
    <n v="4"/>
    <n v="4.21"/>
    <n v="16.64"/>
    <n v="1580.8"/>
  </r>
  <r>
    <x v="1"/>
    <x v="0"/>
    <x v="2"/>
    <n v="241"/>
    <n v="21"/>
    <n v="8.7100000000000009"/>
    <n v="6.33"/>
    <n v="1525.53"/>
  </r>
  <r>
    <x v="3"/>
    <x v="0"/>
    <x v="2"/>
    <n v="76"/>
    <n v="5"/>
    <n v="6.58"/>
    <n v="59.72"/>
    <n v="4538.72"/>
  </r>
  <r>
    <x v="3"/>
    <x v="0"/>
    <x v="2"/>
    <n v="222"/>
    <n v="19"/>
    <n v="8.56"/>
    <n v="13.6"/>
    <n v="3019.2"/>
  </r>
  <r>
    <x v="3"/>
    <x v="0"/>
    <x v="2"/>
    <n v="187"/>
    <n v="0"/>
    <n v="0"/>
    <n v="7.96"/>
    <n v="1488.52"/>
  </r>
  <r>
    <x v="1"/>
    <x v="0"/>
    <x v="2"/>
    <n v="256"/>
    <n v="20"/>
    <n v="7.81"/>
    <n v="26.97"/>
    <n v="6904.32"/>
  </r>
  <r>
    <x v="0"/>
    <x v="0"/>
    <x v="0"/>
    <n v="126"/>
    <n v="4"/>
    <n v="3.17"/>
    <n v="47.08"/>
    <n v="5932.08"/>
  </r>
  <r>
    <x v="1"/>
    <x v="0"/>
    <x v="2"/>
    <n v="209"/>
    <n v="9"/>
    <n v="4.3099999999999996"/>
    <n v="66.680000000000007"/>
    <n v="13936.12"/>
  </r>
  <r>
    <x v="0"/>
    <x v="0"/>
    <x v="0"/>
    <n v="234"/>
    <n v="10"/>
    <n v="4.2699999999999996"/>
    <n v="54.79"/>
    <n v="12820.86"/>
  </r>
  <r>
    <x v="1"/>
    <x v="0"/>
    <x v="1"/>
    <n v="182"/>
    <n v="13"/>
    <n v="7.14"/>
    <n v="51.46"/>
    <n v="9365.7199999999993"/>
  </r>
  <r>
    <x v="0"/>
    <x v="0"/>
    <x v="2"/>
    <n v="283"/>
    <n v="5"/>
    <n v="1.77"/>
    <n v="33.96"/>
    <n v="9610.68"/>
  </r>
  <r>
    <x v="3"/>
    <x v="0"/>
    <x v="2"/>
    <n v="115"/>
    <n v="7"/>
    <n v="6.09"/>
    <n v="67.06"/>
    <n v="7711.9"/>
  </r>
  <r>
    <x v="1"/>
    <x v="0"/>
    <x v="1"/>
    <n v="219"/>
    <n v="6"/>
    <n v="2.74"/>
    <n v="61.16"/>
    <n v="13394.04"/>
  </r>
  <r>
    <x v="2"/>
    <x v="0"/>
    <x v="2"/>
    <n v="276"/>
    <n v="19"/>
    <n v="6.88"/>
    <n v="61.78"/>
    <n v="17051.28"/>
  </r>
  <r>
    <x v="1"/>
    <x v="0"/>
    <x v="1"/>
    <n v="174"/>
    <n v="15"/>
    <n v="8.6199999999999992"/>
    <n v="61.07"/>
    <n v="10626.18"/>
  </r>
  <r>
    <x v="0"/>
    <x v="0"/>
    <x v="0"/>
    <n v="92"/>
    <n v="2"/>
    <n v="2.17"/>
    <n v="67.180000000000007"/>
    <n v="6180.56"/>
  </r>
  <r>
    <x v="0"/>
    <x v="0"/>
    <x v="2"/>
    <n v="240"/>
    <n v="17"/>
    <n v="7.08"/>
    <n v="66.33"/>
    <n v="15919.2"/>
  </r>
  <r>
    <x v="1"/>
    <x v="0"/>
    <x v="2"/>
    <n v="141"/>
    <n v="7"/>
    <n v="4.96"/>
    <n v="34.72"/>
    <n v="4895.5200000000004"/>
  </r>
  <r>
    <x v="3"/>
    <x v="0"/>
    <x v="2"/>
    <n v="263"/>
    <n v="10"/>
    <n v="3.8"/>
    <n v="14.55"/>
    <n v="3826.65"/>
  </r>
  <r>
    <x v="1"/>
    <x v="0"/>
    <x v="1"/>
    <n v="93"/>
    <n v="7"/>
    <n v="7.53"/>
    <n v="11.88"/>
    <n v="1104.8399999999999"/>
  </r>
  <r>
    <x v="0"/>
    <x v="0"/>
    <x v="2"/>
    <n v="172"/>
    <n v="1"/>
    <n v="0.57999999999999996"/>
    <n v="30.32"/>
    <n v="5215.04"/>
  </r>
  <r>
    <x v="3"/>
    <x v="0"/>
    <x v="2"/>
    <n v="228"/>
    <n v="19"/>
    <n v="8.33"/>
    <n v="63.05"/>
    <n v="14375.4"/>
  </r>
  <r>
    <x v="1"/>
    <x v="0"/>
    <x v="2"/>
    <n v="300"/>
    <n v="21"/>
    <n v="7"/>
    <n v="66.75"/>
    <n v="20025"/>
  </r>
  <r>
    <x v="3"/>
    <x v="0"/>
    <x v="2"/>
    <n v="292"/>
    <n v="13"/>
    <n v="4.45"/>
    <n v="49.72"/>
    <n v="14518.24"/>
  </r>
  <r>
    <x v="1"/>
    <x v="0"/>
    <x v="2"/>
    <n v="61"/>
    <n v="6"/>
    <n v="9.84"/>
    <n v="67.73"/>
    <n v="4131.53"/>
  </r>
  <r>
    <x v="3"/>
    <x v="0"/>
    <x v="2"/>
    <n v="215"/>
    <n v="19"/>
    <n v="8.84"/>
    <n v="5.07"/>
    <n v="1090.05"/>
  </r>
  <r>
    <x v="0"/>
    <x v="0"/>
    <x v="0"/>
    <n v="264"/>
    <n v="3"/>
    <n v="1.1399999999999999"/>
    <n v="69.739999999999995"/>
    <n v="18411.36"/>
  </r>
  <r>
    <x v="2"/>
    <x v="0"/>
    <x v="2"/>
    <n v="276"/>
    <n v="5"/>
    <n v="1.81"/>
    <n v="31.01"/>
    <n v="8558.76"/>
  </r>
  <r>
    <x v="0"/>
    <x v="0"/>
    <x v="0"/>
    <n v="88"/>
    <n v="2"/>
    <n v="2.27"/>
    <n v="40.68"/>
    <n v="3579.84"/>
  </r>
  <r>
    <x v="0"/>
    <x v="0"/>
    <x v="2"/>
    <n v="186"/>
    <n v="4"/>
    <n v="2.15"/>
    <n v="30.28"/>
    <n v="5632.08"/>
  </r>
  <r>
    <x v="1"/>
    <x v="0"/>
    <x v="1"/>
    <n v="117"/>
    <n v="2"/>
    <n v="1.71"/>
    <n v="46.25"/>
    <n v="5411.25"/>
  </r>
  <r>
    <x v="0"/>
    <x v="0"/>
    <x v="2"/>
    <n v="219"/>
    <n v="13"/>
    <n v="5.94"/>
    <n v="33.14"/>
    <n v="7257.66"/>
  </r>
  <r>
    <x v="3"/>
    <x v="0"/>
    <x v="2"/>
    <n v="166"/>
    <n v="12"/>
    <n v="7.23"/>
    <n v="51.31"/>
    <n v="8517.4599999999991"/>
  </r>
  <r>
    <x v="1"/>
    <x v="0"/>
    <x v="2"/>
    <n v="88"/>
    <n v="2"/>
    <n v="2.27"/>
    <n v="22.35"/>
    <n v="1966.8"/>
  </r>
  <r>
    <x v="3"/>
    <x v="0"/>
    <x v="2"/>
    <n v="153"/>
    <n v="1"/>
    <n v="0.65"/>
    <n v="8.0399999999999991"/>
    <n v="1230.1199999999999"/>
  </r>
  <r>
    <x v="1"/>
    <x v="0"/>
    <x v="1"/>
    <n v="227"/>
    <n v="14"/>
    <n v="6.17"/>
    <n v="37.24"/>
    <n v="8453.48"/>
  </r>
  <r>
    <x v="2"/>
    <x v="0"/>
    <x v="2"/>
    <n v="251"/>
    <n v="24"/>
    <n v="9.56"/>
    <n v="32.729999999999997"/>
    <n v="8215.23"/>
  </r>
  <r>
    <x v="0"/>
    <x v="0"/>
    <x v="2"/>
    <n v="279"/>
    <n v="18"/>
    <n v="6.45"/>
    <n v="67.38"/>
    <n v="18799.02"/>
  </r>
  <r>
    <x v="2"/>
    <x v="0"/>
    <x v="2"/>
    <n v="60"/>
    <n v="0"/>
    <n v="0"/>
    <n v="68.69"/>
    <n v="4121.3999999999996"/>
  </r>
  <r>
    <x v="2"/>
    <x v="0"/>
    <x v="2"/>
    <n v="203"/>
    <n v="10"/>
    <n v="4.93"/>
    <n v="11.47"/>
    <n v="2328.41"/>
  </r>
  <r>
    <x v="2"/>
    <x v="0"/>
    <x v="2"/>
    <n v="51"/>
    <n v="3"/>
    <n v="5.88"/>
    <n v="37.659999999999997"/>
    <n v="1920.66"/>
  </r>
  <r>
    <x v="3"/>
    <x v="0"/>
    <x v="2"/>
    <n v="245"/>
    <n v="20"/>
    <n v="8.16"/>
    <n v="31.91"/>
    <n v="7817.95"/>
  </r>
  <r>
    <x v="2"/>
    <x v="0"/>
    <x v="2"/>
    <n v="107"/>
    <n v="9"/>
    <n v="8.41"/>
    <n v="54.6"/>
    <n v="5842.2"/>
  </r>
  <r>
    <x v="1"/>
    <x v="0"/>
    <x v="1"/>
    <n v="109"/>
    <n v="8"/>
    <n v="7.34"/>
    <n v="68.92"/>
    <n v="7512.28"/>
  </r>
  <r>
    <x v="3"/>
    <x v="0"/>
    <x v="2"/>
    <n v="179"/>
    <n v="5"/>
    <n v="2.79"/>
    <n v="30.99"/>
    <n v="5547.21"/>
  </r>
  <r>
    <x v="3"/>
    <x v="0"/>
    <x v="2"/>
    <n v="61"/>
    <n v="5"/>
    <n v="8.1999999999999993"/>
    <n v="20"/>
    <n v="1220"/>
  </r>
  <r>
    <x v="1"/>
    <x v="0"/>
    <x v="1"/>
    <n v="182"/>
    <n v="16"/>
    <n v="8.7899999999999991"/>
    <n v="63.14"/>
    <n v="11491.48"/>
  </r>
  <r>
    <x v="1"/>
    <x v="0"/>
    <x v="1"/>
    <n v="229"/>
    <n v="12"/>
    <n v="5.24"/>
    <n v="24.12"/>
    <n v="5523.48"/>
  </r>
  <r>
    <x v="2"/>
    <x v="0"/>
    <x v="2"/>
    <n v="177"/>
    <n v="10"/>
    <n v="5.65"/>
    <n v="68.27"/>
    <n v="12083.79"/>
  </r>
  <r>
    <x v="2"/>
    <x v="0"/>
    <x v="2"/>
    <n v="163"/>
    <n v="6"/>
    <n v="3.68"/>
    <n v="33.6"/>
    <n v="5476.8"/>
  </r>
  <r>
    <x v="1"/>
    <x v="0"/>
    <x v="2"/>
    <n v="174"/>
    <n v="0"/>
    <n v="0"/>
    <n v="18.649999999999999"/>
    <n v="3245.1"/>
  </r>
  <r>
    <x v="0"/>
    <x v="0"/>
    <x v="2"/>
    <n v="280"/>
    <n v="23"/>
    <n v="8.2100000000000009"/>
    <n v="50.72"/>
    <n v="14201.6"/>
  </r>
  <r>
    <x v="3"/>
    <x v="0"/>
    <x v="2"/>
    <n v="131"/>
    <n v="2"/>
    <n v="1.53"/>
    <n v="35.64"/>
    <n v="4668.84"/>
  </r>
  <r>
    <x v="2"/>
    <x v="0"/>
    <x v="2"/>
    <n v="120"/>
    <n v="0"/>
    <n v="0"/>
    <n v="30.88"/>
    <n v="3705.6"/>
  </r>
  <r>
    <x v="0"/>
    <x v="0"/>
    <x v="2"/>
    <n v="115"/>
    <n v="1"/>
    <n v="0.87"/>
    <n v="56.2"/>
    <n v="6463"/>
  </r>
  <r>
    <x v="0"/>
    <x v="0"/>
    <x v="0"/>
    <n v="234"/>
    <n v="6"/>
    <n v="2.56"/>
    <n v="13.26"/>
    <n v="3102.84"/>
  </r>
  <r>
    <x v="1"/>
    <x v="0"/>
    <x v="1"/>
    <n v="102"/>
    <n v="0"/>
    <n v="0"/>
    <n v="14.47"/>
    <n v="1475.94"/>
  </r>
  <r>
    <x v="0"/>
    <x v="0"/>
    <x v="2"/>
    <n v="154"/>
    <n v="5"/>
    <n v="3.25"/>
    <n v="26.13"/>
    <n v="4024.02"/>
  </r>
  <r>
    <x v="1"/>
    <x v="0"/>
    <x v="2"/>
    <n v="247"/>
    <n v="9"/>
    <n v="3.64"/>
    <n v="61.64"/>
    <n v="15225.08"/>
  </r>
  <r>
    <x v="3"/>
    <x v="0"/>
    <x v="2"/>
    <n v="117"/>
    <n v="2"/>
    <n v="1.71"/>
    <n v="57.45"/>
    <n v="6721.65"/>
  </r>
  <r>
    <x v="2"/>
    <x v="0"/>
    <x v="2"/>
    <n v="96"/>
    <n v="6"/>
    <n v="6.25"/>
    <n v="31.19"/>
    <n v="2994.24"/>
  </r>
  <r>
    <x v="0"/>
    <x v="0"/>
    <x v="2"/>
    <n v="223"/>
    <n v="8"/>
    <n v="3.59"/>
    <n v="61.8"/>
    <n v="13781.4"/>
  </r>
  <r>
    <x v="1"/>
    <x v="0"/>
    <x v="1"/>
    <n v="146"/>
    <n v="2"/>
    <n v="1.37"/>
    <n v="65.28"/>
    <n v="9530.8799999999992"/>
  </r>
  <r>
    <x v="0"/>
    <x v="0"/>
    <x v="2"/>
    <n v="190"/>
    <n v="6"/>
    <n v="3.16"/>
    <n v="10.55"/>
    <n v="2004.5"/>
  </r>
  <r>
    <x v="0"/>
    <x v="0"/>
    <x v="2"/>
    <n v="273"/>
    <n v="17"/>
    <n v="6.23"/>
    <n v="18.05"/>
    <n v="4927.6499999999996"/>
  </r>
  <r>
    <x v="3"/>
    <x v="0"/>
    <x v="2"/>
    <n v="58"/>
    <n v="3"/>
    <n v="5.17"/>
    <n v="62.22"/>
    <n v="3608.76"/>
  </r>
  <r>
    <x v="2"/>
    <x v="0"/>
    <x v="2"/>
    <n v="196"/>
    <n v="16"/>
    <n v="8.16"/>
    <n v="30.54"/>
    <n v="5985.84"/>
  </r>
  <r>
    <x v="0"/>
    <x v="0"/>
    <x v="2"/>
    <n v="229"/>
    <n v="13"/>
    <n v="5.68"/>
    <n v="59.17"/>
    <n v="13549.93"/>
  </r>
  <r>
    <x v="0"/>
    <x v="0"/>
    <x v="0"/>
    <n v="88"/>
    <n v="8"/>
    <n v="9.09"/>
    <n v="16.809999999999999"/>
    <n v="1479.28"/>
  </r>
  <r>
    <x v="3"/>
    <x v="0"/>
    <x v="2"/>
    <n v="299"/>
    <n v="24"/>
    <n v="8.0299999999999994"/>
    <n v="25.05"/>
    <n v="7489.95"/>
  </r>
  <r>
    <x v="1"/>
    <x v="0"/>
    <x v="2"/>
    <n v="185"/>
    <n v="3"/>
    <n v="1.62"/>
    <n v="25.06"/>
    <n v="4636.1000000000004"/>
  </r>
  <r>
    <x v="1"/>
    <x v="0"/>
    <x v="2"/>
    <n v="211"/>
    <n v="1"/>
    <n v="0.47"/>
    <n v="64.77"/>
    <n v="13666.47"/>
  </r>
  <r>
    <x v="2"/>
    <x v="0"/>
    <x v="2"/>
    <n v="206"/>
    <n v="8"/>
    <n v="3.88"/>
    <n v="24.34"/>
    <n v="5014.04"/>
  </r>
  <r>
    <x v="3"/>
    <x v="0"/>
    <x v="2"/>
    <n v="156"/>
    <n v="14"/>
    <n v="8.9700000000000006"/>
    <n v="33.64"/>
    <n v="5247.84"/>
  </r>
  <r>
    <x v="1"/>
    <x v="0"/>
    <x v="2"/>
    <n v="285"/>
    <n v="8"/>
    <n v="2.81"/>
    <n v="46.87"/>
    <n v="13357.95"/>
  </r>
  <r>
    <x v="1"/>
    <x v="0"/>
    <x v="2"/>
    <n v="299"/>
    <n v="11"/>
    <n v="3.68"/>
    <n v="26.74"/>
    <n v="7995.26"/>
  </r>
  <r>
    <x v="2"/>
    <x v="0"/>
    <x v="2"/>
    <n v="71"/>
    <n v="4"/>
    <n v="5.63"/>
    <n v="68.150000000000006"/>
    <n v="4838.6499999999996"/>
  </r>
  <r>
    <x v="1"/>
    <x v="0"/>
    <x v="2"/>
    <n v="147"/>
    <n v="2"/>
    <n v="1.36"/>
    <n v="7.39"/>
    <n v="1086.33"/>
  </r>
  <r>
    <x v="3"/>
    <x v="0"/>
    <x v="2"/>
    <n v="178"/>
    <n v="15"/>
    <n v="8.43"/>
    <n v="40.68"/>
    <n v="7241.04"/>
  </r>
  <r>
    <x v="3"/>
    <x v="0"/>
    <x v="2"/>
    <n v="247"/>
    <n v="16"/>
    <n v="6.48"/>
    <n v="29.77"/>
    <n v="7353.19"/>
  </r>
  <r>
    <x v="0"/>
    <x v="0"/>
    <x v="2"/>
    <n v="193"/>
    <n v="17"/>
    <n v="8.81"/>
    <n v="31.07"/>
    <n v="5996.51"/>
  </r>
  <r>
    <x v="2"/>
    <x v="0"/>
    <x v="2"/>
    <n v="89"/>
    <n v="0"/>
    <n v="0"/>
    <n v="41.04"/>
    <n v="3652.56"/>
  </r>
  <r>
    <x v="0"/>
    <x v="0"/>
    <x v="2"/>
    <n v="80"/>
    <n v="0"/>
    <n v="0"/>
    <n v="17.989999999999998"/>
    <n v="1439.2"/>
  </r>
  <r>
    <x v="1"/>
    <x v="0"/>
    <x v="1"/>
    <n v="192"/>
    <n v="9"/>
    <n v="4.6900000000000004"/>
    <n v="25.27"/>
    <n v="4851.84"/>
  </r>
  <r>
    <x v="3"/>
    <x v="0"/>
    <x v="2"/>
    <n v="117"/>
    <n v="9"/>
    <n v="7.69"/>
    <n v="27.85"/>
    <n v="3258.45"/>
  </r>
  <r>
    <x v="0"/>
    <x v="0"/>
    <x v="2"/>
    <n v="136"/>
    <n v="12"/>
    <n v="8.82"/>
    <n v="34.090000000000003"/>
    <n v="4636.24"/>
  </r>
  <r>
    <x v="0"/>
    <x v="0"/>
    <x v="0"/>
    <n v="281"/>
    <n v="5"/>
    <n v="1.78"/>
    <n v="24.55"/>
    <n v="6898.55"/>
  </r>
  <r>
    <x v="1"/>
    <x v="0"/>
    <x v="1"/>
    <n v="173"/>
    <n v="11"/>
    <n v="6.36"/>
    <n v="12.95"/>
    <n v="2240.35"/>
  </r>
  <r>
    <x v="1"/>
    <x v="0"/>
    <x v="2"/>
    <n v="51"/>
    <n v="2"/>
    <n v="3.92"/>
    <n v="31.29"/>
    <n v="1595.79"/>
  </r>
  <r>
    <x v="3"/>
    <x v="0"/>
    <x v="2"/>
    <n v="270"/>
    <n v="27"/>
    <n v="10"/>
    <n v="57.89"/>
    <n v="15630.3"/>
  </r>
  <r>
    <x v="1"/>
    <x v="0"/>
    <x v="1"/>
    <n v="164"/>
    <n v="16"/>
    <n v="9.76"/>
    <n v="43.27"/>
    <n v="7096.28"/>
  </r>
  <r>
    <x v="2"/>
    <x v="0"/>
    <x v="2"/>
    <n v="185"/>
    <n v="6"/>
    <n v="3.24"/>
    <n v="19.07"/>
    <n v="3527.95"/>
  </r>
  <r>
    <x v="1"/>
    <x v="0"/>
    <x v="2"/>
    <n v="81"/>
    <n v="7"/>
    <n v="8.64"/>
    <n v="47.47"/>
    <n v="3845.07"/>
  </r>
  <r>
    <x v="3"/>
    <x v="0"/>
    <x v="2"/>
    <n v="258"/>
    <n v="1"/>
    <n v="0.39"/>
    <n v="55.64"/>
    <n v="14355.12"/>
  </r>
  <r>
    <x v="1"/>
    <x v="0"/>
    <x v="1"/>
    <n v="197"/>
    <n v="12"/>
    <n v="6.09"/>
    <n v="24.65"/>
    <n v="4856.05"/>
  </r>
  <r>
    <x v="3"/>
    <x v="0"/>
    <x v="2"/>
    <n v="136"/>
    <n v="8"/>
    <n v="5.88"/>
    <n v="28.3"/>
    <n v="3848.8"/>
  </r>
  <r>
    <x v="2"/>
    <x v="0"/>
    <x v="2"/>
    <n v="242"/>
    <n v="13"/>
    <n v="5.37"/>
    <n v="45.7"/>
    <n v="11059.4"/>
  </r>
  <r>
    <x v="2"/>
    <x v="0"/>
    <x v="2"/>
    <n v="212"/>
    <n v="14"/>
    <n v="6.6"/>
    <n v="48.03"/>
    <n v="10182.36"/>
  </r>
  <r>
    <x v="0"/>
    <x v="0"/>
    <x v="0"/>
    <n v="281"/>
    <n v="18"/>
    <n v="6.41"/>
    <n v="19.27"/>
    <n v="5414.87"/>
  </r>
  <r>
    <x v="0"/>
    <x v="0"/>
    <x v="2"/>
    <n v="282"/>
    <n v="14"/>
    <n v="4.96"/>
    <n v="13.18"/>
    <n v="3716.76"/>
  </r>
  <r>
    <x v="2"/>
    <x v="0"/>
    <x v="2"/>
    <n v="100"/>
    <n v="9"/>
    <n v="9"/>
    <n v="6.51"/>
    <n v="651"/>
  </r>
  <r>
    <x v="2"/>
    <x v="0"/>
    <x v="2"/>
    <n v="53"/>
    <n v="4"/>
    <n v="7.55"/>
    <n v="16.079999999999998"/>
    <n v="852.24"/>
  </r>
  <r>
    <x v="1"/>
    <x v="0"/>
    <x v="2"/>
    <n v="208"/>
    <n v="10"/>
    <n v="4.8099999999999996"/>
    <n v="7.11"/>
    <n v="1478.88"/>
  </r>
  <r>
    <x v="3"/>
    <x v="0"/>
    <x v="2"/>
    <n v="63"/>
    <n v="2"/>
    <n v="3.17"/>
    <n v="38.06"/>
    <n v="2397.7800000000002"/>
  </r>
  <r>
    <x v="1"/>
    <x v="0"/>
    <x v="2"/>
    <n v="194"/>
    <n v="7"/>
    <n v="3.61"/>
    <n v="37.22"/>
    <n v="7220.68"/>
  </r>
  <r>
    <x v="2"/>
    <x v="0"/>
    <x v="2"/>
    <n v="238"/>
    <n v="20"/>
    <n v="8.4"/>
    <n v="17.71"/>
    <n v="4214.9799999999996"/>
  </r>
  <r>
    <x v="1"/>
    <x v="0"/>
    <x v="1"/>
    <n v="259"/>
    <n v="22"/>
    <n v="8.49"/>
    <n v="51.76"/>
    <n v="13405.84"/>
  </r>
  <r>
    <x v="3"/>
    <x v="0"/>
    <x v="2"/>
    <n v="205"/>
    <n v="5"/>
    <n v="2.44"/>
    <n v="9.2100000000000009"/>
    <n v="1888.05"/>
  </r>
  <r>
    <x v="2"/>
    <x v="0"/>
    <x v="2"/>
    <n v="184"/>
    <n v="18"/>
    <n v="9.7799999999999994"/>
    <n v="47.93"/>
    <n v="8819.1200000000008"/>
  </r>
  <r>
    <x v="3"/>
    <x v="0"/>
    <x v="2"/>
    <n v="176"/>
    <n v="2"/>
    <n v="1.1399999999999999"/>
    <n v="6.14"/>
    <n v="1080.6400000000001"/>
  </r>
  <r>
    <x v="0"/>
    <x v="0"/>
    <x v="0"/>
    <n v="138"/>
    <n v="7"/>
    <n v="5.07"/>
    <n v="20.32"/>
    <n v="2804.16"/>
  </r>
  <r>
    <x v="2"/>
    <x v="0"/>
    <x v="2"/>
    <n v="184"/>
    <n v="11"/>
    <n v="5.98"/>
    <n v="57.66"/>
    <n v="10609.44"/>
  </r>
  <r>
    <x v="1"/>
    <x v="0"/>
    <x v="2"/>
    <n v="255"/>
    <n v="9"/>
    <n v="3.53"/>
    <n v="7.52"/>
    <n v="1917.6"/>
  </r>
  <r>
    <x v="1"/>
    <x v="0"/>
    <x v="1"/>
    <n v="210"/>
    <n v="8"/>
    <n v="3.81"/>
    <n v="67.16"/>
    <n v="14103.6"/>
  </r>
  <r>
    <x v="0"/>
    <x v="0"/>
    <x v="0"/>
    <n v="173"/>
    <n v="9"/>
    <n v="5.2"/>
    <n v="24.38"/>
    <n v="4217.74"/>
  </r>
  <r>
    <x v="1"/>
    <x v="0"/>
    <x v="2"/>
    <n v="215"/>
    <n v="12"/>
    <n v="5.58"/>
    <n v="49.5"/>
    <n v="10642.5"/>
  </r>
  <r>
    <x v="0"/>
    <x v="0"/>
    <x v="0"/>
    <n v="265"/>
    <n v="0"/>
    <n v="0"/>
    <n v="36.76"/>
    <n v="9741.4"/>
  </r>
  <r>
    <x v="1"/>
    <x v="0"/>
    <x v="2"/>
    <n v="158"/>
    <n v="11"/>
    <n v="6.96"/>
    <n v="47.35"/>
    <n v="7481.3"/>
  </r>
  <r>
    <x v="0"/>
    <x v="0"/>
    <x v="2"/>
    <n v="92"/>
    <n v="7"/>
    <n v="7.61"/>
    <n v="67.13"/>
    <n v="6175.96"/>
  </r>
  <r>
    <x v="1"/>
    <x v="0"/>
    <x v="1"/>
    <n v="235"/>
    <n v="2"/>
    <n v="0.85"/>
    <n v="50.45"/>
    <n v="11855.75"/>
  </r>
  <r>
    <x v="1"/>
    <x v="0"/>
    <x v="1"/>
    <n v="70"/>
    <n v="1"/>
    <n v="1.43"/>
    <n v="46.13"/>
    <n v="3229.1"/>
  </r>
  <r>
    <x v="2"/>
    <x v="0"/>
    <x v="2"/>
    <n v="272"/>
    <n v="27"/>
    <n v="9.93"/>
    <n v="46.34"/>
    <n v="12604.48"/>
  </r>
  <r>
    <x v="3"/>
    <x v="0"/>
    <x v="2"/>
    <n v="121"/>
    <n v="5"/>
    <n v="4.13"/>
    <n v="52.4"/>
    <n v="6340.4"/>
  </r>
  <r>
    <x v="1"/>
    <x v="0"/>
    <x v="1"/>
    <n v="231"/>
    <n v="1"/>
    <n v="0.43"/>
    <n v="20.83"/>
    <n v="4811.7299999999996"/>
  </r>
  <r>
    <x v="1"/>
    <x v="0"/>
    <x v="1"/>
    <n v="190"/>
    <n v="10"/>
    <n v="5.26"/>
    <n v="19.91"/>
    <n v="3782.9"/>
  </r>
  <r>
    <x v="0"/>
    <x v="0"/>
    <x v="2"/>
    <n v="211"/>
    <n v="16"/>
    <n v="7.58"/>
    <n v="29.4"/>
    <n v="6203.4"/>
  </r>
  <r>
    <x v="1"/>
    <x v="0"/>
    <x v="2"/>
    <n v="60"/>
    <n v="2"/>
    <n v="3.33"/>
    <n v="27.46"/>
    <n v="1647.6"/>
  </r>
  <r>
    <x v="0"/>
    <x v="0"/>
    <x v="0"/>
    <n v="243"/>
    <n v="0"/>
    <n v="0"/>
    <n v="13.01"/>
    <n v="3161.43"/>
  </r>
  <r>
    <x v="2"/>
    <x v="0"/>
    <x v="2"/>
    <n v="132"/>
    <n v="0"/>
    <n v="0"/>
    <n v="26.89"/>
    <n v="3549.48"/>
  </r>
  <r>
    <x v="1"/>
    <x v="0"/>
    <x v="1"/>
    <n v="286"/>
    <n v="21"/>
    <n v="7.34"/>
    <n v="19.13"/>
    <n v="5471.18"/>
  </r>
  <r>
    <x v="2"/>
    <x v="0"/>
    <x v="2"/>
    <n v="111"/>
    <n v="3"/>
    <n v="2.7"/>
    <n v="67.81"/>
    <n v="7526.91"/>
  </r>
  <r>
    <x v="0"/>
    <x v="0"/>
    <x v="0"/>
    <n v="238"/>
    <n v="23"/>
    <n v="9.66"/>
    <n v="32.57"/>
    <n v="7751.66"/>
  </r>
  <r>
    <x v="1"/>
    <x v="0"/>
    <x v="2"/>
    <n v="263"/>
    <n v="23"/>
    <n v="8.75"/>
    <n v="66.599999999999994"/>
    <n v="17515.8"/>
  </r>
  <r>
    <x v="2"/>
    <x v="0"/>
    <x v="2"/>
    <n v="76"/>
    <n v="3"/>
    <n v="3.95"/>
    <n v="34.75"/>
    <n v="2641"/>
  </r>
  <r>
    <x v="1"/>
    <x v="0"/>
    <x v="2"/>
    <n v="60"/>
    <n v="5"/>
    <n v="8.33"/>
    <n v="15.62"/>
    <n v="937.2"/>
  </r>
  <r>
    <x v="2"/>
    <x v="0"/>
    <x v="2"/>
    <n v="55"/>
    <n v="4"/>
    <n v="7.27"/>
    <n v="11.3"/>
    <n v="621.5"/>
  </r>
  <r>
    <x v="0"/>
    <x v="0"/>
    <x v="0"/>
    <n v="190"/>
    <n v="7"/>
    <n v="3.68"/>
    <n v="61.53"/>
    <n v="11690.7"/>
  </r>
  <r>
    <x v="1"/>
    <x v="0"/>
    <x v="1"/>
    <n v="126"/>
    <n v="12"/>
    <n v="9.52"/>
    <n v="69.47"/>
    <n v="8753.2199999999993"/>
  </r>
  <r>
    <x v="0"/>
    <x v="0"/>
    <x v="2"/>
    <n v="166"/>
    <n v="13"/>
    <n v="7.83"/>
    <n v="22.07"/>
    <n v="3663.62"/>
  </r>
  <r>
    <x v="1"/>
    <x v="0"/>
    <x v="1"/>
    <n v="288"/>
    <n v="21"/>
    <n v="7.29"/>
    <n v="36.94"/>
    <n v="10638.72"/>
  </r>
  <r>
    <x v="0"/>
    <x v="0"/>
    <x v="0"/>
    <n v="108"/>
    <n v="4"/>
    <n v="3.7"/>
    <n v="56.82"/>
    <n v="6136.56"/>
  </r>
  <r>
    <x v="3"/>
    <x v="0"/>
    <x v="2"/>
    <n v="157"/>
    <n v="0"/>
    <n v="0"/>
    <n v="56.72"/>
    <n v="8905.0400000000009"/>
  </r>
  <r>
    <x v="2"/>
    <x v="0"/>
    <x v="2"/>
    <n v="214"/>
    <n v="21"/>
    <n v="9.81"/>
    <n v="16.059999999999999"/>
    <n v="3436.84"/>
  </r>
  <r>
    <x v="0"/>
    <x v="0"/>
    <x v="0"/>
    <n v="204"/>
    <n v="7"/>
    <n v="3.43"/>
    <n v="34.880000000000003"/>
    <n v="7115.52"/>
  </r>
  <r>
    <x v="0"/>
    <x v="0"/>
    <x v="2"/>
    <n v="164"/>
    <n v="7"/>
    <n v="4.2699999999999996"/>
    <n v="39.229999999999997"/>
    <n v="6433.72"/>
  </r>
  <r>
    <x v="0"/>
    <x v="0"/>
    <x v="2"/>
    <n v="180"/>
    <n v="1"/>
    <n v="0.56000000000000005"/>
    <n v="53.19"/>
    <n v="9574.2000000000007"/>
  </r>
  <r>
    <x v="1"/>
    <x v="0"/>
    <x v="2"/>
    <n v="253"/>
    <n v="9"/>
    <n v="3.56"/>
    <n v="29.64"/>
    <n v="7498.92"/>
  </r>
  <r>
    <x v="1"/>
    <x v="0"/>
    <x v="1"/>
    <n v="77"/>
    <n v="4"/>
    <n v="5.19"/>
    <n v="14.61"/>
    <n v="1124.97"/>
  </r>
  <r>
    <x v="1"/>
    <x v="0"/>
    <x v="2"/>
    <n v="181"/>
    <n v="6"/>
    <n v="3.31"/>
    <n v="45.07"/>
    <n v="8157.67"/>
  </r>
  <r>
    <x v="0"/>
    <x v="0"/>
    <x v="2"/>
    <n v="95"/>
    <n v="5"/>
    <n v="5.26"/>
    <n v="60.06"/>
    <n v="5705.7"/>
  </r>
  <r>
    <x v="0"/>
    <x v="0"/>
    <x v="0"/>
    <n v="249"/>
    <n v="13"/>
    <n v="5.22"/>
    <n v="25.64"/>
    <n v="6384.36"/>
  </r>
  <r>
    <x v="1"/>
    <x v="0"/>
    <x v="1"/>
    <n v="86"/>
    <n v="0"/>
    <n v="0"/>
    <n v="55.47"/>
    <n v="4770.42"/>
  </r>
  <r>
    <x v="3"/>
    <x v="0"/>
    <x v="2"/>
    <n v="254"/>
    <n v="23"/>
    <n v="9.06"/>
    <n v="67.72"/>
    <n v="17200.88"/>
  </r>
  <r>
    <x v="1"/>
    <x v="0"/>
    <x v="1"/>
    <n v="187"/>
    <n v="4"/>
    <n v="2.14"/>
    <n v="7.6"/>
    <n v="1421.2"/>
  </r>
  <r>
    <x v="1"/>
    <x v="0"/>
    <x v="1"/>
    <n v="95"/>
    <n v="6"/>
    <n v="6.32"/>
    <n v="53.48"/>
    <n v="5080.6000000000004"/>
  </r>
  <r>
    <x v="2"/>
    <x v="0"/>
    <x v="2"/>
    <n v="114"/>
    <n v="7"/>
    <n v="6.14"/>
    <n v="63.54"/>
    <n v="7243.56"/>
  </r>
  <r>
    <x v="1"/>
    <x v="0"/>
    <x v="2"/>
    <n v="134"/>
    <n v="13"/>
    <n v="9.6999999999999993"/>
    <n v="15.43"/>
    <n v="2067.62"/>
  </r>
  <r>
    <x v="2"/>
    <x v="0"/>
    <x v="2"/>
    <n v="118"/>
    <n v="5"/>
    <n v="4.24"/>
    <n v="68.58"/>
    <n v="8092.44"/>
  </r>
  <r>
    <x v="1"/>
    <x v="0"/>
    <x v="1"/>
    <n v="60"/>
    <n v="4"/>
    <n v="6.67"/>
    <n v="10.46"/>
    <n v="627.6"/>
  </r>
  <r>
    <x v="2"/>
    <x v="0"/>
    <x v="2"/>
    <n v="226"/>
    <n v="22"/>
    <n v="9.73"/>
    <n v="57.64"/>
    <n v="13026.64"/>
  </r>
  <r>
    <x v="0"/>
    <x v="0"/>
    <x v="0"/>
    <n v="80"/>
    <n v="7"/>
    <n v="8.75"/>
    <n v="7.9"/>
    <n v="632"/>
  </r>
  <r>
    <x v="2"/>
    <x v="0"/>
    <x v="2"/>
    <n v="153"/>
    <n v="0"/>
    <n v="0"/>
    <n v="22.62"/>
    <n v="3460.86"/>
  </r>
  <r>
    <x v="2"/>
    <x v="0"/>
    <x v="2"/>
    <n v="206"/>
    <n v="11"/>
    <n v="5.34"/>
    <n v="20.68"/>
    <n v="4260.08"/>
  </r>
  <r>
    <x v="1"/>
    <x v="0"/>
    <x v="2"/>
    <n v="266"/>
    <n v="8"/>
    <n v="3.01"/>
    <n v="62.71"/>
    <n v="16680.86"/>
  </r>
  <r>
    <x v="3"/>
    <x v="0"/>
    <x v="2"/>
    <n v="120"/>
    <n v="1"/>
    <n v="0.83"/>
    <n v="45.27"/>
    <n v="5432.4"/>
  </r>
  <r>
    <x v="1"/>
    <x v="0"/>
    <x v="1"/>
    <n v="243"/>
    <n v="13"/>
    <n v="5.35"/>
    <n v="24.81"/>
    <n v="6028.83"/>
  </r>
  <r>
    <x v="0"/>
    <x v="0"/>
    <x v="2"/>
    <n v="257"/>
    <n v="23"/>
    <n v="8.9499999999999993"/>
    <n v="39.57"/>
    <n v="10169.49"/>
  </r>
  <r>
    <x v="1"/>
    <x v="0"/>
    <x v="2"/>
    <n v="141"/>
    <n v="4"/>
    <n v="2.84"/>
    <n v="38.03"/>
    <n v="5362.23"/>
  </r>
  <r>
    <x v="3"/>
    <x v="0"/>
    <x v="2"/>
    <n v="171"/>
    <n v="15"/>
    <n v="8.77"/>
    <n v="9.32"/>
    <n v="1593.72"/>
  </r>
  <r>
    <x v="0"/>
    <x v="0"/>
    <x v="0"/>
    <n v="101"/>
    <n v="1"/>
    <n v="0.99"/>
    <n v="16.34"/>
    <n v="1650.34"/>
  </r>
  <r>
    <x v="1"/>
    <x v="0"/>
    <x v="2"/>
    <n v="154"/>
    <n v="15"/>
    <n v="9.74"/>
    <n v="40.69"/>
    <n v="6266.26"/>
  </r>
  <r>
    <x v="2"/>
    <x v="0"/>
    <x v="2"/>
    <n v="54"/>
    <n v="2"/>
    <n v="3.7"/>
    <n v="29.67"/>
    <n v="1602.18"/>
  </r>
  <r>
    <x v="3"/>
    <x v="0"/>
    <x v="2"/>
    <n v="89"/>
    <n v="3"/>
    <n v="3.37"/>
    <n v="68.349999999999994"/>
    <n v="6083.15"/>
  </r>
  <r>
    <x v="2"/>
    <x v="0"/>
    <x v="2"/>
    <n v="195"/>
    <n v="4"/>
    <n v="2.0499999999999998"/>
    <n v="10.75"/>
    <n v="2096.25"/>
  </r>
  <r>
    <x v="3"/>
    <x v="0"/>
    <x v="2"/>
    <n v="73"/>
    <n v="6"/>
    <n v="8.2200000000000006"/>
    <n v="29.97"/>
    <n v="2187.81"/>
  </r>
  <r>
    <x v="2"/>
    <x v="0"/>
    <x v="2"/>
    <n v="154"/>
    <n v="13"/>
    <n v="8.44"/>
    <n v="63.05"/>
    <n v="9709.7000000000007"/>
  </r>
  <r>
    <x v="0"/>
    <x v="0"/>
    <x v="0"/>
    <n v="185"/>
    <n v="4"/>
    <n v="2.16"/>
    <n v="50.04"/>
    <n v="9257.4"/>
  </r>
  <r>
    <x v="0"/>
    <x v="0"/>
    <x v="0"/>
    <n v="180"/>
    <n v="13"/>
    <n v="7.22"/>
    <n v="48.23"/>
    <n v="8681.4"/>
  </r>
  <r>
    <x v="0"/>
    <x v="0"/>
    <x v="2"/>
    <n v="147"/>
    <n v="14"/>
    <n v="9.52"/>
    <n v="28.62"/>
    <n v="4207.1400000000003"/>
  </r>
  <r>
    <x v="1"/>
    <x v="0"/>
    <x v="1"/>
    <n v="206"/>
    <n v="3"/>
    <n v="1.46"/>
    <n v="6.38"/>
    <n v="1314.28"/>
  </r>
  <r>
    <x v="3"/>
    <x v="0"/>
    <x v="2"/>
    <n v="61"/>
    <n v="5"/>
    <n v="8.1999999999999993"/>
    <n v="30.49"/>
    <n v="1859.89"/>
  </r>
  <r>
    <x v="3"/>
    <x v="0"/>
    <x v="2"/>
    <n v="225"/>
    <n v="19"/>
    <n v="8.44"/>
    <n v="67.34"/>
    <n v="15151.5"/>
  </r>
  <r>
    <x v="1"/>
    <x v="0"/>
    <x v="2"/>
    <n v="225"/>
    <n v="12"/>
    <n v="5.33"/>
    <n v="53.68"/>
    <n v="12078"/>
  </r>
  <r>
    <x v="0"/>
    <x v="0"/>
    <x v="0"/>
    <n v="111"/>
    <n v="6"/>
    <n v="5.41"/>
    <n v="13.88"/>
    <n v="1540.68"/>
  </r>
  <r>
    <x v="0"/>
    <x v="0"/>
    <x v="0"/>
    <n v="290"/>
    <n v="20"/>
    <n v="6.9"/>
    <n v="52.83"/>
    <n v="15320.7"/>
  </r>
  <r>
    <x v="1"/>
    <x v="0"/>
    <x v="2"/>
    <n v="70"/>
    <n v="1"/>
    <n v="1.43"/>
    <n v="39.67"/>
    <n v="2776.9"/>
  </r>
  <r>
    <x v="2"/>
    <x v="0"/>
    <x v="2"/>
    <n v="118"/>
    <n v="6"/>
    <n v="5.08"/>
    <n v="30.31"/>
    <n v="3576.58"/>
  </r>
  <r>
    <x v="1"/>
    <x v="0"/>
    <x v="1"/>
    <n v="227"/>
    <n v="1"/>
    <n v="0.44"/>
    <n v="39.340000000000003"/>
    <n v="8930.18"/>
  </r>
  <r>
    <x v="2"/>
    <x v="0"/>
    <x v="2"/>
    <n v="126"/>
    <n v="9"/>
    <n v="7.14"/>
    <n v="35.4"/>
    <n v="4460.3999999999996"/>
  </r>
  <r>
    <x v="0"/>
    <x v="0"/>
    <x v="2"/>
    <n v="210"/>
    <n v="10"/>
    <n v="4.76"/>
    <n v="7.78"/>
    <n v="1633.8"/>
  </r>
  <r>
    <x v="0"/>
    <x v="0"/>
    <x v="0"/>
    <n v="216"/>
    <n v="1"/>
    <n v="0.46"/>
    <n v="35.049999999999997"/>
    <n v="7570.8"/>
  </r>
  <r>
    <x v="1"/>
    <x v="0"/>
    <x v="2"/>
    <n v="53"/>
    <n v="2"/>
    <n v="3.77"/>
    <n v="8.51"/>
    <n v="451.03"/>
  </r>
  <r>
    <x v="1"/>
    <x v="0"/>
    <x v="2"/>
    <n v="155"/>
    <n v="5"/>
    <n v="3.23"/>
    <n v="62.28"/>
    <n v="9653.4"/>
  </r>
  <r>
    <x v="2"/>
    <x v="0"/>
    <x v="2"/>
    <n v="210"/>
    <n v="7"/>
    <n v="3.33"/>
    <n v="30.6"/>
    <n v="6426"/>
  </r>
  <r>
    <x v="2"/>
    <x v="0"/>
    <x v="2"/>
    <n v="90"/>
    <n v="0"/>
    <n v="0"/>
    <n v="40.32"/>
    <n v="3628.8"/>
  </r>
  <r>
    <x v="0"/>
    <x v="0"/>
    <x v="2"/>
    <n v="107"/>
    <n v="0"/>
    <n v="0"/>
    <n v="6.41"/>
    <n v="685.87"/>
  </r>
  <r>
    <x v="0"/>
    <x v="0"/>
    <x v="0"/>
    <n v="56"/>
    <n v="5"/>
    <n v="8.93"/>
    <n v="33.86"/>
    <n v="1896.16"/>
  </r>
  <r>
    <x v="0"/>
    <x v="0"/>
    <x v="0"/>
    <n v="131"/>
    <n v="7"/>
    <n v="5.34"/>
    <n v="55.22"/>
    <n v="7233.82"/>
  </r>
  <r>
    <x v="1"/>
    <x v="0"/>
    <x v="1"/>
    <n v="56"/>
    <n v="1"/>
    <n v="1.79"/>
    <n v="20.6"/>
    <n v="1153.5999999999999"/>
  </r>
  <r>
    <x v="1"/>
    <x v="0"/>
    <x v="1"/>
    <n v="156"/>
    <n v="12"/>
    <n v="7.69"/>
    <n v="64.900000000000006"/>
    <n v="10124.4"/>
  </r>
  <r>
    <x v="0"/>
    <x v="0"/>
    <x v="2"/>
    <n v="280"/>
    <n v="3"/>
    <n v="1.07"/>
    <n v="24.93"/>
    <n v="6980.4"/>
  </r>
  <r>
    <x v="2"/>
    <x v="0"/>
    <x v="2"/>
    <n v="268"/>
    <n v="3"/>
    <n v="1.1200000000000001"/>
    <n v="63.08"/>
    <n v="16905.439999999999"/>
  </r>
  <r>
    <x v="0"/>
    <x v="0"/>
    <x v="2"/>
    <n v="80"/>
    <n v="0"/>
    <n v="0"/>
    <n v="7.21"/>
    <n v="576.79999999999995"/>
  </r>
  <r>
    <x v="0"/>
    <x v="0"/>
    <x v="2"/>
    <n v="196"/>
    <n v="18"/>
    <n v="9.18"/>
    <n v="41.99"/>
    <n v="8230.0400000000009"/>
  </r>
  <r>
    <x v="0"/>
    <x v="0"/>
    <x v="0"/>
    <n v="173"/>
    <n v="1"/>
    <n v="0.57999999999999996"/>
    <n v="43.65"/>
    <n v="7551.45"/>
  </r>
  <r>
    <x v="1"/>
    <x v="0"/>
    <x v="1"/>
    <n v="63"/>
    <n v="1"/>
    <n v="1.59"/>
    <n v="14.06"/>
    <n v="885.78"/>
  </r>
  <r>
    <x v="1"/>
    <x v="0"/>
    <x v="2"/>
    <n v="107"/>
    <n v="4"/>
    <n v="3.74"/>
    <n v="16.329999999999998"/>
    <n v="1747.31"/>
  </r>
  <r>
    <x v="0"/>
    <x v="0"/>
    <x v="2"/>
    <n v="170"/>
    <n v="7"/>
    <n v="4.12"/>
    <n v="55.96"/>
    <n v="9513.2000000000007"/>
  </r>
  <r>
    <x v="1"/>
    <x v="0"/>
    <x v="1"/>
    <n v="76"/>
    <n v="6"/>
    <n v="7.89"/>
    <n v="53.34"/>
    <n v="4053.84"/>
  </r>
  <r>
    <x v="3"/>
    <x v="0"/>
    <x v="2"/>
    <n v="216"/>
    <n v="1"/>
    <n v="0.46"/>
    <n v="43.99"/>
    <n v="9501.84"/>
  </r>
  <r>
    <x v="1"/>
    <x v="0"/>
    <x v="2"/>
    <n v="84"/>
    <n v="2"/>
    <n v="2.38"/>
    <n v="39.06"/>
    <n v="3281.04"/>
  </r>
  <r>
    <x v="0"/>
    <x v="0"/>
    <x v="0"/>
    <n v="91"/>
    <n v="5"/>
    <n v="5.49"/>
    <n v="59.89"/>
    <n v="5449.99"/>
  </r>
  <r>
    <x v="1"/>
    <x v="0"/>
    <x v="1"/>
    <n v="242"/>
    <n v="2"/>
    <n v="0.83"/>
    <n v="48.31"/>
    <n v="11691.02"/>
  </r>
  <r>
    <x v="1"/>
    <x v="0"/>
    <x v="1"/>
    <n v="199"/>
    <n v="18"/>
    <n v="9.0500000000000007"/>
    <n v="44.78"/>
    <n v="8911.2199999999993"/>
  </r>
  <r>
    <x v="0"/>
    <x v="0"/>
    <x v="0"/>
    <n v="205"/>
    <n v="17"/>
    <n v="8.2899999999999991"/>
    <n v="12.51"/>
    <n v="2564.5500000000002"/>
  </r>
  <r>
    <x v="0"/>
    <x v="0"/>
    <x v="2"/>
    <n v="295"/>
    <n v="14"/>
    <n v="4.75"/>
    <n v="56.19"/>
    <n v="16576.05"/>
  </r>
  <r>
    <x v="0"/>
    <x v="0"/>
    <x v="0"/>
    <n v="157"/>
    <n v="11"/>
    <n v="7.01"/>
    <n v="34.729999999999997"/>
    <n v="5452.61"/>
  </r>
  <r>
    <x v="0"/>
    <x v="0"/>
    <x v="2"/>
    <n v="55"/>
    <n v="5"/>
    <n v="9.09"/>
    <n v="63.12"/>
    <n v="3471.6"/>
  </r>
  <r>
    <x v="3"/>
    <x v="0"/>
    <x v="2"/>
    <n v="184"/>
    <n v="3"/>
    <n v="1.63"/>
    <n v="34.24"/>
    <n v="6300.16"/>
  </r>
  <r>
    <x v="0"/>
    <x v="0"/>
    <x v="0"/>
    <n v="199"/>
    <n v="1"/>
    <n v="0.5"/>
    <n v="15.82"/>
    <n v="3148.18"/>
  </r>
  <r>
    <x v="3"/>
    <x v="0"/>
    <x v="2"/>
    <n v="207"/>
    <n v="12"/>
    <n v="5.8"/>
    <n v="24.43"/>
    <n v="5057.01"/>
  </r>
  <r>
    <x v="0"/>
    <x v="0"/>
    <x v="2"/>
    <n v="51"/>
    <n v="0"/>
    <n v="0"/>
    <n v="48.95"/>
    <n v="2496.4499999999998"/>
  </r>
  <r>
    <x v="1"/>
    <x v="0"/>
    <x v="2"/>
    <n v="127"/>
    <n v="5"/>
    <n v="3.94"/>
    <n v="7.01"/>
    <n v="890.27"/>
  </r>
  <r>
    <x v="0"/>
    <x v="0"/>
    <x v="2"/>
    <n v="189"/>
    <n v="2"/>
    <n v="1.06"/>
    <n v="20.6"/>
    <n v="3893.4"/>
  </r>
  <r>
    <x v="3"/>
    <x v="0"/>
    <x v="2"/>
    <n v="184"/>
    <n v="7"/>
    <n v="3.8"/>
    <n v="38.83"/>
    <n v="7144.72"/>
  </r>
  <r>
    <x v="3"/>
    <x v="0"/>
    <x v="2"/>
    <n v="276"/>
    <n v="7"/>
    <n v="2.54"/>
    <n v="69.13"/>
    <n v="19079.88"/>
  </r>
  <r>
    <x v="3"/>
    <x v="0"/>
    <x v="2"/>
    <n v="133"/>
    <n v="8"/>
    <n v="6.02"/>
    <n v="56.64"/>
    <n v="7533.12"/>
  </r>
  <r>
    <x v="1"/>
    <x v="0"/>
    <x v="1"/>
    <n v="296"/>
    <n v="0"/>
    <n v="0"/>
    <n v="11.07"/>
    <n v="3276.72"/>
  </r>
  <r>
    <x v="0"/>
    <x v="0"/>
    <x v="0"/>
    <n v="250"/>
    <n v="1"/>
    <n v="0.4"/>
    <n v="28.98"/>
    <n v="7245"/>
  </r>
  <r>
    <x v="3"/>
    <x v="0"/>
    <x v="2"/>
    <n v="59"/>
    <n v="5"/>
    <n v="8.4700000000000006"/>
    <n v="33.57"/>
    <n v="1980.63"/>
  </r>
  <r>
    <x v="0"/>
    <x v="0"/>
    <x v="0"/>
    <n v="62"/>
    <n v="1"/>
    <n v="1.61"/>
    <n v="44.51"/>
    <n v="2759.62"/>
  </r>
  <r>
    <x v="3"/>
    <x v="0"/>
    <x v="2"/>
    <n v="227"/>
    <n v="1"/>
    <n v="0.44"/>
    <n v="43.78"/>
    <n v="9938.06"/>
  </r>
  <r>
    <x v="0"/>
    <x v="0"/>
    <x v="2"/>
    <n v="266"/>
    <n v="9"/>
    <n v="3.38"/>
    <n v="29.97"/>
    <n v="7972.02"/>
  </r>
  <r>
    <x v="3"/>
    <x v="0"/>
    <x v="2"/>
    <n v="63"/>
    <n v="6"/>
    <n v="9.52"/>
    <n v="64.36"/>
    <n v="4054.68"/>
  </r>
  <r>
    <x v="0"/>
    <x v="0"/>
    <x v="2"/>
    <n v="193"/>
    <n v="0"/>
    <n v="0"/>
    <n v="23.4"/>
    <n v="4516.2"/>
  </r>
  <r>
    <x v="0"/>
    <x v="0"/>
    <x v="2"/>
    <n v="205"/>
    <n v="20"/>
    <n v="9.76"/>
    <n v="7.13"/>
    <n v="1461.65"/>
  </r>
  <r>
    <x v="1"/>
    <x v="0"/>
    <x v="2"/>
    <n v="211"/>
    <n v="10"/>
    <n v="4.74"/>
    <n v="54.42"/>
    <n v="11482.62"/>
  </r>
  <r>
    <x v="1"/>
    <x v="0"/>
    <x v="2"/>
    <n v="230"/>
    <n v="21"/>
    <n v="9.1300000000000008"/>
    <n v="30.48"/>
    <n v="7010.4"/>
  </r>
  <r>
    <x v="1"/>
    <x v="0"/>
    <x v="2"/>
    <n v="239"/>
    <n v="1"/>
    <n v="0.42"/>
    <n v="40.5"/>
    <n v="9679.5"/>
  </r>
  <r>
    <x v="0"/>
    <x v="0"/>
    <x v="0"/>
    <n v="120"/>
    <n v="11"/>
    <n v="9.17"/>
    <n v="58.45"/>
    <n v="7014"/>
  </r>
  <r>
    <x v="0"/>
    <x v="0"/>
    <x v="0"/>
    <n v="274"/>
    <n v="2"/>
    <n v="0.73"/>
    <n v="32.36"/>
    <n v="8866.64"/>
  </r>
  <r>
    <x v="0"/>
    <x v="0"/>
    <x v="0"/>
    <n v="105"/>
    <n v="10"/>
    <n v="9.52"/>
    <n v="34.85"/>
    <n v="3659.25"/>
  </r>
  <r>
    <x v="3"/>
    <x v="0"/>
    <x v="2"/>
    <n v="249"/>
    <n v="4"/>
    <n v="1.61"/>
    <n v="5.89"/>
    <n v="1466.61"/>
  </r>
  <r>
    <x v="0"/>
    <x v="0"/>
    <x v="0"/>
    <n v="229"/>
    <n v="4"/>
    <n v="1.75"/>
    <n v="42.27"/>
    <n v="9679.83"/>
  </r>
  <r>
    <x v="1"/>
    <x v="0"/>
    <x v="2"/>
    <n v="154"/>
    <n v="4"/>
    <n v="2.6"/>
    <n v="56.26"/>
    <n v="8664.0400000000009"/>
  </r>
  <r>
    <x v="0"/>
    <x v="0"/>
    <x v="0"/>
    <n v="185"/>
    <n v="13"/>
    <n v="7.03"/>
    <n v="39.22"/>
    <n v="7255.7"/>
  </r>
  <r>
    <x v="2"/>
    <x v="0"/>
    <x v="2"/>
    <n v="295"/>
    <n v="19"/>
    <n v="6.44"/>
    <n v="30.32"/>
    <n v="8944.4"/>
  </r>
  <r>
    <x v="1"/>
    <x v="0"/>
    <x v="2"/>
    <n v="298"/>
    <n v="8"/>
    <n v="2.68"/>
    <n v="55.55"/>
    <n v="16553.900000000001"/>
  </r>
  <r>
    <x v="0"/>
    <x v="0"/>
    <x v="0"/>
    <n v="86"/>
    <n v="5"/>
    <n v="5.81"/>
    <n v="54.24"/>
    <n v="4664.6400000000003"/>
  </r>
  <r>
    <x v="1"/>
    <x v="0"/>
    <x v="2"/>
    <n v="252"/>
    <n v="14"/>
    <n v="5.56"/>
    <n v="36.04"/>
    <n v="9082.08"/>
  </r>
  <r>
    <x v="1"/>
    <x v="0"/>
    <x v="2"/>
    <n v="103"/>
    <n v="1"/>
    <n v="0.97"/>
    <n v="44.8"/>
    <n v="4614.3999999999996"/>
  </r>
  <r>
    <x v="1"/>
    <x v="0"/>
    <x v="1"/>
    <n v="271"/>
    <n v="9"/>
    <n v="3.32"/>
    <n v="41.76"/>
    <n v="11316.96"/>
  </r>
  <r>
    <x v="1"/>
    <x v="0"/>
    <x v="1"/>
    <n v="216"/>
    <n v="0"/>
    <n v="0"/>
    <n v="51.36"/>
    <n v="11093.76"/>
  </r>
  <r>
    <x v="0"/>
    <x v="0"/>
    <x v="2"/>
    <n v="243"/>
    <n v="17"/>
    <n v="7"/>
    <n v="20.23"/>
    <n v="4915.8900000000003"/>
  </r>
  <r>
    <x v="1"/>
    <x v="0"/>
    <x v="1"/>
    <n v="133"/>
    <n v="6"/>
    <n v="4.51"/>
    <n v="48.55"/>
    <n v="6457.15"/>
  </r>
  <r>
    <x v="1"/>
    <x v="0"/>
    <x v="1"/>
    <n v="231"/>
    <n v="14"/>
    <n v="6.06"/>
    <n v="49.11"/>
    <n v="11344.41"/>
  </r>
  <r>
    <x v="2"/>
    <x v="0"/>
    <x v="2"/>
    <n v="241"/>
    <n v="2"/>
    <n v="0.83"/>
    <n v="27.6"/>
    <n v="6651.6"/>
  </r>
  <r>
    <x v="1"/>
    <x v="0"/>
    <x v="1"/>
    <n v="109"/>
    <n v="4"/>
    <n v="3.67"/>
    <n v="53.9"/>
    <n v="5875.1"/>
  </r>
  <r>
    <x v="1"/>
    <x v="0"/>
    <x v="2"/>
    <n v="58"/>
    <n v="5"/>
    <n v="8.6199999999999992"/>
    <n v="51.97"/>
    <n v="3014.26"/>
  </r>
  <r>
    <x v="2"/>
    <x v="0"/>
    <x v="2"/>
    <n v="285"/>
    <n v="9"/>
    <n v="3.16"/>
    <n v="15.74"/>
    <n v="4485.8999999999996"/>
  </r>
  <r>
    <x v="0"/>
    <x v="0"/>
    <x v="2"/>
    <n v="218"/>
    <n v="0"/>
    <n v="0"/>
    <n v="28.44"/>
    <n v="6199.92"/>
  </r>
  <r>
    <x v="0"/>
    <x v="0"/>
    <x v="0"/>
    <n v="279"/>
    <n v="6"/>
    <n v="2.15"/>
    <n v="69.260000000000005"/>
    <n v="19323.54"/>
  </r>
  <r>
    <x v="2"/>
    <x v="0"/>
    <x v="2"/>
    <n v="104"/>
    <n v="0"/>
    <n v="0"/>
    <n v="37.880000000000003"/>
    <n v="3939.52"/>
  </r>
  <r>
    <x v="1"/>
    <x v="0"/>
    <x v="1"/>
    <n v="201"/>
    <n v="10"/>
    <n v="4.9800000000000004"/>
    <n v="38.880000000000003"/>
    <n v="7814.88"/>
  </r>
  <r>
    <x v="1"/>
    <x v="0"/>
    <x v="2"/>
    <n v="209"/>
    <n v="6"/>
    <n v="2.87"/>
    <n v="49.61"/>
    <n v="10368.49"/>
  </r>
  <r>
    <x v="1"/>
    <x v="0"/>
    <x v="2"/>
    <n v="274"/>
    <n v="10"/>
    <n v="3.65"/>
    <n v="47.55"/>
    <n v="13028.7"/>
  </r>
  <r>
    <x v="3"/>
    <x v="0"/>
    <x v="2"/>
    <n v="136"/>
    <n v="2"/>
    <n v="1.47"/>
    <n v="49.44"/>
    <n v="6723.84"/>
  </r>
  <r>
    <x v="3"/>
    <x v="0"/>
    <x v="2"/>
    <n v="189"/>
    <n v="15"/>
    <n v="7.94"/>
    <n v="12.37"/>
    <n v="2337.9299999999998"/>
  </r>
  <r>
    <x v="1"/>
    <x v="0"/>
    <x v="2"/>
    <n v="152"/>
    <n v="2"/>
    <n v="1.32"/>
    <n v="31.21"/>
    <n v="4743.92"/>
  </r>
  <r>
    <x v="3"/>
    <x v="0"/>
    <x v="2"/>
    <n v="205"/>
    <n v="0"/>
    <n v="0"/>
    <n v="69.55"/>
    <n v="14257.75"/>
  </r>
  <r>
    <x v="3"/>
    <x v="0"/>
    <x v="2"/>
    <n v="172"/>
    <n v="2"/>
    <n v="1.1599999999999999"/>
    <n v="6.9"/>
    <n v="1186.8"/>
  </r>
  <r>
    <x v="1"/>
    <x v="0"/>
    <x v="2"/>
    <n v="282"/>
    <n v="25"/>
    <n v="8.8699999999999992"/>
    <n v="42.1"/>
    <n v="11872.2"/>
  </r>
  <r>
    <x v="0"/>
    <x v="0"/>
    <x v="2"/>
    <n v="83"/>
    <n v="7"/>
    <n v="8.43"/>
    <n v="8.14"/>
    <n v="675.62"/>
  </r>
  <r>
    <x v="1"/>
    <x v="0"/>
    <x v="2"/>
    <n v="250"/>
    <n v="24"/>
    <n v="9.6"/>
    <n v="5.25"/>
    <n v="1312.5"/>
  </r>
  <r>
    <x v="1"/>
    <x v="0"/>
    <x v="2"/>
    <n v="85"/>
    <n v="3"/>
    <n v="3.53"/>
    <n v="63.78"/>
    <n v="5421.3"/>
  </r>
  <r>
    <x v="1"/>
    <x v="0"/>
    <x v="2"/>
    <n v="287"/>
    <n v="2"/>
    <n v="0.7"/>
    <n v="53.11"/>
    <n v="15242.57"/>
  </r>
  <r>
    <x v="3"/>
    <x v="0"/>
    <x v="2"/>
    <n v="61"/>
    <n v="1"/>
    <n v="1.64"/>
    <n v="60.7"/>
    <n v="3702.7"/>
  </r>
  <r>
    <x v="0"/>
    <x v="0"/>
    <x v="2"/>
    <n v="80"/>
    <n v="1"/>
    <n v="1.25"/>
    <n v="14.06"/>
    <n v="1124.8"/>
  </r>
  <r>
    <x v="3"/>
    <x v="0"/>
    <x v="2"/>
    <n v="135"/>
    <n v="7"/>
    <n v="5.19"/>
    <n v="49.91"/>
    <n v="6737.85"/>
  </r>
  <r>
    <x v="1"/>
    <x v="0"/>
    <x v="1"/>
    <n v="154"/>
    <n v="2"/>
    <n v="1.3"/>
    <n v="57.21"/>
    <n v="8810.34"/>
  </r>
  <r>
    <x v="0"/>
    <x v="0"/>
    <x v="0"/>
    <n v="150"/>
    <n v="12"/>
    <n v="8"/>
    <n v="19.2"/>
    <n v="2880"/>
  </r>
  <r>
    <x v="0"/>
    <x v="0"/>
    <x v="2"/>
    <n v="188"/>
    <n v="8"/>
    <n v="4.26"/>
    <n v="61.95"/>
    <n v="11646.6"/>
  </r>
  <r>
    <x v="1"/>
    <x v="0"/>
    <x v="2"/>
    <n v="295"/>
    <n v="10"/>
    <n v="3.39"/>
    <n v="23.85"/>
    <n v="7035.75"/>
  </r>
  <r>
    <x v="1"/>
    <x v="0"/>
    <x v="2"/>
    <n v="290"/>
    <n v="9"/>
    <n v="3.1"/>
    <n v="22.44"/>
    <n v="6507.6"/>
  </r>
  <r>
    <x v="3"/>
    <x v="0"/>
    <x v="2"/>
    <n v="285"/>
    <n v="27"/>
    <n v="9.4700000000000006"/>
    <n v="53.11"/>
    <n v="15136.35"/>
  </r>
  <r>
    <x v="2"/>
    <x v="0"/>
    <x v="2"/>
    <n v="267"/>
    <n v="16"/>
    <n v="5.99"/>
    <n v="14.27"/>
    <n v="3810.09"/>
  </r>
  <r>
    <x v="1"/>
    <x v="0"/>
    <x v="2"/>
    <n v="292"/>
    <n v="6"/>
    <n v="2.0499999999999998"/>
    <n v="35.909999999999997"/>
    <n v="10485.719999999999"/>
  </r>
  <r>
    <x v="3"/>
    <x v="0"/>
    <x v="2"/>
    <n v="95"/>
    <n v="2"/>
    <n v="2.11"/>
    <n v="21.59"/>
    <n v="2051.0500000000002"/>
  </r>
  <r>
    <x v="2"/>
    <x v="0"/>
    <x v="2"/>
    <n v="91"/>
    <n v="9"/>
    <n v="9.89"/>
    <n v="9.7799999999999994"/>
    <n v="889.98"/>
  </r>
  <r>
    <x v="0"/>
    <x v="0"/>
    <x v="0"/>
    <n v="164"/>
    <n v="10"/>
    <n v="6.1"/>
    <n v="43.98"/>
    <n v="7212.72"/>
  </r>
  <r>
    <x v="0"/>
    <x v="0"/>
    <x v="0"/>
    <n v="125"/>
    <n v="9"/>
    <n v="7.2"/>
    <n v="41.68"/>
    <n v="5210"/>
  </r>
  <r>
    <x v="3"/>
    <x v="0"/>
    <x v="2"/>
    <n v="77"/>
    <n v="7"/>
    <n v="9.09"/>
    <n v="64.61"/>
    <n v="4974.97"/>
  </r>
  <r>
    <x v="3"/>
    <x v="0"/>
    <x v="2"/>
    <n v="55"/>
    <n v="4"/>
    <n v="7.27"/>
    <n v="39.86"/>
    <n v="2192.3000000000002"/>
  </r>
  <r>
    <x v="3"/>
    <x v="0"/>
    <x v="2"/>
    <n v="78"/>
    <n v="2"/>
    <n v="2.56"/>
    <n v="63.72"/>
    <n v="4970.16"/>
  </r>
  <r>
    <x v="0"/>
    <x v="0"/>
    <x v="2"/>
    <n v="104"/>
    <n v="10"/>
    <n v="9.6199999999999992"/>
    <n v="23.84"/>
    <n v="2479.36"/>
  </r>
  <r>
    <x v="1"/>
    <x v="0"/>
    <x v="2"/>
    <n v="233"/>
    <n v="2"/>
    <n v="0.86"/>
    <n v="50.32"/>
    <n v="11724.56"/>
  </r>
  <r>
    <x v="0"/>
    <x v="0"/>
    <x v="0"/>
    <n v="122"/>
    <n v="10"/>
    <n v="8.1999999999999993"/>
    <n v="8.82"/>
    <n v="1076.04"/>
  </r>
  <r>
    <x v="2"/>
    <x v="0"/>
    <x v="2"/>
    <n v="175"/>
    <n v="8"/>
    <n v="4.57"/>
    <n v="39.9"/>
    <n v="6982.5"/>
  </r>
  <r>
    <x v="0"/>
    <x v="0"/>
    <x v="2"/>
    <n v="218"/>
    <n v="8"/>
    <n v="3.67"/>
    <n v="35.71"/>
    <n v="7784.78"/>
  </r>
  <r>
    <x v="0"/>
    <x v="0"/>
    <x v="0"/>
    <n v="176"/>
    <n v="2"/>
    <n v="1.1399999999999999"/>
    <n v="12.66"/>
    <n v="2228.16"/>
  </r>
  <r>
    <x v="0"/>
    <x v="0"/>
    <x v="0"/>
    <n v="247"/>
    <n v="0"/>
    <n v="0"/>
    <n v="59.12"/>
    <n v="14602.64"/>
  </r>
  <r>
    <x v="0"/>
    <x v="0"/>
    <x v="0"/>
    <n v="200"/>
    <n v="1"/>
    <n v="0.5"/>
    <n v="63.68"/>
    <n v="12736"/>
  </r>
  <r>
    <x v="1"/>
    <x v="0"/>
    <x v="1"/>
    <n v="269"/>
    <n v="22"/>
    <n v="8.18"/>
    <n v="43.6"/>
    <n v="11728.4"/>
  </r>
  <r>
    <x v="1"/>
    <x v="0"/>
    <x v="2"/>
    <n v="75"/>
    <n v="1"/>
    <n v="1.33"/>
    <n v="47.44"/>
    <n v="3558"/>
  </r>
  <r>
    <x v="0"/>
    <x v="0"/>
    <x v="0"/>
    <n v="161"/>
    <n v="0"/>
    <n v="0"/>
    <n v="46.59"/>
    <n v="7500.99"/>
  </r>
  <r>
    <x v="2"/>
    <x v="0"/>
    <x v="2"/>
    <n v="163"/>
    <n v="16"/>
    <n v="9.82"/>
    <n v="18.55"/>
    <n v="3023.65"/>
  </r>
  <r>
    <x v="0"/>
    <x v="0"/>
    <x v="0"/>
    <n v="153"/>
    <n v="10"/>
    <n v="6.54"/>
    <n v="31.09"/>
    <n v="4756.7700000000004"/>
  </r>
  <r>
    <x v="0"/>
    <x v="0"/>
    <x v="2"/>
    <n v="215"/>
    <n v="15"/>
    <n v="6.98"/>
    <n v="23.61"/>
    <n v="5076.1499999999996"/>
  </r>
  <r>
    <x v="3"/>
    <x v="0"/>
    <x v="2"/>
    <n v="57"/>
    <n v="0"/>
    <n v="0"/>
    <n v="10.67"/>
    <n v="608.19000000000005"/>
  </r>
  <r>
    <x v="0"/>
    <x v="0"/>
    <x v="0"/>
    <n v="187"/>
    <n v="10"/>
    <n v="5.35"/>
    <n v="19.309999999999999"/>
    <n v="3610.97"/>
  </r>
  <r>
    <x v="1"/>
    <x v="0"/>
    <x v="2"/>
    <n v="261"/>
    <n v="14"/>
    <n v="5.36"/>
    <n v="66.959999999999994"/>
    <n v="17476.560000000001"/>
  </r>
  <r>
    <x v="1"/>
    <x v="0"/>
    <x v="2"/>
    <n v="177"/>
    <n v="3"/>
    <n v="1.69"/>
    <n v="21.47"/>
    <n v="3800.19"/>
  </r>
  <r>
    <x v="0"/>
    <x v="0"/>
    <x v="2"/>
    <n v="159"/>
    <n v="11"/>
    <n v="6.92"/>
    <n v="41.87"/>
    <n v="6657.33"/>
  </r>
  <r>
    <x v="3"/>
    <x v="0"/>
    <x v="2"/>
    <n v="205"/>
    <n v="18"/>
    <n v="8.7799999999999994"/>
    <n v="39.770000000000003"/>
    <n v="8152.85"/>
  </r>
  <r>
    <x v="1"/>
    <x v="0"/>
    <x v="1"/>
    <n v="188"/>
    <n v="4"/>
    <n v="2.13"/>
    <n v="40.39"/>
    <n v="7593.32"/>
  </r>
  <r>
    <x v="3"/>
    <x v="0"/>
    <x v="2"/>
    <n v="262"/>
    <n v="18"/>
    <n v="6.87"/>
    <n v="66.94"/>
    <n v="17538.28"/>
  </r>
  <r>
    <x v="0"/>
    <x v="0"/>
    <x v="2"/>
    <n v="184"/>
    <n v="0"/>
    <n v="0"/>
    <n v="22.15"/>
    <n v="4075.6"/>
  </r>
  <r>
    <x v="0"/>
    <x v="0"/>
    <x v="0"/>
    <n v="275"/>
    <n v="1"/>
    <n v="0.36"/>
    <n v="57.55"/>
    <n v="15826.25"/>
  </r>
  <r>
    <x v="0"/>
    <x v="0"/>
    <x v="2"/>
    <n v="121"/>
    <n v="0"/>
    <n v="0"/>
    <n v="37.96"/>
    <n v="4593.16"/>
  </r>
  <r>
    <x v="1"/>
    <x v="0"/>
    <x v="1"/>
    <n v="136"/>
    <n v="1"/>
    <n v="0.74"/>
    <n v="51.74"/>
    <n v="7036.64"/>
  </r>
  <r>
    <x v="0"/>
    <x v="0"/>
    <x v="0"/>
    <n v="132"/>
    <n v="8"/>
    <n v="6.06"/>
    <n v="18.37"/>
    <n v="2424.84"/>
  </r>
  <r>
    <x v="2"/>
    <x v="0"/>
    <x v="2"/>
    <n v="208"/>
    <n v="14"/>
    <n v="6.73"/>
    <n v="51.57"/>
    <n v="10726.56"/>
  </r>
  <r>
    <x v="2"/>
    <x v="0"/>
    <x v="2"/>
    <n v="102"/>
    <n v="2"/>
    <n v="1.96"/>
    <n v="51.45"/>
    <n v="5247.9"/>
  </r>
  <r>
    <x v="0"/>
    <x v="0"/>
    <x v="0"/>
    <n v="167"/>
    <n v="1"/>
    <n v="0.6"/>
    <n v="27.18"/>
    <n v="4539.0600000000004"/>
  </r>
  <r>
    <x v="0"/>
    <x v="0"/>
    <x v="0"/>
    <n v="79"/>
    <n v="7"/>
    <n v="8.86"/>
    <n v="24.76"/>
    <n v="1956.04"/>
  </r>
  <r>
    <x v="0"/>
    <x v="0"/>
    <x v="0"/>
    <n v="66"/>
    <n v="4"/>
    <n v="6.06"/>
    <n v="18.88"/>
    <n v="1246.08"/>
  </r>
  <r>
    <x v="2"/>
    <x v="0"/>
    <x v="2"/>
    <n v="250"/>
    <n v="4"/>
    <n v="1.6"/>
    <n v="49.38"/>
    <n v="12345"/>
  </r>
  <r>
    <x v="2"/>
    <x v="0"/>
    <x v="2"/>
    <n v="113"/>
    <n v="8"/>
    <n v="7.08"/>
    <n v="36.35"/>
    <n v="4107.55"/>
  </r>
  <r>
    <x v="0"/>
    <x v="0"/>
    <x v="2"/>
    <n v="163"/>
    <n v="14"/>
    <n v="8.59"/>
    <n v="37.39"/>
    <n v="6094.57"/>
  </r>
  <r>
    <x v="0"/>
    <x v="0"/>
    <x v="2"/>
    <n v="94"/>
    <n v="8"/>
    <n v="8.51"/>
    <n v="28.5"/>
    <n v="2679"/>
  </r>
  <r>
    <x v="1"/>
    <x v="0"/>
    <x v="2"/>
    <n v="218"/>
    <n v="10"/>
    <n v="4.59"/>
    <n v="36.909999999999997"/>
    <n v="8046.38"/>
  </r>
  <r>
    <x v="0"/>
    <x v="0"/>
    <x v="2"/>
    <n v="272"/>
    <n v="25"/>
    <n v="9.19"/>
    <n v="39.33"/>
    <n v="10697.76"/>
  </r>
  <r>
    <x v="0"/>
    <x v="0"/>
    <x v="0"/>
    <n v="265"/>
    <n v="19"/>
    <n v="7.17"/>
    <n v="40.729999999999997"/>
    <n v="10793.45"/>
  </r>
  <r>
    <x v="0"/>
    <x v="0"/>
    <x v="0"/>
    <n v="237"/>
    <n v="3"/>
    <n v="1.27"/>
    <n v="33.479999999999997"/>
    <n v="7934.76"/>
  </r>
  <r>
    <x v="2"/>
    <x v="0"/>
    <x v="2"/>
    <n v="162"/>
    <n v="16"/>
    <n v="9.8800000000000008"/>
    <n v="46.41"/>
    <n v="7518.42"/>
  </r>
  <r>
    <x v="3"/>
    <x v="0"/>
    <x v="2"/>
    <n v="128"/>
    <n v="0"/>
    <n v="0"/>
    <n v="24.11"/>
    <n v="3086.08"/>
  </r>
  <r>
    <x v="1"/>
    <x v="0"/>
    <x v="1"/>
    <n v="218"/>
    <n v="4"/>
    <n v="1.83"/>
    <n v="21.33"/>
    <n v="4649.9399999999996"/>
  </r>
  <r>
    <x v="1"/>
    <x v="0"/>
    <x v="1"/>
    <n v="114"/>
    <n v="4"/>
    <n v="3.51"/>
    <n v="46.66"/>
    <n v="5319.24"/>
  </r>
  <r>
    <x v="0"/>
    <x v="0"/>
    <x v="0"/>
    <n v="105"/>
    <n v="0"/>
    <n v="0"/>
    <n v="46.04"/>
    <n v="4834.2"/>
  </r>
  <r>
    <x v="0"/>
    <x v="0"/>
    <x v="0"/>
    <n v="165"/>
    <n v="6"/>
    <n v="3.64"/>
    <n v="21.63"/>
    <n v="3568.95"/>
  </r>
  <r>
    <x v="1"/>
    <x v="0"/>
    <x v="1"/>
    <n v="94"/>
    <n v="8"/>
    <n v="8.51"/>
    <n v="55.12"/>
    <n v="5181.28"/>
  </r>
  <r>
    <x v="1"/>
    <x v="0"/>
    <x v="1"/>
    <n v="101"/>
    <n v="4"/>
    <n v="3.96"/>
    <n v="31.69"/>
    <n v="3200.69"/>
  </r>
  <r>
    <x v="2"/>
    <x v="0"/>
    <x v="2"/>
    <n v="135"/>
    <n v="6"/>
    <n v="4.4400000000000004"/>
    <n v="43.45"/>
    <n v="5865.75"/>
  </r>
  <r>
    <x v="1"/>
    <x v="0"/>
    <x v="2"/>
    <n v="64"/>
    <n v="1"/>
    <n v="1.56"/>
    <n v="18.75"/>
    <n v="1200"/>
  </r>
  <r>
    <x v="3"/>
    <x v="0"/>
    <x v="2"/>
    <n v="244"/>
    <n v="10"/>
    <n v="4.0999999999999996"/>
    <n v="67.349999999999994"/>
    <n v="16433.400000000001"/>
  </r>
  <r>
    <x v="2"/>
    <x v="0"/>
    <x v="2"/>
    <n v="130"/>
    <n v="4"/>
    <n v="3.08"/>
    <n v="68.599999999999994"/>
    <n v="8918"/>
  </r>
  <r>
    <x v="1"/>
    <x v="0"/>
    <x v="1"/>
    <n v="249"/>
    <n v="9"/>
    <n v="3.61"/>
    <n v="38.659999999999997"/>
    <n v="9626.34"/>
  </r>
  <r>
    <x v="0"/>
    <x v="0"/>
    <x v="0"/>
    <n v="297"/>
    <n v="19"/>
    <n v="6.4"/>
    <n v="58.75"/>
    <n v="17448.75"/>
  </r>
  <r>
    <x v="3"/>
    <x v="0"/>
    <x v="2"/>
    <n v="154"/>
    <n v="0"/>
    <n v="0"/>
    <n v="67.25"/>
    <n v="10356.5"/>
  </r>
  <r>
    <x v="0"/>
    <x v="0"/>
    <x v="0"/>
    <n v="78"/>
    <n v="6"/>
    <n v="7.69"/>
    <n v="10.19"/>
    <n v="794.82"/>
  </r>
  <r>
    <x v="2"/>
    <x v="0"/>
    <x v="2"/>
    <n v="248"/>
    <n v="6"/>
    <n v="2.42"/>
    <n v="24.19"/>
    <n v="5999.12"/>
  </r>
  <r>
    <x v="2"/>
    <x v="0"/>
    <x v="2"/>
    <n v="162"/>
    <n v="14"/>
    <n v="8.64"/>
    <n v="25.4"/>
    <n v="4114.8"/>
  </r>
  <r>
    <x v="0"/>
    <x v="0"/>
    <x v="2"/>
    <n v="95"/>
    <n v="8"/>
    <n v="8.42"/>
    <n v="43.1"/>
    <n v="4094.5"/>
  </r>
  <r>
    <x v="0"/>
    <x v="0"/>
    <x v="2"/>
    <n v="220"/>
    <n v="7"/>
    <n v="3.18"/>
    <n v="13.73"/>
    <n v="3020.6"/>
  </r>
  <r>
    <x v="0"/>
    <x v="0"/>
    <x v="0"/>
    <n v="273"/>
    <n v="4"/>
    <n v="1.47"/>
    <n v="37.369999999999997"/>
    <n v="10202.01"/>
  </r>
  <r>
    <x v="2"/>
    <x v="0"/>
    <x v="2"/>
    <n v="143"/>
    <n v="3"/>
    <n v="2.1"/>
    <n v="14.9"/>
    <n v="2130.6999999999998"/>
  </r>
  <r>
    <x v="1"/>
    <x v="0"/>
    <x v="1"/>
    <n v="111"/>
    <n v="7"/>
    <n v="6.31"/>
    <n v="58.4"/>
    <n v="6482.4"/>
  </r>
  <r>
    <x v="1"/>
    <x v="0"/>
    <x v="1"/>
    <n v="231"/>
    <n v="13"/>
    <n v="5.63"/>
    <n v="53.54"/>
    <n v="12367.74"/>
  </r>
  <r>
    <x v="1"/>
    <x v="0"/>
    <x v="1"/>
    <n v="216"/>
    <n v="14"/>
    <n v="6.48"/>
    <n v="52.65"/>
    <n v="11372.4"/>
  </r>
  <r>
    <x v="3"/>
    <x v="0"/>
    <x v="2"/>
    <n v="57"/>
    <n v="3"/>
    <n v="5.26"/>
    <n v="17.55"/>
    <n v="1000.35"/>
  </r>
  <r>
    <x v="1"/>
    <x v="0"/>
    <x v="2"/>
    <n v="185"/>
    <n v="2"/>
    <n v="1.08"/>
    <n v="21.42"/>
    <n v="3962.7"/>
  </r>
  <r>
    <x v="1"/>
    <x v="0"/>
    <x v="2"/>
    <n v="188"/>
    <n v="10"/>
    <n v="5.32"/>
    <n v="50.83"/>
    <n v="9556.0400000000009"/>
  </r>
  <r>
    <x v="3"/>
    <x v="0"/>
    <x v="2"/>
    <n v="71"/>
    <n v="4"/>
    <n v="5.63"/>
    <n v="28.51"/>
    <n v="2024.21"/>
  </r>
  <r>
    <x v="0"/>
    <x v="0"/>
    <x v="2"/>
    <n v="230"/>
    <n v="7"/>
    <n v="3.04"/>
    <n v="21.6"/>
    <n v="4968"/>
  </r>
  <r>
    <x v="0"/>
    <x v="0"/>
    <x v="0"/>
    <n v="110"/>
    <n v="8"/>
    <n v="7.27"/>
    <n v="51.92"/>
    <n v="5711.2"/>
  </r>
  <r>
    <x v="0"/>
    <x v="0"/>
    <x v="0"/>
    <n v="105"/>
    <n v="2"/>
    <n v="1.9"/>
    <n v="48.88"/>
    <n v="5132.3999999999996"/>
  </r>
  <r>
    <x v="3"/>
    <x v="0"/>
    <x v="2"/>
    <n v="224"/>
    <n v="11"/>
    <n v="4.91"/>
    <n v="54.15"/>
    <n v="12129.6"/>
  </r>
  <r>
    <x v="1"/>
    <x v="0"/>
    <x v="2"/>
    <n v="247"/>
    <n v="23"/>
    <n v="9.31"/>
    <n v="28.59"/>
    <n v="7061.73"/>
  </r>
  <r>
    <x v="1"/>
    <x v="0"/>
    <x v="1"/>
    <n v="253"/>
    <n v="14"/>
    <n v="5.53"/>
    <n v="68.62"/>
    <n v="17360.86"/>
  </r>
  <r>
    <x v="1"/>
    <x v="0"/>
    <x v="2"/>
    <n v="103"/>
    <n v="10"/>
    <n v="9.7100000000000009"/>
    <n v="65.81"/>
    <n v="6778.43"/>
  </r>
  <r>
    <x v="3"/>
    <x v="0"/>
    <x v="2"/>
    <n v="200"/>
    <n v="6"/>
    <n v="3"/>
    <n v="56.44"/>
    <n v="11288"/>
  </r>
  <r>
    <x v="2"/>
    <x v="0"/>
    <x v="2"/>
    <n v="296"/>
    <n v="21"/>
    <n v="7.09"/>
    <n v="42.77"/>
    <n v="12659.92"/>
  </r>
  <r>
    <x v="0"/>
    <x v="0"/>
    <x v="0"/>
    <n v="298"/>
    <n v="27"/>
    <n v="9.06"/>
    <n v="23.17"/>
    <n v="6904.66"/>
  </r>
  <r>
    <x v="0"/>
    <x v="0"/>
    <x v="2"/>
    <n v="179"/>
    <n v="0"/>
    <n v="0"/>
    <n v="65.14"/>
    <n v="11660.06"/>
  </r>
  <r>
    <x v="1"/>
    <x v="0"/>
    <x v="1"/>
    <n v="111"/>
    <n v="4"/>
    <n v="3.6"/>
    <n v="42.24"/>
    <n v="4688.6400000000003"/>
  </r>
  <r>
    <x v="1"/>
    <x v="0"/>
    <x v="2"/>
    <n v="139"/>
    <n v="6"/>
    <n v="4.32"/>
    <n v="57.95"/>
    <n v="8055.05"/>
  </r>
  <r>
    <x v="0"/>
    <x v="0"/>
    <x v="0"/>
    <n v="262"/>
    <n v="24"/>
    <n v="9.16"/>
    <n v="47.8"/>
    <n v="12523.6"/>
  </r>
  <r>
    <x v="0"/>
    <x v="0"/>
    <x v="2"/>
    <n v="53"/>
    <n v="1"/>
    <n v="1.89"/>
    <n v="63.71"/>
    <n v="3376.63"/>
  </r>
  <r>
    <x v="0"/>
    <x v="0"/>
    <x v="2"/>
    <n v="122"/>
    <n v="12"/>
    <n v="9.84"/>
    <n v="47.96"/>
    <n v="5851.12"/>
  </r>
  <r>
    <x v="0"/>
    <x v="0"/>
    <x v="2"/>
    <n v="161"/>
    <n v="7"/>
    <n v="4.3499999999999996"/>
    <n v="54.7"/>
    <n v="8806.7000000000007"/>
  </r>
  <r>
    <x v="0"/>
    <x v="0"/>
    <x v="0"/>
    <n v="226"/>
    <n v="17"/>
    <n v="7.52"/>
    <n v="37.21"/>
    <n v="8409.4599999999991"/>
  </r>
  <r>
    <x v="3"/>
    <x v="0"/>
    <x v="2"/>
    <n v="149"/>
    <n v="2"/>
    <n v="1.34"/>
    <n v="39.880000000000003"/>
    <n v="5942.12"/>
  </r>
  <r>
    <x v="0"/>
    <x v="0"/>
    <x v="2"/>
    <n v="233"/>
    <n v="19"/>
    <n v="8.15"/>
    <n v="5.48"/>
    <n v="1276.8399999999999"/>
  </r>
  <r>
    <x v="3"/>
    <x v="0"/>
    <x v="2"/>
    <n v="249"/>
    <n v="7"/>
    <n v="2.81"/>
    <n v="16.239999999999998"/>
    <n v="4043.76"/>
  </r>
  <r>
    <x v="1"/>
    <x v="0"/>
    <x v="1"/>
    <n v="296"/>
    <n v="21"/>
    <n v="7.09"/>
    <n v="28.04"/>
    <n v="8299.84"/>
  </r>
  <r>
    <x v="1"/>
    <x v="0"/>
    <x v="1"/>
    <n v="161"/>
    <n v="1"/>
    <n v="0.62"/>
    <n v="36.08"/>
    <n v="5808.88"/>
  </r>
  <r>
    <x v="1"/>
    <x v="0"/>
    <x v="2"/>
    <n v="91"/>
    <n v="8"/>
    <n v="8.7899999999999991"/>
    <n v="22.9"/>
    <n v="2083.9"/>
  </r>
  <r>
    <x v="1"/>
    <x v="0"/>
    <x v="1"/>
    <n v="269"/>
    <n v="20"/>
    <n v="7.43"/>
    <n v="5.66"/>
    <n v="1522.54"/>
  </r>
  <r>
    <x v="0"/>
    <x v="0"/>
    <x v="2"/>
    <n v="280"/>
    <n v="22"/>
    <n v="7.86"/>
    <n v="57.01"/>
    <n v="15962.8"/>
  </r>
  <r>
    <x v="1"/>
    <x v="0"/>
    <x v="1"/>
    <n v="104"/>
    <n v="2"/>
    <n v="1.92"/>
    <n v="63.08"/>
    <n v="6560.32"/>
  </r>
  <r>
    <x v="3"/>
    <x v="0"/>
    <x v="2"/>
    <n v="262"/>
    <n v="13"/>
    <n v="4.96"/>
    <n v="68.239999999999995"/>
    <n v="17878.88"/>
  </r>
  <r>
    <x v="1"/>
    <x v="0"/>
    <x v="1"/>
    <n v="250"/>
    <n v="10"/>
    <n v="4"/>
    <n v="53.45"/>
    <n v="13362.5"/>
  </r>
  <r>
    <x v="1"/>
    <x v="0"/>
    <x v="1"/>
    <n v="188"/>
    <n v="4"/>
    <n v="2.13"/>
    <n v="59.82"/>
    <n v="11246.16"/>
  </r>
  <r>
    <x v="0"/>
    <x v="0"/>
    <x v="0"/>
    <n v="230"/>
    <n v="15"/>
    <n v="6.52"/>
    <n v="43.81"/>
    <n v="10076.299999999999"/>
  </r>
  <r>
    <x v="3"/>
    <x v="0"/>
    <x v="2"/>
    <n v="244"/>
    <n v="24"/>
    <n v="9.84"/>
    <n v="54.5"/>
    <n v="13298"/>
  </r>
  <r>
    <x v="0"/>
    <x v="0"/>
    <x v="0"/>
    <n v="236"/>
    <n v="1"/>
    <n v="0.42"/>
    <n v="20.02"/>
    <n v="4724.72"/>
  </r>
  <r>
    <x v="3"/>
    <x v="0"/>
    <x v="2"/>
    <n v="189"/>
    <n v="9"/>
    <n v="4.76"/>
    <n v="26.31"/>
    <n v="4972.59"/>
  </r>
  <r>
    <x v="3"/>
    <x v="0"/>
    <x v="2"/>
    <n v="262"/>
    <n v="4"/>
    <n v="1.53"/>
    <n v="64.510000000000005"/>
    <n v="16901.62"/>
  </r>
  <r>
    <x v="1"/>
    <x v="0"/>
    <x v="2"/>
    <n v="250"/>
    <n v="21"/>
    <n v="8.4"/>
    <n v="54.54"/>
    <n v="13635"/>
  </r>
  <r>
    <x v="1"/>
    <x v="0"/>
    <x v="1"/>
    <n v="70"/>
    <n v="4"/>
    <n v="5.71"/>
    <n v="52.72"/>
    <n v="3690.4"/>
  </r>
  <r>
    <x v="0"/>
    <x v="0"/>
    <x v="0"/>
    <n v="247"/>
    <n v="17"/>
    <n v="6.88"/>
    <n v="36.36"/>
    <n v="8980.92"/>
  </r>
  <r>
    <x v="0"/>
    <x v="0"/>
    <x v="2"/>
    <n v="198"/>
    <n v="13"/>
    <n v="6.57"/>
    <n v="8.82"/>
    <n v="1746.36"/>
  </r>
  <r>
    <x v="1"/>
    <x v="0"/>
    <x v="2"/>
    <n v="63"/>
    <n v="0"/>
    <n v="0"/>
    <n v="20.67"/>
    <n v="1302.21"/>
  </r>
  <r>
    <x v="1"/>
    <x v="0"/>
    <x v="1"/>
    <n v="166"/>
    <n v="6"/>
    <n v="3.61"/>
    <n v="14.74"/>
    <n v="2446.84"/>
  </r>
  <r>
    <x v="3"/>
    <x v="0"/>
    <x v="2"/>
    <n v="175"/>
    <n v="11"/>
    <n v="6.29"/>
    <n v="55.09"/>
    <n v="9640.75"/>
  </r>
  <r>
    <x v="0"/>
    <x v="0"/>
    <x v="0"/>
    <n v="170"/>
    <n v="12"/>
    <n v="7.06"/>
    <n v="51.19"/>
    <n v="8702.2999999999993"/>
  </r>
  <r>
    <x v="0"/>
    <x v="0"/>
    <x v="2"/>
    <n v="211"/>
    <n v="14"/>
    <n v="6.64"/>
    <n v="55.54"/>
    <n v="11718.94"/>
  </r>
  <r>
    <x v="0"/>
    <x v="0"/>
    <x v="2"/>
    <n v="220"/>
    <n v="14"/>
    <n v="6.36"/>
    <n v="14.77"/>
    <n v="3249.4"/>
  </r>
  <r>
    <x v="1"/>
    <x v="0"/>
    <x v="2"/>
    <n v="193"/>
    <n v="7"/>
    <n v="3.63"/>
    <n v="60.46"/>
    <n v="11668.78"/>
  </r>
  <r>
    <x v="1"/>
    <x v="0"/>
    <x v="1"/>
    <n v="236"/>
    <n v="4"/>
    <n v="1.69"/>
    <n v="56.01"/>
    <n v="13218.36"/>
  </r>
  <r>
    <x v="1"/>
    <x v="0"/>
    <x v="2"/>
    <n v="78"/>
    <n v="7"/>
    <n v="8.9700000000000006"/>
    <n v="52.39"/>
    <n v="4086.42"/>
  </r>
  <r>
    <x v="3"/>
    <x v="0"/>
    <x v="2"/>
    <n v="182"/>
    <n v="11"/>
    <n v="6.04"/>
    <n v="20.92"/>
    <n v="3807.44"/>
  </r>
  <r>
    <x v="0"/>
    <x v="0"/>
    <x v="0"/>
    <n v="164"/>
    <n v="11"/>
    <n v="6.71"/>
    <n v="23.8"/>
    <n v="3903.2"/>
  </r>
  <r>
    <x v="0"/>
    <x v="0"/>
    <x v="2"/>
    <n v="271"/>
    <n v="23"/>
    <n v="8.49"/>
    <n v="17.79"/>
    <n v="4821.09"/>
  </r>
  <r>
    <x v="3"/>
    <x v="0"/>
    <x v="2"/>
    <n v="181"/>
    <n v="7"/>
    <n v="3.87"/>
    <n v="50.17"/>
    <n v="9080.77"/>
  </r>
  <r>
    <x v="1"/>
    <x v="0"/>
    <x v="1"/>
    <n v="131"/>
    <n v="3"/>
    <n v="2.29"/>
    <n v="18.72"/>
    <n v="2452.3200000000002"/>
  </r>
  <r>
    <x v="3"/>
    <x v="0"/>
    <x v="2"/>
    <n v="164"/>
    <n v="11"/>
    <n v="6.71"/>
    <n v="36.659999999999997"/>
    <n v="6012.24"/>
  </r>
  <r>
    <x v="0"/>
    <x v="0"/>
    <x v="2"/>
    <n v="131"/>
    <n v="13"/>
    <n v="9.92"/>
    <n v="30.02"/>
    <n v="3932.62"/>
  </r>
  <r>
    <x v="0"/>
    <x v="0"/>
    <x v="0"/>
    <n v="90"/>
    <n v="2"/>
    <n v="2.2200000000000002"/>
    <n v="30.86"/>
    <n v="2777.4"/>
  </r>
  <r>
    <x v="1"/>
    <x v="0"/>
    <x v="1"/>
    <n v="71"/>
    <n v="6"/>
    <n v="8.4499999999999993"/>
    <n v="9.93"/>
    <n v="705.03"/>
  </r>
  <r>
    <x v="3"/>
    <x v="0"/>
    <x v="2"/>
    <n v="94"/>
    <n v="7"/>
    <n v="7.45"/>
    <n v="65.12"/>
    <n v="6121.28"/>
  </r>
  <r>
    <x v="1"/>
    <x v="0"/>
    <x v="2"/>
    <n v="157"/>
    <n v="13"/>
    <n v="8.2799999999999994"/>
    <n v="5.51"/>
    <n v="865.07"/>
  </r>
  <r>
    <x v="1"/>
    <x v="0"/>
    <x v="2"/>
    <n v="79"/>
    <n v="5"/>
    <n v="6.33"/>
    <n v="50.77"/>
    <n v="4010.83"/>
  </r>
  <r>
    <x v="2"/>
    <x v="0"/>
    <x v="2"/>
    <n v="141"/>
    <n v="3"/>
    <n v="2.13"/>
    <n v="69.989999999999995"/>
    <n v="9868.59"/>
  </r>
  <r>
    <x v="0"/>
    <x v="0"/>
    <x v="0"/>
    <n v="279"/>
    <n v="15"/>
    <n v="5.38"/>
    <n v="8.18"/>
    <n v="2282.2199999999998"/>
  </r>
  <r>
    <x v="0"/>
    <x v="0"/>
    <x v="0"/>
    <n v="157"/>
    <n v="6"/>
    <n v="3.82"/>
    <n v="14.32"/>
    <n v="2248.2399999999998"/>
  </r>
  <r>
    <x v="1"/>
    <x v="0"/>
    <x v="1"/>
    <n v="119"/>
    <n v="1"/>
    <n v="0.84"/>
    <n v="22.17"/>
    <n v="2638.23"/>
  </r>
  <r>
    <x v="0"/>
    <x v="0"/>
    <x v="2"/>
    <n v="232"/>
    <n v="8"/>
    <n v="3.45"/>
    <n v="53.64"/>
    <n v="12444.48"/>
  </r>
  <r>
    <x v="3"/>
    <x v="0"/>
    <x v="2"/>
    <n v="117"/>
    <n v="11"/>
    <n v="9.4"/>
    <n v="41.6"/>
    <n v="4867.2"/>
  </r>
  <r>
    <x v="0"/>
    <x v="0"/>
    <x v="0"/>
    <n v="139"/>
    <n v="1"/>
    <n v="0.72"/>
    <n v="21.51"/>
    <n v="2989.89"/>
  </r>
  <r>
    <x v="0"/>
    <x v="0"/>
    <x v="0"/>
    <n v="267"/>
    <n v="11"/>
    <n v="4.12"/>
    <n v="30.63"/>
    <n v="8178.21"/>
  </r>
  <r>
    <x v="2"/>
    <x v="0"/>
    <x v="2"/>
    <n v="198"/>
    <n v="12"/>
    <n v="6.06"/>
    <n v="52.57"/>
    <n v="10408.86"/>
  </r>
  <r>
    <x v="1"/>
    <x v="0"/>
    <x v="2"/>
    <n v="225"/>
    <n v="5"/>
    <n v="2.2200000000000002"/>
    <n v="16.96"/>
    <n v="3816"/>
  </r>
  <r>
    <x v="2"/>
    <x v="0"/>
    <x v="2"/>
    <n v="174"/>
    <n v="17"/>
    <n v="9.77"/>
    <n v="44.39"/>
    <n v="7723.86"/>
  </r>
  <r>
    <x v="1"/>
    <x v="0"/>
    <x v="2"/>
    <n v="300"/>
    <n v="30"/>
    <n v="10"/>
    <n v="11.17"/>
    <n v="3351"/>
  </r>
  <r>
    <x v="1"/>
    <x v="0"/>
    <x v="2"/>
    <n v="156"/>
    <n v="8"/>
    <n v="5.13"/>
    <n v="58.69"/>
    <n v="9155.64"/>
  </r>
  <r>
    <x v="0"/>
    <x v="0"/>
    <x v="0"/>
    <n v="126"/>
    <n v="10"/>
    <n v="7.94"/>
    <n v="5.88"/>
    <n v="740.88"/>
  </r>
  <r>
    <x v="0"/>
    <x v="0"/>
    <x v="0"/>
    <n v="174"/>
    <n v="6"/>
    <n v="3.45"/>
    <n v="25.68"/>
    <n v="4468.32"/>
  </r>
  <r>
    <x v="1"/>
    <x v="0"/>
    <x v="1"/>
    <n v="108"/>
    <n v="1"/>
    <n v="0.93"/>
    <n v="58.62"/>
    <n v="6330.96"/>
  </r>
  <r>
    <x v="0"/>
    <x v="0"/>
    <x v="2"/>
    <n v="67"/>
    <n v="2"/>
    <n v="2.99"/>
    <n v="50.65"/>
    <n v="3393.55"/>
  </r>
  <r>
    <x v="2"/>
    <x v="0"/>
    <x v="2"/>
    <n v="170"/>
    <n v="13"/>
    <n v="7.65"/>
    <n v="15.04"/>
    <n v="2556.8000000000002"/>
  </r>
  <r>
    <x v="1"/>
    <x v="0"/>
    <x v="2"/>
    <n v="280"/>
    <n v="16"/>
    <n v="5.71"/>
    <n v="16.55"/>
    <n v="4634"/>
  </r>
  <r>
    <x v="2"/>
    <x v="0"/>
    <x v="2"/>
    <n v="113"/>
    <n v="5"/>
    <n v="4.42"/>
    <n v="12.95"/>
    <n v="1463.35"/>
  </r>
  <r>
    <x v="1"/>
    <x v="0"/>
    <x v="2"/>
    <n v="296"/>
    <n v="28"/>
    <n v="9.4600000000000009"/>
    <n v="52.8"/>
    <n v="15628.8"/>
  </r>
  <r>
    <x v="1"/>
    <x v="0"/>
    <x v="2"/>
    <n v="109"/>
    <n v="10"/>
    <n v="9.17"/>
    <n v="32.15"/>
    <n v="3504.35"/>
  </r>
  <r>
    <x v="2"/>
    <x v="0"/>
    <x v="2"/>
    <n v="69"/>
    <n v="4"/>
    <n v="5.8"/>
    <n v="20.27"/>
    <n v="1398.63"/>
  </r>
  <r>
    <x v="1"/>
    <x v="0"/>
    <x v="2"/>
    <n v="259"/>
    <n v="7"/>
    <n v="2.7"/>
    <n v="47.27"/>
    <n v="12242.93"/>
  </r>
  <r>
    <x v="2"/>
    <x v="0"/>
    <x v="2"/>
    <n v="142"/>
    <n v="13"/>
    <n v="9.15"/>
    <n v="15.57"/>
    <n v="2210.94"/>
  </r>
  <r>
    <x v="0"/>
    <x v="0"/>
    <x v="2"/>
    <n v="143"/>
    <n v="6"/>
    <n v="4.2"/>
    <n v="53.05"/>
    <n v="7586.15"/>
  </r>
  <r>
    <x v="1"/>
    <x v="0"/>
    <x v="2"/>
    <n v="246"/>
    <n v="10"/>
    <n v="4.07"/>
    <n v="30"/>
    <n v="7380"/>
  </r>
  <r>
    <x v="0"/>
    <x v="0"/>
    <x v="2"/>
    <n v="280"/>
    <n v="7"/>
    <n v="2.5"/>
    <n v="26.36"/>
    <n v="7380.8"/>
  </r>
  <r>
    <x v="2"/>
    <x v="0"/>
    <x v="2"/>
    <n v="148"/>
    <n v="1"/>
    <n v="0.68"/>
    <n v="50.46"/>
    <n v="7468.08"/>
  </r>
  <r>
    <x v="0"/>
    <x v="0"/>
    <x v="0"/>
    <n v="133"/>
    <n v="1"/>
    <n v="0.75"/>
    <n v="43.04"/>
    <n v="5724.32"/>
  </r>
  <r>
    <x v="0"/>
    <x v="0"/>
    <x v="0"/>
    <n v="201"/>
    <n v="13"/>
    <n v="6.47"/>
    <n v="45.73"/>
    <n v="9191.73"/>
  </r>
  <r>
    <x v="2"/>
    <x v="0"/>
    <x v="2"/>
    <n v="200"/>
    <n v="16"/>
    <n v="8"/>
    <n v="11.44"/>
    <n v="2288"/>
  </r>
  <r>
    <x v="0"/>
    <x v="0"/>
    <x v="2"/>
    <n v="285"/>
    <n v="22"/>
    <n v="7.72"/>
    <n v="58.44"/>
    <n v="16655.400000000001"/>
  </r>
  <r>
    <x v="1"/>
    <x v="0"/>
    <x v="2"/>
    <n v="300"/>
    <n v="19"/>
    <n v="6.33"/>
    <n v="56.3"/>
    <n v="16890"/>
  </r>
  <r>
    <x v="1"/>
    <x v="0"/>
    <x v="2"/>
    <n v="241"/>
    <n v="22"/>
    <n v="9.1300000000000008"/>
    <n v="31.09"/>
    <n v="7492.69"/>
  </r>
  <r>
    <x v="3"/>
    <x v="0"/>
    <x v="2"/>
    <n v="130"/>
    <n v="7"/>
    <n v="5.38"/>
    <n v="49.43"/>
    <n v="6425.9"/>
  </r>
  <r>
    <x v="1"/>
    <x v="0"/>
    <x v="2"/>
    <n v="244"/>
    <n v="4"/>
    <n v="1.64"/>
    <n v="22.34"/>
    <n v="5450.96"/>
  </r>
  <r>
    <x v="3"/>
    <x v="0"/>
    <x v="2"/>
    <n v="129"/>
    <n v="0"/>
    <n v="0"/>
    <n v="30.98"/>
    <n v="3996.42"/>
  </r>
  <r>
    <x v="3"/>
    <x v="0"/>
    <x v="2"/>
    <n v="136"/>
    <n v="2"/>
    <n v="1.47"/>
    <n v="16.59"/>
    <n v="2256.2399999999998"/>
  </r>
  <r>
    <x v="2"/>
    <x v="0"/>
    <x v="2"/>
    <n v="210"/>
    <n v="1"/>
    <n v="0.48"/>
    <n v="17.18"/>
    <n v="3607.8"/>
  </r>
  <r>
    <x v="0"/>
    <x v="0"/>
    <x v="0"/>
    <n v="63"/>
    <n v="4"/>
    <n v="6.35"/>
    <n v="5.7"/>
    <n v="359.1"/>
  </r>
  <r>
    <x v="1"/>
    <x v="0"/>
    <x v="1"/>
    <n v="194"/>
    <n v="14"/>
    <n v="7.22"/>
    <n v="26.75"/>
    <n v="5189.5"/>
  </r>
  <r>
    <x v="1"/>
    <x v="0"/>
    <x v="2"/>
    <n v="76"/>
    <n v="2"/>
    <n v="2.63"/>
    <n v="49.96"/>
    <n v="3796.96"/>
  </r>
  <r>
    <x v="2"/>
    <x v="0"/>
    <x v="2"/>
    <n v="198"/>
    <n v="3"/>
    <n v="1.52"/>
    <n v="54.89"/>
    <n v="10868.22"/>
  </r>
  <r>
    <x v="3"/>
    <x v="0"/>
    <x v="2"/>
    <n v="262"/>
    <n v="11"/>
    <n v="4.2"/>
    <n v="25.9"/>
    <n v="6785.8"/>
  </r>
  <r>
    <x v="2"/>
    <x v="0"/>
    <x v="2"/>
    <n v="62"/>
    <n v="0"/>
    <n v="0"/>
    <n v="10.16"/>
    <n v="629.91999999999996"/>
  </r>
  <r>
    <x v="1"/>
    <x v="0"/>
    <x v="2"/>
    <n v="91"/>
    <n v="0"/>
    <n v="0"/>
    <n v="68.67"/>
    <n v="6248.97"/>
  </r>
  <r>
    <x v="1"/>
    <x v="0"/>
    <x v="1"/>
    <n v="178"/>
    <n v="6"/>
    <n v="3.37"/>
    <n v="49.66"/>
    <n v="8839.48"/>
  </r>
  <r>
    <x v="0"/>
    <x v="0"/>
    <x v="2"/>
    <n v="228"/>
    <n v="12"/>
    <n v="5.26"/>
    <n v="7.06"/>
    <n v="1609.68"/>
  </r>
  <r>
    <x v="3"/>
    <x v="0"/>
    <x v="2"/>
    <n v="248"/>
    <n v="13"/>
    <n v="5.24"/>
    <n v="37.14"/>
    <n v="9210.7199999999993"/>
  </r>
  <r>
    <x v="1"/>
    <x v="0"/>
    <x v="1"/>
    <n v="119"/>
    <n v="11"/>
    <n v="9.24"/>
    <n v="23.6"/>
    <n v="2808.4"/>
  </r>
  <r>
    <x v="1"/>
    <x v="0"/>
    <x v="1"/>
    <n v="142"/>
    <n v="2"/>
    <n v="1.41"/>
    <n v="45.35"/>
    <n v="6439.7"/>
  </r>
  <r>
    <x v="1"/>
    <x v="0"/>
    <x v="2"/>
    <n v="82"/>
    <n v="0"/>
    <n v="0"/>
    <n v="61.46"/>
    <n v="5039.72"/>
  </r>
  <r>
    <x v="1"/>
    <x v="0"/>
    <x v="2"/>
    <n v="88"/>
    <n v="4"/>
    <n v="4.55"/>
    <n v="33.58"/>
    <n v="2955.04"/>
  </r>
  <r>
    <x v="2"/>
    <x v="0"/>
    <x v="2"/>
    <n v="178"/>
    <n v="13"/>
    <n v="7.3"/>
    <n v="40.82"/>
    <n v="7265.96"/>
  </r>
  <r>
    <x v="1"/>
    <x v="0"/>
    <x v="1"/>
    <n v="53"/>
    <n v="4"/>
    <n v="7.55"/>
    <n v="57.99"/>
    <n v="3073.47"/>
  </r>
  <r>
    <x v="1"/>
    <x v="0"/>
    <x v="2"/>
    <n v="215"/>
    <n v="19"/>
    <n v="8.84"/>
    <n v="30.78"/>
    <n v="6617.7"/>
  </r>
  <r>
    <x v="0"/>
    <x v="0"/>
    <x v="2"/>
    <n v="210"/>
    <n v="1"/>
    <n v="0.48"/>
    <n v="50.64"/>
    <n v="10634.4"/>
  </r>
  <r>
    <x v="0"/>
    <x v="0"/>
    <x v="2"/>
    <n v="118"/>
    <n v="11"/>
    <n v="9.32"/>
    <n v="60.64"/>
    <n v="7155.52"/>
  </r>
  <r>
    <x v="1"/>
    <x v="0"/>
    <x v="1"/>
    <n v="82"/>
    <n v="0"/>
    <n v="0"/>
    <n v="20.05"/>
    <n v="1644.1"/>
  </r>
  <r>
    <x v="2"/>
    <x v="0"/>
    <x v="2"/>
    <n v="185"/>
    <n v="16"/>
    <n v="8.65"/>
    <n v="56.95"/>
    <n v="10535.75"/>
  </r>
  <r>
    <x v="2"/>
    <x v="0"/>
    <x v="2"/>
    <n v="131"/>
    <n v="7"/>
    <n v="5.34"/>
    <n v="19.45"/>
    <n v="2547.9499999999998"/>
  </r>
  <r>
    <x v="2"/>
    <x v="0"/>
    <x v="2"/>
    <n v="112"/>
    <n v="5"/>
    <n v="4.46"/>
    <n v="68.099999999999994"/>
    <n v="7627.2"/>
  </r>
  <r>
    <x v="1"/>
    <x v="0"/>
    <x v="2"/>
    <n v="284"/>
    <n v="19"/>
    <n v="6.69"/>
    <n v="54.21"/>
    <n v="15395.64"/>
  </r>
  <r>
    <x v="3"/>
    <x v="0"/>
    <x v="2"/>
    <n v="232"/>
    <n v="8"/>
    <n v="3.45"/>
    <n v="32.26"/>
    <n v="7484.32"/>
  </r>
  <r>
    <x v="0"/>
    <x v="0"/>
    <x v="0"/>
    <n v="141"/>
    <n v="12"/>
    <n v="8.51"/>
    <n v="20.13"/>
    <n v="2838.33"/>
  </r>
  <r>
    <x v="2"/>
    <x v="0"/>
    <x v="2"/>
    <n v="219"/>
    <n v="17"/>
    <n v="7.76"/>
    <n v="39.200000000000003"/>
    <n v="8584.7999999999993"/>
  </r>
  <r>
    <x v="1"/>
    <x v="0"/>
    <x v="2"/>
    <n v="123"/>
    <n v="3"/>
    <n v="2.44"/>
    <n v="13.48"/>
    <n v="1658.04"/>
  </r>
  <r>
    <x v="1"/>
    <x v="0"/>
    <x v="2"/>
    <n v="248"/>
    <n v="10"/>
    <n v="4.03"/>
    <n v="13.85"/>
    <n v="3434.8"/>
  </r>
  <r>
    <x v="1"/>
    <x v="0"/>
    <x v="2"/>
    <n v="224"/>
    <n v="4"/>
    <n v="1.79"/>
    <n v="18.82"/>
    <n v="4215.68"/>
  </r>
  <r>
    <x v="1"/>
    <x v="0"/>
    <x v="2"/>
    <n v="248"/>
    <n v="6"/>
    <n v="2.42"/>
    <n v="10.19"/>
    <n v="2527.12"/>
  </r>
  <r>
    <x v="0"/>
    <x v="0"/>
    <x v="2"/>
    <n v="94"/>
    <n v="7"/>
    <n v="7.45"/>
    <n v="59.33"/>
    <n v="5577.02"/>
  </r>
  <r>
    <x v="0"/>
    <x v="0"/>
    <x v="0"/>
    <n v="76"/>
    <n v="3"/>
    <n v="3.95"/>
    <n v="51.37"/>
    <n v="3904.12"/>
  </r>
  <r>
    <x v="0"/>
    <x v="0"/>
    <x v="0"/>
    <n v="116"/>
    <n v="7"/>
    <n v="6.03"/>
    <n v="36.92"/>
    <n v="4282.72"/>
  </r>
  <r>
    <x v="0"/>
    <x v="0"/>
    <x v="0"/>
    <n v="212"/>
    <n v="5"/>
    <n v="2.36"/>
    <n v="49.34"/>
    <n v="10460.08"/>
  </r>
  <r>
    <x v="0"/>
    <x v="0"/>
    <x v="0"/>
    <n v="164"/>
    <n v="16"/>
    <n v="9.76"/>
    <n v="19.68"/>
    <n v="3227.52"/>
  </r>
  <r>
    <x v="3"/>
    <x v="0"/>
    <x v="2"/>
    <n v="184"/>
    <n v="7"/>
    <n v="3.8"/>
    <n v="52.5"/>
    <n v="9660"/>
  </r>
  <r>
    <x v="1"/>
    <x v="0"/>
    <x v="1"/>
    <n v="89"/>
    <n v="0"/>
    <n v="0"/>
    <n v="57.8"/>
    <n v="5144.2"/>
  </r>
  <r>
    <x v="0"/>
    <x v="0"/>
    <x v="2"/>
    <n v="168"/>
    <n v="1"/>
    <n v="0.6"/>
    <n v="56.7"/>
    <n v="9525.6"/>
  </r>
  <r>
    <x v="3"/>
    <x v="0"/>
    <x v="2"/>
    <n v="61"/>
    <n v="1"/>
    <n v="1.64"/>
    <n v="18.829999999999998"/>
    <n v="1148.6300000000001"/>
  </r>
  <r>
    <x v="0"/>
    <x v="0"/>
    <x v="0"/>
    <n v="280"/>
    <n v="1"/>
    <n v="0.36"/>
    <n v="57.26"/>
    <n v="16032.8"/>
  </r>
  <r>
    <x v="2"/>
    <x v="0"/>
    <x v="2"/>
    <n v="103"/>
    <n v="2"/>
    <n v="1.94"/>
    <n v="30.13"/>
    <n v="3103.39"/>
  </r>
  <r>
    <x v="0"/>
    <x v="0"/>
    <x v="2"/>
    <n v="207"/>
    <n v="18"/>
    <n v="8.6999999999999993"/>
    <n v="36.61"/>
    <n v="7578.27"/>
  </r>
  <r>
    <x v="1"/>
    <x v="0"/>
    <x v="1"/>
    <n v="144"/>
    <n v="3"/>
    <n v="2.08"/>
    <n v="45.6"/>
    <n v="6566.4"/>
  </r>
  <r>
    <x v="1"/>
    <x v="0"/>
    <x v="1"/>
    <n v="65"/>
    <n v="4"/>
    <n v="6.15"/>
    <n v="53.97"/>
    <n v="3508.05"/>
  </r>
  <r>
    <x v="0"/>
    <x v="0"/>
    <x v="2"/>
    <n v="72"/>
    <n v="4"/>
    <n v="5.56"/>
    <n v="34.799999999999997"/>
    <n v="2505.6"/>
  </r>
  <r>
    <x v="2"/>
    <x v="0"/>
    <x v="2"/>
    <n v="90"/>
    <n v="3"/>
    <n v="3.33"/>
    <n v="14.8"/>
    <n v="1332"/>
  </r>
  <r>
    <x v="2"/>
    <x v="0"/>
    <x v="2"/>
    <n v="72"/>
    <n v="7"/>
    <n v="9.7200000000000006"/>
    <n v="47.18"/>
    <n v="3396.96"/>
  </r>
  <r>
    <x v="2"/>
    <x v="0"/>
    <x v="2"/>
    <n v="242"/>
    <n v="6"/>
    <n v="2.48"/>
    <n v="37.659999999999997"/>
    <n v="9113.7199999999993"/>
  </r>
  <r>
    <x v="1"/>
    <x v="0"/>
    <x v="2"/>
    <n v="66"/>
    <n v="0"/>
    <n v="0"/>
    <n v="67.319999999999993"/>
    <n v="4443.12"/>
  </r>
  <r>
    <x v="2"/>
    <x v="0"/>
    <x v="2"/>
    <n v="243"/>
    <n v="11"/>
    <n v="4.53"/>
    <n v="11.09"/>
    <n v="2694.87"/>
  </r>
  <r>
    <x v="1"/>
    <x v="0"/>
    <x v="1"/>
    <n v="93"/>
    <n v="2"/>
    <n v="2.15"/>
    <n v="23.27"/>
    <n v="2164.11"/>
  </r>
  <r>
    <x v="1"/>
    <x v="0"/>
    <x v="2"/>
    <n v="209"/>
    <n v="12"/>
    <n v="5.74"/>
    <n v="41.56"/>
    <n v="8686.0400000000009"/>
  </r>
  <r>
    <x v="3"/>
    <x v="0"/>
    <x v="2"/>
    <n v="269"/>
    <n v="11"/>
    <n v="4.09"/>
    <n v="24.71"/>
    <n v="6646.99"/>
  </r>
  <r>
    <x v="1"/>
    <x v="0"/>
    <x v="2"/>
    <n v="281"/>
    <n v="9"/>
    <n v="3.2"/>
    <n v="43.82"/>
    <n v="12313.42"/>
  </r>
  <r>
    <x v="0"/>
    <x v="0"/>
    <x v="2"/>
    <n v="286"/>
    <n v="10"/>
    <n v="3.5"/>
    <n v="46.84"/>
    <n v="13396.24"/>
  </r>
  <r>
    <x v="1"/>
    <x v="0"/>
    <x v="1"/>
    <n v="181"/>
    <n v="8"/>
    <n v="4.42"/>
    <n v="65.760000000000005"/>
    <n v="11902.56"/>
  </r>
  <r>
    <x v="1"/>
    <x v="0"/>
    <x v="1"/>
    <n v="211"/>
    <n v="13"/>
    <n v="6.16"/>
    <n v="18.91"/>
    <n v="3990.01"/>
  </r>
  <r>
    <x v="0"/>
    <x v="0"/>
    <x v="2"/>
    <n v="280"/>
    <n v="5"/>
    <n v="1.79"/>
    <n v="15.03"/>
    <n v="4208.3999999999996"/>
  </r>
  <r>
    <x v="0"/>
    <x v="0"/>
    <x v="0"/>
    <n v="241"/>
    <n v="3"/>
    <n v="1.24"/>
    <n v="12.66"/>
    <n v="3051.06"/>
  </r>
  <r>
    <x v="1"/>
    <x v="0"/>
    <x v="1"/>
    <n v="197"/>
    <n v="16"/>
    <n v="8.1199999999999992"/>
    <n v="26.53"/>
    <n v="5226.41"/>
  </r>
  <r>
    <x v="0"/>
    <x v="0"/>
    <x v="0"/>
    <n v="120"/>
    <n v="8"/>
    <n v="6.67"/>
    <n v="8.14"/>
    <n v="976.8"/>
  </r>
  <r>
    <x v="0"/>
    <x v="0"/>
    <x v="2"/>
    <n v="126"/>
    <n v="9"/>
    <n v="7.14"/>
    <n v="21.85"/>
    <n v="2753.1"/>
  </r>
  <r>
    <x v="3"/>
    <x v="0"/>
    <x v="2"/>
    <n v="132"/>
    <n v="12"/>
    <n v="9.09"/>
    <n v="63.85"/>
    <n v="8428.2000000000007"/>
  </r>
  <r>
    <x v="1"/>
    <x v="0"/>
    <x v="2"/>
    <n v="287"/>
    <n v="23"/>
    <n v="8.01"/>
    <n v="5.01"/>
    <n v="1437.87"/>
  </r>
  <r>
    <x v="2"/>
    <x v="0"/>
    <x v="2"/>
    <n v="265"/>
    <n v="5"/>
    <n v="1.89"/>
    <n v="46.87"/>
    <n v="12420.55"/>
  </r>
  <r>
    <x v="1"/>
    <x v="0"/>
    <x v="2"/>
    <n v="265"/>
    <n v="18"/>
    <n v="6.79"/>
    <n v="19.39"/>
    <n v="5138.3500000000004"/>
  </r>
  <r>
    <x v="2"/>
    <x v="0"/>
    <x v="2"/>
    <n v="124"/>
    <n v="2"/>
    <n v="1.61"/>
    <n v="25.1"/>
    <n v="3112.4"/>
  </r>
  <r>
    <x v="3"/>
    <x v="0"/>
    <x v="2"/>
    <n v="192"/>
    <n v="2"/>
    <n v="1.04"/>
    <n v="14.21"/>
    <n v="2728.32"/>
  </r>
  <r>
    <x v="3"/>
    <x v="0"/>
    <x v="2"/>
    <n v="124"/>
    <n v="2"/>
    <n v="1.61"/>
    <n v="58.98"/>
    <n v="7313.52"/>
  </r>
  <r>
    <x v="2"/>
    <x v="0"/>
    <x v="2"/>
    <n v="292"/>
    <n v="22"/>
    <n v="7.53"/>
    <n v="25.94"/>
    <n v="7574.48"/>
  </r>
  <r>
    <x v="0"/>
    <x v="0"/>
    <x v="0"/>
    <n v="62"/>
    <n v="5"/>
    <n v="8.06"/>
    <n v="42.28"/>
    <n v="2621.36"/>
  </r>
  <r>
    <x v="1"/>
    <x v="0"/>
    <x v="1"/>
    <n v="184"/>
    <n v="16"/>
    <n v="8.6999999999999993"/>
    <n v="9.44"/>
    <n v="1736.96"/>
  </r>
  <r>
    <x v="2"/>
    <x v="0"/>
    <x v="2"/>
    <n v="98"/>
    <n v="5"/>
    <n v="5.0999999999999996"/>
    <n v="40.020000000000003"/>
    <n v="3921.96"/>
  </r>
  <r>
    <x v="0"/>
    <x v="0"/>
    <x v="0"/>
    <n v="226"/>
    <n v="15"/>
    <n v="6.64"/>
    <n v="38.04"/>
    <n v="8597.0400000000009"/>
  </r>
  <r>
    <x v="3"/>
    <x v="0"/>
    <x v="2"/>
    <n v="194"/>
    <n v="18"/>
    <n v="9.2799999999999994"/>
    <n v="44.36"/>
    <n v="8605.84"/>
  </r>
  <r>
    <x v="2"/>
    <x v="0"/>
    <x v="2"/>
    <n v="142"/>
    <n v="7"/>
    <n v="4.93"/>
    <n v="30.6"/>
    <n v="4345.2"/>
  </r>
  <r>
    <x v="3"/>
    <x v="0"/>
    <x v="2"/>
    <n v="233"/>
    <n v="3"/>
    <n v="1.29"/>
    <n v="13.94"/>
    <n v="3248.02"/>
  </r>
  <r>
    <x v="0"/>
    <x v="0"/>
    <x v="2"/>
    <n v="82"/>
    <n v="8"/>
    <n v="9.76"/>
    <n v="15.51"/>
    <n v="1271.82"/>
  </r>
  <r>
    <x v="1"/>
    <x v="0"/>
    <x v="1"/>
    <n v="237"/>
    <n v="15"/>
    <n v="6.33"/>
    <n v="5.82"/>
    <n v="1379.34"/>
  </r>
  <r>
    <x v="0"/>
    <x v="0"/>
    <x v="2"/>
    <n v="122"/>
    <n v="0"/>
    <n v="0"/>
    <n v="40.61"/>
    <n v="4954.42"/>
  </r>
  <r>
    <x v="3"/>
    <x v="0"/>
    <x v="2"/>
    <n v="285"/>
    <n v="24"/>
    <n v="8.42"/>
    <n v="52.42"/>
    <n v="14939.7"/>
  </r>
  <r>
    <x v="0"/>
    <x v="0"/>
    <x v="2"/>
    <n v="84"/>
    <n v="0"/>
    <n v="0"/>
    <n v="14.28"/>
    <n v="1199.52"/>
  </r>
  <r>
    <x v="0"/>
    <x v="0"/>
    <x v="0"/>
    <n v="78"/>
    <n v="7"/>
    <n v="8.9700000000000006"/>
    <n v="7.36"/>
    <n v="574.08000000000004"/>
  </r>
  <r>
    <x v="1"/>
    <x v="0"/>
    <x v="2"/>
    <n v="198"/>
    <n v="9"/>
    <n v="4.55"/>
    <n v="47.64"/>
    <n v="9432.7199999999993"/>
  </r>
  <r>
    <x v="2"/>
    <x v="0"/>
    <x v="2"/>
    <n v="209"/>
    <n v="19"/>
    <n v="9.09"/>
    <n v="26.76"/>
    <n v="5592.84"/>
  </r>
  <r>
    <x v="2"/>
    <x v="0"/>
    <x v="2"/>
    <n v="240"/>
    <n v="6"/>
    <n v="2.5"/>
    <n v="60.48"/>
    <n v="14515.2"/>
  </r>
  <r>
    <x v="1"/>
    <x v="0"/>
    <x v="2"/>
    <n v="209"/>
    <n v="19"/>
    <n v="9.09"/>
    <n v="12"/>
    <n v="2508"/>
  </r>
  <r>
    <x v="0"/>
    <x v="0"/>
    <x v="0"/>
    <n v="195"/>
    <n v="2"/>
    <n v="1.03"/>
    <n v="58.05"/>
    <n v="11319.75"/>
  </r>
  <r>
    <x v="3"/>
    <x v="0"/>
    <x v="2"/>
    <n v="221"/>
    <n v="19"/>
    <n v="8.6"/>
    <n v="44.06"/>
    <n v="9737.26"/>
  </r>
  <r>
    <x v="3"/>
    <x v="0"/>
    <x v="2"/>
    <n v="118"/>
    <n v="4"/>
    <n v="3.39"/>
    <n v="42.88"/>
    <n v="5059.84"/>
  </r>
  <r>
    <x v="0"/>
    <x v="0"/>
    <x v="2"/>
    <n v="296"/>
    <n v="22"/>
    <n v="7.43"/>
    <n v="45.92"/>
    <n v="13592.32"/>
  </r>
  <r>
    <x v="1"/>
    <x v="0"/>
    <x v="1"/>
    <n v="154"/>
    <n v="0"/>
    <n v="0"/>
    <n v="41.18"/>
    <n v="6341.72"/>
  </r>
  <r>
    <x v="3"/>
    <x v="0"/>
    <x v="2"/>
    <n v="253"/>
    <n v="2"/>
    <n v="0.79"/>
    <n v="42.51"/>
    <n v="10755.03"/>
  </r>
  <r>
    <x v="0"/>
    <x v="0"/>
    <x v="0"/>
    <n v="130"/>
    <n v="1"/>
    <n v="0.77"/>
    <n v="24.04"/>
    <n v="3125.2"/>
  </r>
  <r>
    <x v="1"/>
    <x v="0"/>
    <x v="1"/>
    <n v="230"/>
    <n v="6"/>
    <n v="2.61"/>
    <n v="37.04"/>
    <n v="8519.2000000000007"/>
  </r>
  <r>
    <x v="1"/>
    <x v="0"/>
    <x v="2"/>
    <n v="269"/>
    <n v="3"/>
    <n v="1.1200000000000001"/>
    <n v="56.65"/>
    <n v="15238.85"/>
  </r>
  <r>
    <x v="1"/>
    <x v="0"/>
    <x v="2"/>
    <n v="160"/>
    <n v="4"/>
    <n v="2.5"/>
    <n v="29.21"/>
    <n v="4673.6000000000004"/>
  </r>
  <r>
    <x v="2"/>
    <x v="0"/>
    <x v="2"/>
    <n v="172"/>
    <n v="16"/>
    <n v="9.3000000000000007"/>
    <n v="27.9"/>
    <n v="4798.8"/>
  </r>
  <r>
    <x v="0"/>
    <x v="0"/>
    <x v="0"/>
    <n v="171"/>
    <n v="15"/>
    <n v="8.77"/>
    <n v="6.33"/>
    <n v="1082.43"/>
  </r>
  <r>
    <x v="0"/>
    <x v="0"/>
    <x v="0"/>
    <n v="298"/>
    <n v="6"/>
    <n v="2.0099999999999998"/>
    <n v="42.59"/>
    <n v="12691.82"/>
  </r>
  <r>
    <x v="0"/>
    <x v="0"/>
    <x v="2"/>
    <n v="204"/>
    <n v="1"/>
    <n v="0.49"/>
    <n v="20.6"/>
    <n v="4202.3999999999996"/>
  </r>
  <r>
    <x v="2"/>
    <x v="0"/>
    <x v="2"/>
    <n v="156"/>
    <n v="10"/>
    <n v="6.41"/>
    <n v="61.43"/>
    <n v="9583.08"/>
  </r>
  <r>
    <x v="0"/>
    <x v="0"/>
    <x v="2"/>
    <n v="249"/>
    <n v="18"/>
    <n v="7.23"/>
    <n v="62.72"/>
    <n v="15617.28"/>
  </r>
  <r>
    <x v="1"/>
    <x v="0"/>
    <x v="1"/>
    <n v="100"/>
    <n v="2"/>
    <n v="2"/>
    <n v="64"/>
    <n v="6400"/>
  </r>
  <r>
    <x v="0"/>
    <x v="0"/>
    <x v="0"/>
    <n v="162"/>
    <n v="2"/>
    <n v="1.23"/>
    <n v="51.92"/>
    <n v="8411.0400000000009"/>
  </r>
  <r>
    <x v="1"/>
    <x v="0"/>
    <x v="1"/>
    <n v="59"/>
    <n v="3"/>
    <n v="5.08"/>
    <n v="28.72"/>
    <n v="1694.48"/>
  </r>
  <r>
    <x v="0"/>
    <x v="0"/>
    <x v="0"/>
    <n v="279"/>
    <n v="17"/>
    <n v="6.09"/>
    <n v="21.4"/>
    <n v="5970.6"/>
  </r>
  <r>
    <x v="0"/>
    <x v="0"/>
    <x v="2"/>
    <n v="281"/>
    <n v="5"/>
    <n v="1.78"/>
    <n v="10.48"/>
    <n v="2944.88"/>
  </r>
  <r>
    <x v="2"/>
    <x v="0"/>
    <x v="2"/>
    <n v="290"/>
    <n v="6"/>
    <n v="2.0699999999999998"/>
    <n v="24.97"/>
    <n v="7241.3"/>
  </r>
  <r>
    <x v="0"/>
    <x v="0"/>
    <x v="0"/>
    <n v="273"/>
    <n v="17"/>
    <n v="6.23"/>
    <n v="22.71"/>
    <n v="6199.83"/>
  </r>
  <r>
    <x v="1"/>
    <x v="0"/>
    <x v="1"/>
    <n v="212"/>
    <n v="11"/>
    <n v="5.19"/>
    <n v="28.19"/>
    <n v="5976.28"/>
  </r>
  <r>
    <x v="1"/>
    <x v="0"/>
    <x v="2"/>
    <n v="110"/>
    <n v="0"/>
    <n v="0"/>
    <n v="10.47"/>
    <n v="1151.7"/>
  </r>
  <r>
    <x v="1"/>
    <x v="0"/>
    <x v="2"/>
    <n v="144"/>
    <n v="13"/>
    <n v="9.0299999999999994"/>
    <n v="38.96"/>
    <n v="5610.24"/>
  </r>
  <r>
    <x v="0"/>
    <x v="0"/>
    <x v="0"/>
    <n v="99"/>
    <n v="0"/>
    <n v="0"/>
    <n v="58.27"/>
    <n v="5768.73"/>
  </r>
  <r>
    <x v="2"/>
    <x v="0"/>
    <x v="2"/>
    <n v="264"/>
    <n v="11"/>
    <n v="4.17"/>
    <n v="68.12"/>
    <n v="17983.68"/>
  </r>
  <r>
    <x v="1"/>
    <x v="0"/>
    <x v="1"/>
    <n v="216"/>
    <n v="1"/>
    <n v="0.46"/>
    <n v="45.48"/>
    <n v="9823.68"/>
  </r>
  <r>
    <x v="0"/>
    <x v="0"/>
    <x v="0"/>
    <n v="179"/>
    <n v="7"/>
    <n v="3.91"/>
    <n v="52.89"/>
    <n v="9467.31"/>
  </r>
  <r>
    <x v="0"/>
    <x v="0"/>
    <x v="0"/>
    <n v="168"/>
    <n v="12"/>
    <n v="7.14"/>
    <n v="7.01"/>
    <n v="1177.68"/>
  </r>
  <r>
    <x v="3"/>
    <x v="0"/>
    <x v="2"/>
    <n v="231"/>
    <n v="20"/>
    <n v="8.66"/>
    <n v="65.5"/>
    <n v="15130.5"/>
  </r>
  <r>
    <x v="2"/>
    <x v="0"/>
    <x v="2"/>
    <n v="190"/>
    <n v="18"/>
    <n v="9.4700000000000006"/>
    <n v="69.59"/>
    <n v="13222.1"/>
  </r>
  <r>
    <x v="1"/>
    <x v="0"/>
    <x v="2"/>
    <n v="215"/>
    <n v="9"/>
    <n v="4.1900000000000004"/>
    <n v="6.1"/>
    <n v="1311.5"/>
  </r>
  <r>
    <x v="0"/>
    <x v="0"/>
    <x v="0"/>
    <n v="80"/>
    <n v="6"/>
    <n v="7.5"/>
    <n v="14.85"/>
    <n v="1188"/>
  </r>
  <r>
    <x v="0"/>
    <x v="0"/>
    <x v="2"/>
    <n v="78"/>
    <n v="4"/>
    <n v="5.13"/>
    <n v="43.17"/>
    <n v="3367.26"/>
  </r>
  <r>
    <x v="0"/>
    <x v="0"/>
    <x v="0"/>
    <n v="243"/>
    <n v="23"/>
    <n v="9.4700000000000006"/>
    <n v="35"/>
    <n v="8505"/>
  </r>
  <r>
    <x v="0"/>
    <x v="0"/>
    <x v="2"/>
    <n v="281"/>
    <n v="14"/>
    <n v="4.9800000000000004"/>
    <n v="33.200000000000003"/>
    <n v="9329.2000000000007"/>
  </r>
  <r>
    <x v="0"/>
    <x v="0"/>
    <x v="0"/>
    <n v="234"/>
    <n v="14"/>
    <n v="5.98"/>
    <n v="45.18"/>
    <n v="10572.12"/>
  </r>
  <r>
    <x v="0"/>
    <x v="0"/>
    <x v="0"/>
    <n v="299"/>
    <n v="6"/>
    <n v="2.0099999999999998"/>
    <n v="46.56"/>
    <n v="13921.44"/>
  </r>
  <r>
    <x v="2"/>
    <x v="0"/>
    <x v="2"/>
    <n v="209"/>
    <n v="11"/>
    <n v="5.26"/>
    <n v="30.98"/>
    <n v="6474.82"/>
  </r>
  <r>
    <x v="3"/>
    <x v="0"/>
    <x v="2"/>
    <n v="214"/>
    <n v="2"/>
    <n v="0.93"/>
    <n v="24.73"/>
    <n v="5292.22"/>
  </r>
  <r>
    <x v="3"/>
    <x v="0"/>
    <x v="2"/>
    <n v="56"/>
    <n v="2"/>
    <n v="3.57"/>
    <n v="51.78"/>
    <n v="2899.68"/>
  </r>
  <r>
    <x v="2"/>
    <x v="0"/>
    <x v="2"/>
    <n v="264"/>
    <n v="13"/>
    <n v="4.92"/>
    <n v="17.399999999999999"/>
    <n v="4593.6000000000004"/>
  </r>
  <r>
    <x v="1"/>
    <x v="0"/>
    <x v="2"/>
    <n v="270"/>
    <n v="13"/>
    <n v="4.8099999999999996"/>
    <n v="68.489999999999995"/>
    <n v="18492.3"/>
  </r>
  <r>
    <x v="0"/>
    <x v="0"/>
    <x v="2"/>
    <n v="152"/>
    <n v="1"/>
    <n v="0.66"/>
    <n v="33.86"/>
    <n v="5146.72"/>
  </r>
  <r>
    <x v="1"/>
    <x v="0"/>
    <x v="1"/>
    <n v="69"/>
    <n v="4"/>
    <n v="5.8"/>
    <n v="6.67"/>
    <n v="460.23"/>
  </r>
  <r>
    <x v="3"/>
    <x v="0"/>
    <x v="2"/>
    <n v="128"/>
    <n v="1"/>
    <n v="0.78"/>
    <n v="52.28"/>
    <n v="6691.84"/>
  </r>
  <r>
    <x v="0"/>
    <x v="0"/>
    <x v="0"/>
    <n v="214"/>
    <n v="19"/>
    <n v="8.8800000000000008"/>
    <n v="48.85"/>
    <n v="10453.9"/>
  </r>
  <r>
    <x v="1"/>
    <x v="0"/>
    <x v="1"/>
    <n v="146"/>
    <n v="12"/>
    <n v="8.2200000000000006"/>
    <n v="29.02"/>
    <n v="4236.92"/>
  </r>
  <r>
    <x v="1"/>
    <x v="0"/>
    <x v="2"/>
    <n v="65"/>
    <n v="0"/>
    <n v="0"/>
    <n v="30.06"/>
    <n v="1953.9"/>
  </r>
  <r>
    <x v="2"/>
    <x v="0"/>
    <x v="2"/>
    <n v="200"/>
    <n v="6"/>
    <n v="3"/>
    <n v="47.34"/>
    <n v="9468"/>
  </r>
  <r>
    <x v="2"/>
    <x v="0"/>
    <x v="2"/>
    <n v="204"/>
    <n v="10"/>
    <n v="4.9000000000000004"/>
    <n v="47.4"/>
    <n v="9669.6"/>
  </r>
  <r>
    <x v="3"/>
    <x v="0"/>
    <x v="2"/>
    <n v="243"/>
    <n v="5"/>
    <n v="2.06"/>
    <n v="18.7"/>
    <n v="4544.1000000000004"/>
  </r>
  <r>
    <x v="3"/>
    <x v="0"/>
    <x v="2"/>
    <n v="106"/>
    <n v="2"/>
    <n v="1.89"/>
    <n v="6.84"/>
    <n v="725.04"/>
  </r>
  <r>
    <x v="2"/>
    <x v="0"/>
    <x v="2"/>
    <n v="274"/>
    <n v="20"/>
    <n v="7.3"/>
    <n v="6.74"/>
    <n v="1846.76"/>
  </r>
  <r>
    <x v="3"/>
    <x v="0"/>
    <x v="2"/>
    <n v="119"/>
    <n v="4"/>
    <n v="3.36"/>
    <n v="8.9"/>
    <n v="1059.0999999999999"/>
  </r>
  <r>
    <x v="3"/>
    <x v="0"/>
    <x v="2"/>
    <n v="142"/>
    <n v="5"/>
    <n v="3.52"/>
    <n v="41.75"/>
    <n v="5928.5"/>
  </r>
  <r>
    <x v="3"/>
    <x v="0"/>
    <x v="2"/>
    <n v="174"/>
    <n v="14"/>
    <n v="8.0500000000000007"/>
    <n v="33.29"/>
    <n v="5792.46"/>
  </r>
  <r>
    <x v="0"/>
    <x v="0"/>
    <x v="0"/>
    <n v="280"/>
    <n v="5"/>
    <n v="1.79"/>
    <n v="49.74"/>
    <n v="13927.2"/>
  </r>
  <r>
    <x v="0"/>
    <x v="0"/>
    <x v="0"/>
    <n v="117"/>
    <n v="7"/>
    <n v="5.98"/>
    <n v="64.14"/>
    <n v="7504.38"/>
  </r>
  <r>
    <x v="2"/>
    <x v="0"/>
    <x v="2"/>
    <n v="156"/>
    <n v="9"/>
    <n v="5.77"/>
    <n v="15.77"/>
    <n v="2460.12"/>
  </r>
  <r>
    <x v="0"/>
    <x v="0"/>
    <x v="0"/>
    <n v="124"/>
    <n v="8"/>
    <n v="6.45"/>
    <n v="66.69"/>
    <n v="8269.56"/>
  </r>
  <r>
    <x v="3"/>
    <x v="0"/>
    <x v="2"/>
    <n v="116"/>
    <n v="0"/>
    <n v="0"/>
    <n v="39.65"/>
    <n v="4599.3999999999996"/>
  </r>
  <r>
    <x v="1"/>
    <x v="0"/>
    <x v="1"/>
    <n v="278"/>
    <n v="20"/>
    <n v="7.19"/>
    <n v="32.57"/>
    <n v="9054.4599999999991"/>
  </r>
  <r>
    <x v="3"/>
    <x v="0"/>
    <x v="2"/>
    <n v="67"/>
    <n v="3"/>
    <n v="4.4800000000000004"/>
    <n v="35.18"/>
    <n v="2357.06"/>
  </r>
  <r>
    <x v="2"/>
    <x v="0"/>
    <x v="2"/>
    <n v="217"/>
    <n v="18"/>
    <n v="8.2899999999999991"/>
    <n v="11.39"/>
    <n v="2471.63"/>
  </r>
  <r>
    <x v="1"/>
    <x v="0"/>
    <x v="2"/>
    <n v="93"/>
    <n v="9"/>
    <n v="9.68"/>
    <n v="22.58"/>
    <n v="2099.94"/>
  </r>
  <r>
    <x v="3"/>
    <x v="0"/>
    <x v="2"/>
    <n v="286"/>
    <n v="17"/>
    <n v="5.94"/>
    <n v="46.81"/>
    <n v="13387.66"/>
  </r>
  <r>
    <x v="0"/>
    <x v="0"/>
    <x v="2"/>
    <n v="227"/>
    <n v="19"/>
    <n v="8.3699999999999992"/>
    <n v="66.900000000000006"/>
    <n v="15186.3"/>
  </r>
  <r>
    <x v="1"/>
    <x v="0"/>
    <x v="1"/>
    <n v="235"/>
    <n v="12"/>
    <n v="5.1100000000000003"/>
    <n v="29.95"/>
    <n v="7038.25"/>
  </r>
  <r>
    <x v="1"/>
    <x v="0"/>
    <x v="2"/>
    <n v="257"/>
    <n v="22"/>
    <n v="8.56"/>
    <n v="27.6"/>
    <n v="7093.2"/>
  </r>
  <r>
    <x v="0"/>
    <x v="0"/>
    <x v="2"/>
    <n v="273"/>
    <n v="10"/>
    <n v="3.66"/>
    <n v="38.840000000000003"/>
    <n v="10603.32"/>
  </r>
  <r>
    <x v="3"/>
    <x v="0"/>
    <x v="2"/>
    <n v="64"/>
    <n v="1"/>
    <n v="1.56"/>
    <n v="28.74"/>
    <n v="1839.36"/>
  </r>
  <r>
    <x v="1"/>
    <x v="0"/>
    <x v="2"/>
    <n v="209"/>
    <n v="4"/>
    <n v="1.91"/>
    <n v="37.270000000000003"/>
    <n v="7789.43"/>
  </r>
  <r>
    <x v="0"/>
    <x v="0"/>
    <x v="0"/>
    <n v="126"/>
    <n v="2"/>
    <n v="1.59"/>
    <n v="59.2"/>
    <n v="7459.2"/>
  </r>
  <r>
    <x v="1"/>
    <x v="0"/>
    <x v="2"/>
    <n v="146"/>
    <n v="11"/>
    <n v="7.53"/>
    <n v="53.76"/>
    <n v="7848.96"/>
  </r>
  <r>
    <x v="1"/>
    <x v="0"/>
    <x v="2"/>
    <n v="142"/>
    <n v="7"/>
    <n v="4.93"/>
    <n v="38.58"/>
    <n v="5478.36"/>
  </r>
  <r>
    <x v="0"/>
    <x v="0"/>
    <x v="0"/>
    <n v="204"/>
    <n v="17"/>
    <n v="8.33"/>
    <n v="53.61"/>
    <n v="10936.44"/>
  </r>
  <r>
    <x v="1"/>
    <x v="0"/>
    <x v="2"/>
    <n v="63"/>
    <n v="2"/>
    <n v="3.17"/>
    <n v="21.83"/>
    <n v="1375.29"/>
  </r>
  <r>
    <x v="1"/>
    <x v="0"/>
    <x v="2"/>
    <n v="211"/>
    <n v="9"/>
    <n v="4.2699999999999996"/>
    <n v="12.73"/>
    <n v="2686.03"/>
  </r>
  <r>
    <x v="0"/>
    <x v="0"/>
    <x v="0"/>
    <n v="139"/>
    <n v="11"/>
    <n v="7.91"/>
    <n v="61.32"/>
    <n v="8523.48"/>
  </r>
  <r>
    <x v="2"/>
    <x v="0"/>
    <x v="2"/>
    <n v="198"/>
    <n v="5"/>
    <n v="2.5299999999999998"/>
    <n v="6.69"/>
    <n v="1324.62"/>
  </r>
  <r>
    <x v="0"/>
    <x v="0"/>
    <x v="2"/>
    <n v="158"/>
    <n v="15"/>
    <n v="9.49"/>
    <n v="18.59"/>
    <n v="2937.22"/>
  </r>
  <r>
    <x v="1"/>
    <x v="0"/>
    <x v="1"/>
    <n v="258"/>
    <n v="1"/>
    <n v="0.39"/>
    <n v="14.89"/>
    <n v="3841.62"/>
  </r>
  <r>
    <x v="0"/>
    <x v="0"/>
    <x v="0"/>
    <n v="165"/>
    <n v="15"/>
    <n v="9.09"/>
    <n v="43.99"/>
    <n v="7258.35"/>
  </r>
  <r>
    <x v="0"/>
    <x v="0"/>
    <x v="0"/>
    <n v="156"/>
    <n v="12"/>
    <n v="7.69"/>
    <n v="27.16"/>
    <n v="4236.96"/>
  </r>
  <r>
    <x v="0"/>
    <x v="0"/>
    <x v="2"/>
    <n v="63"/>
    <n v="6"/>
    <n v="9.52"/>
    <n v="41.19"/>
    <n v="2594.9699999999998"/>
  </r>
  <r>
    <x v="1"/>
    <x v="0"/>
    <x v="2"/>
    <n v="91"/>
    <n v="2"/>
    <n v="2.2000000000000002"/>
    <n v="34.44"/>
    <n v="3134.04"/>
  </r>
  <r>
    <x v="1"/>
    <x v="0"/>
    <x v="2"/>
    <n v="164"/>
    <n v="9"/>
    <n v="5.49"/>
    <n v="66.73"/>
    <n v="10943.72"/>
  </r>
  <r>
    <x v="3"/>
    <x v="0"/>
    <x v="2"/>
    <n v="113"/>
    <n v="3"/>
    <n v="2.65"/>
    <n v="28.02"/>
    <n v="3166.26"/>
  </r>
  <r>
    <x v="1"/>
    <x v="0"/>
    <x v="2"/>
    <n v="253"/>
    <n v="1"/>
    <n v="0.4"/>
    <n v="42.57"/>
    <n v="10770.21"/>
  </r>
  <r>
    <x v="0"/>
    <x v="0"/>
    <x v="2"/>
    <n v="182"/>
    <n v="17"/>
    <n v="9.34"/>
    <n v="34.31"/>
    <n v="6244.42"/>
  </r>
  <r>
    <x v="2"/>
    <x v="0"/>
    <x v="2"/>
    <n v="207"/>
    <n v="5"/>
    <n v="2.42"/>
    <n v="67.53"/>
    <n v="13978.71"/>
  </r>
  <r>
    <x v="1"/>
    <x v="0"/>
    <x v="2"/>
    <n v="198"/>
    <n v="15"/>
    <n v="7.58"/>
    <n v="64.44"/>
    <n v="12759.12"/>
  </r>
  <r>
    <x v="1"/>
    <x v="0"/>
    <x v="2"/>
    <n v="119"/>
    <n v="8"/>
    <n v="6.72"/>
    <n v="50.51"/>
    <n v="6010.69"/>
  </r>
  <r>
    <x v="0"/>
    <x v="0"/>
    <x v="0"/>
    <n v="242"/>
    <n v="15"/>
    <n v="6.2"/>
    <n v="21.69"/>
    <n v="5248.98"/>
  </r>
  <r>
    <x v="1"/>
    <x v="0"/>
    <x v="1"/>
    <n v="283"/>
    <n v="10"/>
    <n v="3.53"/>
    <n v="33.58"/>
    <n v="9503.14"/>
  </r>
  <r>
    <x v="0"/>
    <x v="0"/>
    <x v="0"/>
    <n v="267"/>
    <n v="23"/>
    <n v="8.61"/>
    <n v="33.619999999999997"/>
    <n v="8976.5400000000009"/>
  </r>
  <r>
    <x v="1"/>
    <x v="0"/>
    <x v="1"/>
    <n v="130"/>
    <n v="5"/>
    <n v="3.85"/>
    <n v="36.64"/>
    <n v="4763.2"/>
  </r>
  <r>
    <x v="1"/>
    <x v="0"/>
    <x v="2"/>
    <n v="175"/>
    <n v="0"/>
    <n v="0"/>
    <n v="49.73"/>
    <n v="8702.75"/>
  </r>
  <r>
    <x v="0"/>
    <x v="0"/>
    <x v="2"/>
    <n v="104"/>
    <n v="9"/>
    <n v="8.65"/>
    <n v="54.21"/>
    <n v="5637.84"/>
  </r>
  <r>
    <x v="1"/>
    <x v="0"/>
    <x v="1"/>
    <n v="183"/>
    <n v="6"/>
    <n v="3.28"/>
    <n v="31.06"/>
    <n v="5683.98"/>
  </r>
  <r>
    <x v="2"/>
    <x v="0"/>
    <x v="2"/>
    <n v="167"/>
    <n v="13"/>
    <n v="7.78"/>
    <n v="62.32"/>
    <n v="10407.44"/>
  </r>
  <r>
    <x v="0"/>
    <x v="0"/>
    <x v="2"/>
    <n v="184"/>
    <n v="10"/>
    <n v="5.43"/>
    <n v="5.78"/>
    <n v="1063.52"/>
  </r>
  <r>
    <x v="0"/>
    <x v="0"/>
    <x v="0"/>
    <n v="107"/>
    <n v="3"/>
    <n v="2.8"/>
    <n v="17.8"/>
    <n v="1904.6"/>
  </r>
  <r>
    <x v="2"/>
    <x v="0"/>
    <x v="2"/>
    <n v="240"/>
    <n v="5"/>
    <n v="2.08"/>
    <n v="16.29"/>
    <n v="3909.6"/>
  </r>
  <r>
    <x v="1"/>
    <x v="0"/>
    <x v="2"/>
    <n v="225"/>
    <n v="15"/>
    <n v="6.67"/>
    <n v="23.27"/>
    <n v="5235.75"/>
  </r>
  <r>
    <x v="3"/>
    <x v="0"/>
    <x v="2"/>
    <n v="178"/>
    <n v="5"/>
    <n v="2.81"/>
    <n v="69.239999999999995"/>
    <n v="12324.72"/>
  </r>
  <r>
    <x v="1"/>
    <x v="0"/>
    <x v="1"/>
    <n v="129"/>
    <n v="9"/>
    <n v="6.98"/>
    <n v="13.52"/>
    <n v="1744.08"/>
  </r>
  <r>
    <x v="2"/>
    <x v="0"/>
    <x v="2"/>
    <n v="110"/>
    <n v="1"/>
    <n v="0.91"/>
    <n v="48.27"/>
    <n v="5309.7"/>
  </r>
  <r>
    <x v="1"/>
    <x v="0"/>
    <x v="1"/>
    <n v="124"/>
    <n v="10"/>
    <n v="8.06"/>
    <n v="69.510000000000005"/>
    <n v="8619.24"/>
  </r>
  <r>
    <x v="1"/>
    <x v="0"/>
    <x v="2"/>
    <n v="182"/>
    <n v="8"/>
    <n v="4.4000000000000004"/>
    <n v="38.4"/>
    <n v="6988.8"/>
  </r>
  <r>
    <x v="1"/>
    <x v="0"/>
    <x v="2"/>
    <n v="252"/>
    <n v="16"/>
    <n v="6.35"/>
    <n v="44.26"/>
    <n v="11153.52"/>
  </r>
  <r>
    <x v="0"/>
    <x v="0"/>
    <x v="0"/>
    <n v="194"/>
    <n v="7"/>
    <n v="3.61"/>
    <n v="54.15"/>
    <n v="10505.1"/>
  </r>
  <r>
    <x v="0"/>
    <x v="0"/>
    <x v="0"/>
    <n v="66"/>
    <n v="6"/>
    <n v="9.09"/>
    <n v="18.68"/>
    <n v="1232.8800000000001"/>
  </r>
  <r>
    <x v="1"/>
    <x v="0"/>
    <x v="2"/>
    <n v="260"/>
    <n v="20"/>
    <n v="7.69"/>
    <n v="51.3"/>
    <n v="13338"/>
  </r>
  <r>
    <x v="1"/>
    <x v="0"/>
    <x v="2"/>
    <n v="185"/>
    <n v="16"/>
    <n v="8.65"/>
    <n v="5.55"/>
    <n v="1026.75"/>
  </r>
  <r>
    <x v="2"/>
    <x v="0"/>
    <x v="2"/>
    <n v="194"/>
    <n v="12"/>
    <n v="6.19"/>
    <n v="22.6"/>
    <n v="4384.3999999999996"/>
  </r>
  <r>
    <x v="0"/>
    <x v="0"/>
    <x v="0"/>
    <n v="229"/>
    <n v="20"/>
    <n v="8.73"/>
    <n v="9.36"/>
    <n v="2143.44"/>
  </r>
  <r>
    <x v="1"/>
    <x v="0"/>
    <x v="2"/>
    <n v="277"/>
    <n v="27"/>
    <n v="9.75"/>
    <n v="36.39"/>
    <n v="10080.030000000001"/>
  </r>
  <r>
    <x v="3"/>
    <x v="0"/>
    <x v="2"/>
    <n v="171"/>
    <n v="11"/>
    <n v="6.43"/>
    <n v="11.92"/>
    <n v="2038.32"/>
  </r>
  <r>
    <x v="2"/>
    <x v="0"/>
    <x v="2"/>
    <n v="148"/>
    <n v="0"/>
    <n v="0"/>
    <n v="22.07"/>
    <n v="3266.36"/>
  </r>
  <r>
    <x v="1"/>
    <x v="0"/>
    <x v="2"/>
    <n v="145"/>
    <n v="9"/>
    <n v="6.21"/>
    <n v="25.94"/>
    <n v="3761.3"/>
  </r>
  <r>
    <x v="0"/>
    <x v="0"/>
    <x v="0"/>
    <n v="191"/>
    <n v="15"/>
    <n v="7.85"/>
    <n v="64.25"/>
    <n v="12271.75"/>
  </r>
  <r>
    <x v="3"/>
    <x v="0"/>
    <x v="2"/>
    <n v="288"/>
    <n v="23"/>
    <n v="7.99"/>
    <n v="63.48"/>
    <n v="18282.240000000002"/>
  </r>
  <r>
    <x v="2"/>
    <x v="0"/>
    <x v="2"/>
    <n v="225"/>
    <n v="20"/>
    <n v="8.89"/>
    <n v="53.15"/>
    <n v="11958.75"/>
  </r>
  <r>
    <x v="2"/>
    <x v="0"/>
    <x v="2"/>
    <n v="141"/>
    <n v="7"/>
    <n v="4.96"/>
    <n v="24.7"/>
    <n v="3482.7"/>
  </r>
  <r>
    <x v="0"/>
    <x v="0"/>
    <x v="0"/>
    <n v="290"/>
    <n v="14"/>
    <n v="4.83"/>
    <n v="42.6"/>
    <n v="12354"/>
  </r>
  <r>
    <x v="1"/>
    <x v="0"/>
    <x v="1"/>
    <n v="195"/>
    <n v="3"/>
    <n v="1.54"/>
    <n v="18.03"/>
    <n v="3515.85"/>
  </r>
  <r>
    <x v="1"/>
    <x v="0"/>
    <x v="2"/>
    <n v="293"/>
    <n v="4"/>
    <n v="1.37"/>
    <n v="40.61"/>
    <n v="11898.73"/>
  </r>
  <r>
    <x v="2"/>
    <x v="0"/>
    <x v="2"/>
    <n v="228"/>
    <n v="12"/>
    <n v="5.26"/>
    <n v="16.73"/>
    <n v="3814.44"/>
  </r>
  <r>
    <x v="1"/>
    <x v="0"/>
    <x v="2"/>
    <n v="124"/>
    <n v="5"/>
    <n v="4.03"/>
    <n v="37.39"/>
    <n v="4636.3599999999997"/>
  </r>
  <r>
    <x v="0"/>
    <x v="0"/>
    <x v="0"/>
    <n v="185"/>
    <n v="3"/>
    <n v="1.62"/>
    <n v="56.27"/>
    <n v="10409.950000000001"/>
  </r>
  <r>
    <x v="0"/>
    <x v="0"/>
    <x v="2"/>
    <n v="52"/>
    <n v="3"/>
    <n v="5.77"/>
    <n v="61.03"/>
    <n v="3173.56"/>
  </r>
  <r>
    <x v="0"/>
    <x v="0"/>
    <x v="0"/>
    <n v="135"/>
    <n v="8"/>
    <n v="5.93"/>
    <n v="31.28"/>
    <n v="4222.8"/>
  </r>
  <r>
    <x v="3"/>
    <x v="0"/>
    <x v="2"/>
    <n v="263"/>
    <n v="9"/>
    <n v="3.42"/>
    <n v="48.53"/>
    <n v="12763.39"/>
  </r>
  <r>
    <x v="2"/>
    <x v="0"/>
    <x v="2"/>
    <n v="151"/>
    <n v="7"/>
    <n v="4.6399999999999997"/>
    <n v="65.319999999999993"/>
    <n v="9863.32"/>
  </r>
  <r>
    <x v="2"/>
    <x v="0"/>
    <x v="2"/>
    <n v="170"/>
    <n v="16"/>
    <n v="9.41"/>
    <n v="6.72"/>
    <n v="1142.4000000000001"/>
  </r>
  <r>
    <x v="0"/>
    <x v="0"/>
    <x v="0"/>
    <n v="51"/>
    <n v="5"/>
    <n v="9.8000000000000007"/>
    <n v="38.61"/>
    <n v="1969.11"/>
  </r>
  <r>
    <x v="1"/>
    <x v="0"/>
    <x v="1"/>
    <n v="202"/>
    <n v="8"/>
    <n v="3.96"/>
    <n v="41.96"/>
    <n v="8475.92"/>
  </r>
  <r>
    <x v="1"/>
    <x v="0"/>
    <x v="1"/>
    <n v="236"/>
    <n v="12"/>
    <n v="5.08"/>
    <n v="48.92"/>
    <n v="11545.12"/>
  </r>
  <r>
    <x v="1"/>
    <x v="0"/>
    <x v="1"/>
    <n v="162"/>
    <n v="3"/>
    <n v="1.85"/>
    <n v="67.430000000000007"/>
    <n v="10923.66"/>
  </r>
  <r>
    <x v="1"/>
    <x v="0"/>
    <x v="1"/>
    <n v="72"/>
    <n v="5"/>
    <n v="6.94"/>
    <n v="5.83"/>
    <n v="419.76"/>
  </r>
  <r>
    <x v="1"/>
    <x v="0"/>
    <x v="1"/>
    <n v="81"/>
    <n v="5"/>
    <n v="6.17"/>
    <n v="23.03"/>
    <n v="1865.43"/>
  </r>
  <r>
    <x v="0"/>
    <x v="0"/>
    <x v="2"/>
    <n v="99"/>
    <n v="7"/>
    <n v="7.07"/>
    <n v="27.07"/>
    <n v="2679.93"/>
  </r>
  <r>
    <x v="0"/>
    <x v="0"/>
    <x v="2"/>
    <n v="228"/>
    <n v="6"/>
    <n v="2.63"/>
    <n v="53.18"/>
    <n v="12125.04"/>
  </r>
  <r>
    <x v="0"/>
    <x v="0"/>
    <x v="2"/>
    <n v="220"/>
    <n v="1"/>
    <n v="0.45"/>
    <n v="6.29"/>
    <n v="1383.8"/>
  </r>
  <r>
    <x v="1"/>
    <x v="0"/>
    <x v="2"/>
    <n v="231"/>
    <n v="5"/>
    <n v="2.16"/>
    <n v="34.24"/>
    <n v="7909.44"/>
  </r>
  <r>
    <x v="2"/>
    <x v="0"/>
    <x v="2"/>
    <n v="217"/>
    <n v="15"/>
    <n v="6.91"/>
    <n v="32.090000000000003"/>
    <n v="6963.53"/>
  </r>
  <r>
    <x v="2"/>
    <x v="0"/>
    <x v="2"/>
    <n v="86"/>
    <n v="6"/>
    <n v="6.98"/>
    <n v="39.71"/>
    <n v="3415.06"/>
  </r>
  <r>
    <x v="1"/>
    <x v="0"/>
    <x v="2"/>
    <n v="222"/>
    <n v="17"/>
    <n v="7.66"/>
    <n v="48.48"/>
    <n v="10762.56"/>
  </r>
  <r>
    <x v="0"/>
    <x v="0"/>
    <x v="2"/>
    <n v="183"/>
    <n v="3"/>
    <n v="1.64"/>
    <n v="60.5"/>
    <n v="11071.5"/>
  </r>
  <r>
    <x v="0"/>
    <x v="0"/>
    <x v="2"/>
    <n v="235"/>
    <n v="18"/>
    <n v="7.66"/>
    <n v="21.74"/>
    <n v="5108.8999999999996"/>
  </r>
  <r>
    <x v="1"/>
    <x v="0"/>
    <x v="1"/>
    <n v="199"/>
    <n v="7"/>
    <n v="3.52"/>
    <n v="33.19"/>
    <n v="6604.81"/>
  </r>
  <r>
    <x v="0"/>
    <x v="0"/>
    <x v="2"/>
    <n v="90"/>
    <n v="8"/>
    <n v="8.89"/>
    <n v="52.45"/>
    <n v="4720.5"/>
  </r>
  <r>
    <x v="1"/>
    <x v="0"/>
    <x v="2"/>
    <n v="82"/>
    <n v="8"/>
    <n v="9.76"/>
    <n v="23.98"/>
    <n v="1966.36"/>
  </r>
  <r>
    <x v="2"/>
    <x v="0"/>
    <x v="2"/>
    <n v="227"/>
    <n v="17"/>
    <n v="7.49"/>
    <n v="21.08"/>
    <n v="4785.16"/>
  </r>
  <r>
    <x v="0"/>
    <x v="0"/>
    <x v="0"/>
    <n v="251"/>
    <n v="12"/>
    <n v="4.78"/>
    <n v="59.11"/>
    <n v="14836.61"/>
  </r>
  <r>
    <x v="0"/>
    <x v="0"/>
    <x v="2"/>
    <n v="203"/>
    <n v="19"/>
    <n v="9.36"/>
    <n v="44.91"/>
    <n v="9116.73"/>
  </r>
  <r>
    <x v="0"/>
    <x v="0"/>
    <x v="0"/>
    <n v="196"/>
    <n v="11"/>
    <n v="5.61"/>
    <n v="28.48"/>
    <n v="5582.08"/>
  </r>
  <r>
    <x v="1"/>
    <x v="0"/>
    <x v="1"/>
    <n v="74"/>
    <n v="4"/>
    <n v="5.41"/>
    <n v="47.57"/>
    <n v="3520.18"/>
  </r>
  <r>
    <x v="1"/>
    <x v="0"/>
    <x v="2"/>
    <n v="150"/>
    <n v="4"/>
    <n v="2.67"/>
    <n v="63.14"/>
    <n v="9471"/>
  </r>
  <r>
    <x v="0"/>
    <x v="0"/>
    <x v="2"/>
    <n v="271"/>
    <n v="14"/>
    <n v="5.17"/>
    <n v="14.94"/>
    <n v="4048.74"/>
  </r>
  <r>
    <x v="0"/>
    <x v="0"/>
    <x v="2"/>
    <n v="185"/>
    <n v="13"/>
    <n v="7.03"/>
    <n v="51.37"/>
    <n v="9503.4500000000007"/>
  </r>
  <r>
    <x v="3"/>
    <x v="0"/>
    <x v="2"/>
    <n v="164"/>
    <n v="13"/>
    <n v="7.93"/>
    <n v="28.19"/>
    <n v="4623.16"/>
  </r>
  <r>
    <x v="0"/>
    <x v="0"/>
    <x v="0"/>
    <n v="79"/>
    <n v="4"/>
    <n v="5.0599999999999996"/>
    <n v="56.68"/>
    <n v="4477.72"/>
  </r>
  <r>
    <x v="1"/>
    <x v="0"/>
    <x v="1"/>
    <n v="129"/>
    <n v="10"/>
    <n v="7.75"/>
    <n v="60.86"/>
    <n v="7850.94"/>
  </r>
  <r>
    <x v="0"/>
    <x v="0"/>
    <x v="0"/>
    <n v="121"/>
    <n v="6"/>
    <n v="4.96"/>
    <n v="16.34"/>
    <n v="1977.14"/>
  </r>
  <r>
    <x v="3"/>
    <x v="0"/>
    <x v="2"/>
    <n v="218"/>
    <n v="2"/>
    <n v="0.92"/>
    <n v="50.64"/>
    <n v="11039.52"/>
  </r>
  <r>
    <x v="3"/>
    <x v="0"/>
    <x v="2"/>
    <n v="155"/>
    <n v="14"/>
    <n v="9.0299999999999994"/>
    <n v="9.09"/>
    <n v="1408.95"/>
  </r>
  <r>
    <x v="2"/>
    <x v="0"/>
    <x v="2"/>
    <n v="267"/>
    <n v="10"/>
    <n v="3.75"/>
    <n v="31.14"/>
    <n v="8314.3799999999992"/>
  </r>
  <r>
    <x v="1"/>
    <x v="0"/>
    <x v="1"/>
    <n v="242"/>
    <n v="13"/>
    <n v="5.37"/>
    <n v="62.45"/>
    <n v="15112.9"/>
  </r>
  <r>
    <x v="1"/>
    <x v="0"/>
    <x v="2"/>
    <n v="174"/>
    <n v="0"/>
    <n v="0"/>
    <n v="54.73"/>
    <n v="9523.02"/>
  </r>
  <r>
    <x v="1"/>
    <x v="0"/>
    <x v="1"/>
    <n v="86"/>
    <n v="6"/>
    <n v="6.98"/>
    <n v="61.24"/>
    <n v="5266.64"/>
  </r>
  <r>
    <x v="2"/>
    <x v="0"/>
    <x v="2"/>
    <n v="289"/>
    <n v="12"/>
    <n v="4.1500000000000004"/>
    <n v="10.42"/>
    <n v="3011.38"/>
  </r>
  <r>
    <x v="0"/>
    <x v="0"/>
    <x v="2"/>
    <n v="71"/>
    <n v="6"/>
    <n v="8.4499999999999993"/>
    <n v="58.04"/>
    <n v="4120.84"/>
  </r>
  <r>
    <x v="1"/>
    <x v="0"/>
    <x v="2"/>
    <n v="94"/>
    <n v="1"/>
    <n v="1.06"/>
    <n v="31.78"/>
    <n v="2987.32"/>
  </r>
  <r>
    <x v="0"/>
    <x v="0"/>
    <x v="0"/>
    <n v="101"/>
    <n v="4"/>
    <n v="3.96"/>
    <n v="38.51"/>
    <n v="3889.51"/>
  </r>
  <r>
    <x v="0"/>
    <x v="0"/>
    <x v="0"/>
    <n v="61"/>
    <n v="5"/>
    <n v="8.1999999999999993"/>
    <n v="18.02"/>
    <n v="1099.22"/>
  </r>
  <r>
    <x v="2"/>
    <x v="0"/>
    <x v="2"/>
    <n v="281"/>
    <n v="20"/>
    <n v="7.12"/>
    <n v="28.41"/>
    <n v="7983.21"/>
  </r>
  <r>
    <x v="1"/>
    <x v="0"/>
    <x v="2"/>
    <n v="84"/>
    <n v="1"/>
    <n v="1.19"/>
    <n v="58.54"/>
    <n v="4917.3599999999997"/>
  </r>
  <r>
    <x v="2"/>
    <x v="0"/>
    <x v="2"/>
    <n v="296"/>
    <n v="16"/>
    <n v="5.41"/>
    <n v="59.52"/>
    <n v="17617.919999999998"/>
  </r>
  <r>
    <x v="1"/>
    <x v="0"/>
    <x v="2"/>
    <n v="85"/>
    <n v="2"/>
    <n v="2.35"/>
    <n v="21.44"/>
    <n v="1822.4"/>
  </r>
  <r>
    <x v="0"/>
    <x v="0"/>
    <x v="0"/>
    <n v="107"/>
    <n v="0"/>
    <n v="0"/>
    <n v="30.33"/>
    <n v="3245.31"/>
  </r>
  <r>
    <x v="3"/>
    <x v="0"/>
    <x v="2"/>
    <n v="160"/>
    <n v="9"/>
    <n v="5.62"/>
    <n v="16.489999999999998"/>
    <n v="2638.4"/>
  </r>
  <r>
    <x v="2"/>
    <x v="0"/>
    <x v="2"/>
    <n v="186"/>
    <n v="1"/>
    <n v="0.54"/>
    <n v="37.119999999999997"/>
    <n v="6904.32"/>
  </r>
  <r>
    <x v="1"/>
    <x v="0"/>
    <x v="2"/>
    <n v="287"/>
    <n v="17"/>
    <n v="5.92"/>
    <n v="36.21"/>
    <n v="10392.27"/>
  </r>
  <r>
    <x v="1"/>
    <x v="0"/>
    <x v="2"/>
    <n v="259"/>
    <n v="8"/>
    <n v="3.09"/>
    <n v="29.41"/>
    <n v="7617.19"/>
  </r>
  <r>
    <x v="1"/>
    <x v="0"/>
    <x v="2"/>
    <n v="242"/>
    <n v="3"/>
    <n v="1.24"/>
    <n v="7.36"/>
    <n v="1781.12"/>
  </r>
  <r>
    <x v="2"/>
    <x v="0"/>
    <x v="2"/>
    <n v="185"/>
    <n v="0"/>
    <n v="0"/>
    <n v="6.77"/>
    <n v="1252.45"/>
  </r>
  <r>
    <x v="3"/>
    <x v="0"/>
    <x v="2"/>
    <n v="126"/>
    <n v="8"/>
    <n v="6.35"/>
    <n v="25.41"/>
    <n v="3201.66"/>
  </r>
  <r>
    <x v="2"/>
    <x v="0"/>
    <x v="2"/>
    <n v="299"/>
    <n v="29"/>
    <n v="9.6999999999999993"/>
    <n v="12.31"/>
    <n v="3680.69"/>
  </r>
  <r>
    <x v="3"/>
    <x v="0"/>
    <x v="2"/>
    <n v="119"/>
    <n v="3"/>
    <n v="2.52"/>
    <n v="11.75"/>
    <n v="1398.25"/>
  </r>
  <r>
    <x v="1"/>
    <x v="0"/>
    <x v="1"/>
    <n v="95"/>
    <n v="5"/>
    <n v="5.26"/>
    <n v="41.96"/>
    <n v="3986.2"/>
  </r>
  <r>
    <x v="1"/>
    <x v="0"/>
    <x v="2"/>
    <n v="86"/>
    <n v="4"/>
    <n v="4.6500000000000004"/>
    <n v="50.23"/>
    <n v="4319.78"/>
  </r>
  <r>
    <x v="0"/>
    <x v="0"/>
    <x v="2"/>
    <n v="189"/>
    <n v="8"/>
    <n v="4.2300000000000004"/>
    <n v="40.79"/>
    <n v="7709.31"/>
  </r>
  <r>
    <x v="2"/>
    <x v="0"/>
    <x v="2"/>
    <n v="287"/>
    <n v="7"/>
    <n v="2.44"/>
    <n v="17.43"/>
    <n v="5002.41"/>
  </r>
  <r>
    <x v="0"/>
    <x v="0"/>
    <x v="2"/>
    <n v="295"/>
    <n v="2"/>
    <n v="0.68"/>
    <n v="7.91"/>
    <n v="2333.4499999999998"/>
  </r>
  <r>
    <x v="0"/>
    <x v="0"/>
    <x v="2"/>
    <n v="207"/>
    <n v="15"/>
    <n v="7.25"/>
    <n v="6.32"/>
    <n v="1308.24"/>
  </r>
  <r>
    <x v="0"/>
    <x v="0"/>
    <x v="2"/>
    <n v="127"/>
    <n v="11"/>
    <n v="8.66"/>
    <n v="6.8"/>
    <n v="863.6"/>
  </r>
  <r>
    <x v="2"/>
    <x v="0"/>
    <x v="2"/>
    <n v="65"/>
    <n v="2"/>
    <n v="3.08"/>
    <n v="11.96"/>
    <n v="777.4"/>
  </r>
  <r>
    <x v="3"/>
    <x v="0"/>
    <x v="2"/>
    <n v="249"/>
    <n v="6"/>
    <n v="2.41"/>
    <n v="17.2"/>
    <n v="4282.8"/>
  </r>
  <r>
    <x v="0"/>
    <x v="0"/>
    <x v="0"/>
    <n v="171"/>
    <n v="8"/>
    <n v="4.68"/>
    <n v="34.1"/>
    <n v="5831.1"/>
  </r>
  <r>
    <x v="0"/>
    <x v="0"/>
    <x v="2"/>
    <n v="147"/>
    <n v="2"/>
    <n v="1.36"/>
    <n v="53.61"/>
    <n v="7880.67"/>
  </r>
  <r>
    <x v="0"/>
    <x v="0"/>
    <x v="0"/>
    <n v="62"/>
    <n v="1"/>
    <n v="1.61"/>
    <n v="61.05"/>
    <n v="3785.1"/>
  </r>
  <r>
    <x v="0"/>
    <x v="0"/>
    <x v="2"/>
    <n v="109"/>
    <n v="0"/>
    <n v="0"/>
    <n v="49.99"/>
    <n v="5448.91"/>
  </r>
  <r>
    <x v="2"/>
    <x v="0"/>
    <x v="2"/>
    <n v="159"/>
    <n v="11"/>
    <n v="6.92"/>
    <n v="57.04"/>
    <n v="9069.36"/>
  </r>
  <r>
    <x v="0"/>
    <x v="0"/>
    <x v="0"/>
    <n v="135"/>
    <n v="7"/>
    <n v="5.19"/>
    <n v="66.209999999999994"/>
    <n v="8938.35"/>
  </r>
  <r>
    <x v="1"/>
    <x v="0"/>
    <x v="1"/>
    <n v="169"/>
    <n v="13"/>
    <n v="7.69"/>
    <n v="69.709999999999994"/>
    <n v="11780.99"/>
  </r>
  <r>
    <x v="2"/>
    <x v="0"/>
    <x v="2"/>
    <n v="204"/>
    <n v="15"/>
    <n v="7.35"/>
    <n v="58.09"/>
    <n v="11850.36"/>
  </r>
  <r>
    <x v="1"/>
    <x v="0"/>
    <x v="1"/>
    <n v="197"/>
    <n v="15"/>
    <n v="7.61"/>
    <n v="58.01"/>
    <n v="11427.97"/>
  </r>
  <r>
    <x v="3"/>
    <x v="0"/>
    <x v="2"/>
    <n v="151"/>
    <n v="15"/>
    <n v="9.93"/>
    <n v="24.23"/>
    <n v="3658.73"/>
  </r>
  <r>
    <x v="2"/>
    <x v="0"/>
    <x v="2"/>
    <n v="158"/>
    <n v="4"/>
    <n v="2.5299999999999998"/>
    <n v="29.16"/>
    <n v="4607.28"/>
  </r>
  <r>
    <x v="1"/>
    <x v="0"/>
    <x v="1"/>
    <n v="264"/>
    <n v="2"/>
    <n v="0.76"/>
    <n v="26.28"/>
    <n v="6937.92"/>
  </r>
  <r>
    <x v="3"/>
    <x v="0"/>
    <x v="2"/>
    <n v="74"/>
    <n v="6"/>
    <n v="8.11"/>
    <n v="51.09"/>
    <n v="3780.66"/>
  </r>
  <r>
    <x v="1"/>
    <x v="0"/>
    <x v="1"/>
    <n v="284"/>
    <n v="11"/>
    <n v="3.87"/>
    <n v="26.09"/>
    <n v="7409.56"/>
  </r>
  <r>
    <x v="3"/>
    <x v="0"/>
    <x v="2"/>
    <n v="150"/>
    <n v="12"/>
    <n v="8"/>
    <n v="53.17"/>
    <n v="7975.5"/>
  </r>
  <r>
    <x v="1"/>
    <x v="0"/>
    <x v="1"/>
    <n v="189"/>
    <n v="1"/>
    <n v="0.53"/>
    <n v="24.18"/>
    <n v="4570.0200000000004"/>
  </r>
  <r>
    <x v="1"/>
    <x v="0"/>
    <x v="1"/>
    <n v="290"/>
    <n v="28"/>
    <n v="9.66"/>
    <n v="37.4"/>
    <n v="10846"/>
  </r>
  <r>
    <x v="3"/>
    <x v="0"/>
    <x v="2"/>
    <n v="105"/>
    <n v="7"/>
    <n v="6.67"/>
    <n v="65.650000000000006"/>
    <n v="6893.25"/>
  </r>
  <r>
    <x v="3"/>
    <x v="0"/>
    <x v="2"/>
    <n v="118"/>
    <n v="7"/>
    <n v="5.93"/>
    <n v="23.33"/>
    <n v="2752.94"/>
  </r>
  <r>
    <x v="2"/>
    <x v="0"/>
    <x v="2"/>
    <n v="197"/>
    <n v="16"/>
    <n v="8.1199999999999992"/>
    <n v="10.97"/>
    <n v="2161.09"/>
  </r>
  <r>
    <x v="0"/>
    <x v="0"/>
    <x v="0"/>
    <n v="51"/>
    <n v="0"/>
    <n v="0"/>
    <n v="6.9"/>
    <n v="351.9"/>
  </r>
  <r>
    <x v="0"/>
    <x v="0"/>
    <x v="2"/>
    <n v="259"/>
    <n v="5"/>
    <n v="1.93"/>
    <n v="56.52"/>
    <n v="14638.68"/>
  </r>
  <r>
    <x v="2"/>
    <x v="0"/>
    <x v="2"/>
    <n v="148"/>
    <n v="14"/>
    <n v="9.4600000000000009"/>
    <n v="52.87"/>
    <n v="7824.76"/>
  </r>
  <r>
    <x v="0"/>
    <x v="0"/>
    <x v="2"/>
    <n v="263"/>
    <n v="15"/>
    <n v="5.7"/>
    <n v="48.1"/>
    <n v="12650.3"/>
  </r>
  <r>
    <x v="2"/>
    <x v="0"/>
    <x v="2"/>
    <n v="116"/>
    <n v="6"/>
    <n v="5.17"/>
    <n v="48.01"/>
    <n v="5569.16"/>
  </r>
  <r>
    <x v="2"/>
    <x v="0"/>
    <x v="2"/>
    <n v="282"/>
    <n v="1"/>
    <n v="0.35"/>
    <n v="20.99"/>
    <n v="5919.18"/>
  </r>
  <r>
    <x v="1"/>
    <x v="0"/>
    <x v="2"/>
    <n v="289"/>
    <n v="20"/>
    <n v="6.92"/>
    <n v="57.32"/>
    <n v="16565.48"/>
  </r>
  <r>
    <x v="1"/>
    <x v="0"/>
    <x v="2"/>
    <n v="280"/>
    <n v="5"/>
    <n v="1.79"/>
    <n v="9.59"/>
    <n v="2685.2"/>
  </r>
  <r>
    <x v="0"/>
    <x v="0"/>
    <x v="2"/>
    <n v="218"/>
    <n v="3"/>
    <n v="1.38"/>
    <n v="56.99"/>
    <n v="12423.82"/>
  </r>
  <r>
    <x v="3"/>
    <x v="0"/>
    <x v="2"/>
    <n v="101"/>
    <n v="7"/>
    <n v="6.93"/>
    <n v="8.52"/>
    <n v="860.52"/>
  </r>
  <r>
    <x v="3"/>
    <x v="0"/>
    <x v="2"/>
    <n v="147"/>
    <n v="8"/>
    <n v="5.44"/>
    <n v="59.52"/>
    <n v="8749.44"/>
  </r>
  <r>
    <x v="0"/>
    <x v="0"/>
    <x v="2"/>
    <n v="288"/>
    <n v="28"/>
    <n v="9.7200000000000006"/>
    <n v="54.03"/>
    <n v="15560.64"/>
  </r>
  <r>
    <x v="3"/>
    <x v="0"/>
    <x v="2"/>
    <n v="107"/>
    <n v="6"/>
    <n v="5.61"/>
    <n v="16.3"/>
    <n v="1744.1"/>
  </r>
  <r>
    <x v="0"/>
    <x v="0"/>
    <x v="2"/>
    <n v="206"/>
    <n v="18"/>
    <n v="8.74"/>
    <n v="41.92"/>
    <n v="8635.52"/>
  </r>
  <r>
    <x v="3"/>
    <x v="0"/>
    <x v="2"/>
    <n v="282"/>
    <n v="19"/>
    <n v="6.74"/>
    <n v="24.23"/>
    <n v="6832.86"/>
  </r>
  <r>
    <x v="1"/>
    <x v="0"/>
    <x v="2"/>
    <n v="157"/>
    <n v="15"/>
    <n v="9.5500000000000007"/>
    <n v="18.66"/>
    <n v="2929.62"/>
  </r>
  <r>
    <x v="2"/>
    <x v="0"/>
    <x v="2"/>
    <n v="98"/>
    <n v="6"/>
    <n v="6.12"/>
    <n v="36.06"/>
    <n v="3533.88"/>
  </r>
  <r>
    <x v="2"/>
    <x v="0"/>
    <x v="2"/>
    <n v="194"/>
    <n v="11"/>
    <n v="5.67"/>
    <n v="38.130000000000003"/>
    <n v="7397.22"/>
  </r>
  <r>
    <x v="0"/>
    <x v="0"/>
    <x v="2"/>
    <n v="151"/>
    <n v="15"/>
    <n v="9.93"/>
    <n v="8.43"/>
    <n v="1272.93"/>
  </r>
  <r>
    <x v="0"/>
    <x v="0"/>
    <x v="0"/>
    <n v="169"/>
    <n v="0"/>
    <n v="0"/>
    <n v="47.65"/>
    <n v="8052.85"/>
  </r>
  <r>
    <x v="3"/>
    <x v="0"/>
    <x v="2"/>
    <n v="89"/>
    <n v="5"/>
    <n v="5.62"/>
    <n v="61.39"/>
    <n v="5463.71"/>
  </r>
  <r>
    <x v="0"/>
    <x v="0"/>
    <x v="0"/>
    <n v="113"/>
    <n v="11"/>
    <n v="9.73"/>
    <n v="55.02"/>
    <n v="6217.26"/>
  </r>
  <r>
    <x v="0"/>
    <x v="0"/>
    <x v="2"/>
    <n v="69"/>
    <n v="4"/>
    <n v="5.8"/>
    <n v="29.66"/>
    <n v="2046.54"/>
  </r>
  <r>
    <x v="2"/>
    <x v="0"/>
    <x v="2"/>
    <n v="178"/>
    <n v="1"/>
    <n v="0.56000000000000005"/>
    <n v="18.54"/>
    <n v="3300.12"/>
  </r>
  <r>
    <x v="0"/>
    <x v="0"/>
    <x v="0"/>
    <n v="146"/>
    <n v="13"/>
    <n v="8.9"/>
    <n v="11.37"/>
    <n v="1660.02"/>
  </r>
  <r>
    <x v="0"/>
    <x v="0"/>
    <x v="2"/>
    <n v="199"/>
    <n v="3"/>
    <n v="1.51"/>
    <n v="8.35"/>
    <n v="1661.65"/>
  </r>
  <r>
    <x v="1"/>
    <x v="0"/>
    <x v="1"/>
    <n v="204"/>
    <n v="20"/>
    <n v="9.8000000000000007"/>
    <n v="7.86"/>
    <n v="1603.44"/>
  </r>
  <r>
    <x v="2"/>
    <x v="0"/>
    <x v="2"/>
    <n v="264"/>
    <n v="6"/>
    <n v="2.27"/>
    <n v="49.74"/>
    <n v="13131.36"/>
  </r>
  <r>
    <x v="0"/>
    <x v="0"/>
    <x v="2"/>
    <n v="293"/>
    <n v="27"/>
    <n v="9.2200000000000006"/>
    <n v="10.54"/>
    <n v="3088.22"/>
  </r>
  <r>
    <x v="1"/>
    <x v="0"/>
    <x v="1"/>
    <n v="128"/>
    <n v="6"/>
    <n v="4.6900000000000004"/>
    <n v="52.05"/>
    <n v="6662.4"/>
  </r>
  <r>
    <x v="0"/>
    <x v="0"/>
    <x v="2"/>
    <n v="105"/>
    <n v="1"/>
    <n v="0.95"/>
    <n v="12.67"/>
    <n v="1330.35"/>
  </r>
  <r>
    <x v="1"/>
    <x v="0"/>
    <x v="1"/>
    <n v="73"/>
    <n v="2"/>
    <n v="2.74"/>
    <n v="29.42"/>
    <n v="2147.66"/>
  </r>
  <r>
    <x v="1"/>
    <x v="0"/>
    <x v="2"/>
    <n v="103"/>
    <n v="9"/>
    <n v="8.74"/>
    <n v="54.92"/>
    <n v="5656.76"/>
  </r>
  <r>
    <x v="1"/>
    <x v="0"/>
    <x v="1"/>
    <n v="244"/>
    <n v="16"/>
    <n v="6.56"/>
    <n v="58.72"/>
    <n v="14327.68"/>
  </r>
  <r>
    <x v="2"/>
    <x v="0"/>
    <x v="2"/>
    <n v="281"/>
    <n v="19"/>
    <n v="6.76"/>
    <n v="61.53"/>
    <n v="17289.93"/>
  </r>
  <r>
    <x v="0"/>
    <x v="0"/>
    <x v="0"/>
    <n v="246"/>
    <n v="18"/>
    <n v="7.32"/>
    <n v="27.08"/>
    <n v="6661.68"/>
  </r>
  <r>
    <x v="2"/>
    <x v="0"/>
    <x v="2"/>
    <n v="120"/>
    <n v="10"/>
    <n v="8.33"/>
    <n v="8.92"/>
    <n v="1070.4000000000001"/>
  </r>
  <r>
    <x v="0"/>
    <x v="0"/>
    <x v="2"/>
    <n v="293"/>
    <n v="3"/>
    <n v="1.02"/>
    <n v="29.26"/>
    <n v="8573.18"/>
  </r>
  <r>
    <x v="0"/>
    <x v="0"/>
    <x v="2"/>
    <n v="128"/>
    <n v="9"/>
    <n v="7.03"/>
    <n v="48.56"/>
    <n v="6215.68"/>
  </r>
  <r>
    <x v="0"/>
    <x v="0"/>
    <x v="2"/>
    <n v="270"/>
    <n v="19"/>
    <n v="7.04"/>
    <n v="48.33"/>
    <n v="13049.1"/>
  </r>
  <r>
    <x v="2"/>
    <x v="0"/>
    <x v="2"/>
    <n v="223"/>
    <n v="14"/>
    <n v="6.28"/>
    <n v="16.61"/>
    <n v="3704.03"/>
  </r>
  <r>
    <x v="1"/>
    <x v="0"/>
    <x v="2"/>
    <n v="203"/>
    <n v="20"/>
    <n v="9.85"/>
    <n v="63.73"/>
    <n v="12937.19"/>
  </r>
  <r>
    <x v="3"/>
    <x v="0"/>
    <x v="2"/>
    <n v="130"/>
    <n v="0"/>
    <n v="0"/>
    <n v="10.43"/>
    <n v="1355.9"/>
  </r>
  <r>
    <x v="1"/>
    <x v="0"/>
    <x v="2"/>
    <n v="107"/>
    <n v="5"/>
    <n v="4.67"/>
    <n v="40.79"/>
    <n v="4364.53"/>
  </r>
  <r>
    <x v="2"/>
    <x v="0"/>
    <x v="2"/>
    <n v="226"/>
    <n v="6"/>
    <n v="2.65"/>
    <n v="69.48"/>
    <n v="15702.48"/>
  </r>
  <r>
    <x v="0"/>
    <x v="0"/>
    <x v="2"/>
    <n v="197"/>
    <n v="16"/>
    <n v="8.1199999999999992"/>
    <n v="8.3000000000000007"/>
    <n v="1635.1"/>
  </r>
  <r>
    <x v="1"/>
    <x v="0"/>
    <x v="2"/>
    <n v="159"/>
    <n v="9"/>
    <n v="5.66"/>
    <n v="59.37"/>
    <n v="9439.83"/>
  </r>
  <r>
    <x v="3"/>
    <x v="0"/>
    <x v="2"/>
    <n v="187"/>
    <n v="5"/>
    <n v="2.67"/>
    <n v="34.06"/>
    <n v="6369.22"/>
  </r>
  <r>
    <x v="1"/>
    <x v="0"/>
    <x v="2"/>
    <n v="196"/>
    <n v="14"/>
    <n v="7.14"/>
    <n v="50.66"/>
    <n v="9929.36"/>
  </r>
  <r>
    <x v="1"/>
    <x v="0"/>
    <x v="1"/>
    <n v="179"/>
    <n v="15"/>
    <n v="8.3800000000000008"/>
    <n v="57.23"/>
    <n v="10244.17"/>
  </r>
  <r>
    <x v="3"/>
    <x v="0"/>
    <x v="2"/>
    <n v="109"/>
    <n v="0"/>
    <n v="0"/>
    <n v="9.7200000000000006"/>
    <n v="1059.48"/>
  </r>
  <r>
    <x v="0"/>
    <x v="0"/>
    <x v="0"/>
    <n v="128"/>
    <n v="9"/>
    <n v="7.03"/>
    <n v="6.91"/>
    <n v="884.48"/>
  </r>
  <r>
    <x v="2"/>
    <x v="0"/>
    <x v="2"/>
    <n v="224"/>
    <n v="2"/>
    <n v="0.89"/>
    <n v="26.04"/>
    <n v="5832.96"/>
  </r>
  <r>
    <x v="0"/>
    <x v="0"/>
    <x v="0"/>
    <n v="281"/>
    <n v="11"/>
    <n v="3.91"/>
    <n v="15.77"/>
    <n v="4431.37"/>
  </r>
  <r>
    <x v="2"/>
    <x v="0"/>
    <x v="2"/>
    <n v="242"/>
    <n v="18"/>
    <n v="7.44"/>
    <n v="13.14"/>
    <n v="3179.88"/>
  </r>
  <r>
    <x v="1"/>
    <x v="0"/>
    <x v="2"/>
    <n v="161"/>
    <n v="10"/>
    <n v="6.21"/>
    <n v="68.38"/>
    <n v="11009.18"/>
  </r>
  <r>
    <x v="0"/>
    <x v="0"/>
    <x v="0"/>
    <n v="119"/>
    <n v="5"/>
    <n v="4.2"/>
    <n v="51.23"/>
    <n v="6096.37"/>
  </r>
  <r>
    <x v="1"/>
    <x v="0"/>
    <x v="1"/>
    <n v="250"/>
    <n v="15"/>
    <n v="6"/>
    <n v="38.93"/>
    <n v="9732.5"/>
  </r>
  <r>
    <x v="0"/>
    <x v="0"/>
    <x v="0"/>
    <n v="123"/>
    <n v="8"/>
    <n v="6.5"/>
    <n v="33.85"/>
    <n v="4163.55"/>
  </r>
  <r>
    <x v="0"/>
    <x v="0"/>
    <x v="0"/>
    <n v="117"/>
    <n v="5"/>
    <n v="4.2699999999999996"/>
    <n v="28.09"/>
    <n v="3286.53"/>
  </r>
  <r>
    <x v="0"/>
    <x v="0"/>
    <x v="0"/>
    <n v="228"/>
    <n v="11"/>
    <n v="4.82"/>
    <n v="8.5299999999999994"/>
    <n v="1944.84"/>
  </r>
  <r>
    <x v="1"/>
    <x v="0"/>
    <x v="2"/>
    <n v="143"/>
    <n v="8"/>
    <n v="5.59"/>
    <n v="14.79"/>
    <n v="2114.9699999999998"/>
  </r>
  <r>
    <x v="3"/>
    <x v="0"/>
    <x v="2"/>
    <n v="270"/>
    <n v="27"/>
    <n v="10"/>
    <n v="56.02"/>
    <n v="15125.4"/>
  </r>
  <r>
    <x v="0"/>
    <x v="0"/>
    <x v="2"/>
    <n v="252"/>
    <n v="25"/>
    <n v="9.92"/>
    <n v="44.56"/>
    <n v="11229.12"/>
  </r>
  <r>
    <x v="0"/>
    <x v="0"/>
    <x v="2"/>
    <n v="98"/>
    <n v="0"/>
    <n v="0"/>
    <n v="59.05"/>
    <n v="5786.9"/>
  </r>
  <r>
    <x v="2"/>
    <x v="0"/>
    <x v="2"/>
    <n v="204"/>
    <n v="18"/>
    <n v="8.82"/>
    <n v="66.900000000000006"/>
    <n v="13647.6"/>
  </r>
  <r>
    <x v="1"/>
    <x v="0"/>
    <x v="1"/>
    <n v="222"/>
    <n v="6"/>
    <n v="2.7"/>
    <n v="9.65"/>
    <n v="2142.3000000000002"/>
  </r>
  <r>
    <x v="2"/>
    <x v="0"/>
    <x v="2"/>
    <n v="181"/>
    <n v="3"/>
    <n v="1.66"/>
    <n v="14.09"/>
    <n v="2550.29"/>
  </r>
  <r>
    <x v="1"/>
    <x v="0"/>
    <x v="1"/>
    <n v="95"/>
    <n v="5"/>
    <n v="5.26"/>
    <n v="56.22"/>
    <n v="5340.9"/>
  </r>
  <r>
    <x v="3"/>
    <x v="0"/>
    <x v="2"/>
    <n v="294"/>
    <n v="3"/>
    <n v="1.02"/>
    <n v="15.68"/>
    <n v="4609.92"/>
  </r>
  <r>
    <x v="0"/>
    <x v="0"/>
    <x v="2"/>
    <n v="76"/>
    <n v="0"/>
    <n v="0"/>
    <n v="47.31"/>
    <n v="3595.56"/>
  </r>
  <r>
    <x v="1"/>
    <x v="0"/>
    <x v="2"/>
    <n v="227"/>
    <n v="2"/>
    <n v="0.88"/>
    <n v="18.75"/>
    <n v="4256.25"/>
  </r>
  <r>
    <x v="2"/>
    <x v="0"/>
    <x v="2"/>
    <n v="243"/>
    <n v="12"/>
    <n v="4.9400000000000004"/>
    <n v="21.8"/>
    <n v="5297.4"/>
  </r>
  <r>
    <x v="0"/>
    <x v="0"/>
    <x v="0"/>
    <n v="116"/>
    <n v="6"/>
    <n v="5.17"/>
    <n v="13.54"/>
    <n v="1570.64"/>
  </r>
  <r>
    <x v="2"/>
    <x v="0"/>
    <x v="2"/>
    <n v="239"/>
    <n v="21"/>
    <n v="8.7899999999999991"/>
    <n v="57.23"/>
    <n v="13677.97"/>
  </r>
  <r>
    <x v="1"/>
    <x v="0"/>
    <x v="2"/>
    <n v="55"/>
    <n v="1"/>
    <n v="1.82"/>
    <n v="49.35"/>
    <n v="2714.25"/>
  </r>
  <r>
    <x v="3"/>
    <x v="0"/>
    <x v="2"/>
    <n v="63"/>
    <n v="0"/>
    <n v="0"/>
    <n v="35.22"/>
    <n v="2218.86"/>
  </r>
  <r>
    <x v="0"/>
    <x v="0"/>
    <x v="0"/>
    <n v="106"/>
    <n v="5"/>
    <n v="4.72"/>
    <n v="56.47"/>
    <n v="5985.82"/>
  </r>
  <r>
    <x v="3"/>
    <x v="0"/>
    <x v="2"/>
    <n v="115"/>
    <n v="1"/>
    <n v="0.87"/>
    <n v="43.86"/>
    <n v="5043.8999999999996"/>
  </r>
  <r>
    <x v="1"/>
    <x v="0"/>
    <x v="2"/>
    <n v="143"/>
    <n v="13"/>
    <n v="9.09"/>
    <n v="59.63"/>
    <n v="8527.09"/>
  </r>
  <r>
    <x v="2"/>
    <x v="0"/>
    <x v="2"/>
    <n v="146"/>
    <n v="10"/>
    <n v="6.85"/>
    <n v="30.37"/>
    <n v="4434.0200000000004"/>
  </r>
  <r>
    <x v="1"/>
    <x v="0"/>
    <x v="2"/>
    <n v="217"/>
    <n v="13"/>
    <n v="5.99"/>
    <n v="58.62"/>
    <n v="12720.54"/>
  </r>
  <r>
    <x v="2"/>
    <x v="0"/>
    <x v="2"/>
    <n v="222"/>
    <n v="0"/>
    <n v="0"/>
    <n v="47.59"/>
    <n v="10564.98"/>
  </r>
  <r>
    <x v="3"/>
    <x v="0"/>
    <x v="2"/>
    <n v="207"/>
    <n v="8"/>
    <n v="3.86"/>
    <n v="34.74"/>
    <n v="7191.18"/>
  </r>
  <r>
    <x v="1"/>
    <x v="0"/>
    <x v="2"/>
    <n v="210"/>
    <n v="3"/>
    <n v="1.43"/>
    <n v="38.89"/>
    <n v="8166.9"/>
  </r>
  <r>
    <x v="0"/>
    <x v="0"/>
    <x v="2"/>
    <n v="293"/>
    <n v="13"/>
    <n v="4.4400000000000004"/>
    <n v="63.54"/>
    <n v="18617.22"/>
  </r>
  <r>
    <x v="0"/>
    <x v="0"/>
    <x v="0"/>
    <n v="87"/>
    <n v="1"/>
    <n v="1.1499999999999999"/>
    <n v="58.59"/>
    <n v="5097.33"/>
  </r>
  <r>
    <x v="0"/>
    <x v="0"/>
    <x v="0"/>
    <n v="114"/>
    <n v="9"/>
    <n v="7.89"/>
    <n v="19.8"/>
    <n v="2257.1999999999998"/>
  </r>
  <r>
    <x v="1"/>
    <x v="0"/>
    <x v="2"/>
    <n v="192"/>
    <n v="1"/>
    <n v="0.52"/>
    <n v="36.18"/>
    <n v="6946.56"/>
  </r>
  <r>
    <x v="2"/>
    <x v="0"/>
    <x v="2"/>
    <n v="275"/>
    <n v="14"/>
    <n v="5.09"/>
    <n v="14.34"/>
    <n v="3943.5"/>
  </r>
  <r>
    <x v="0"/>
    <x v="0"/>
    <x v="2"/>
    <n v="300"/>
    <n v="20"/>
    <n v="6.67"/>
    <n v="22.25"/>
    <n v="6675"/>
  </r>
  <r>
    <x v="1"/>
    <x v="0"/>
    <x v="2"/>
    <n v="88"/>
    <n v="3"/>
    <n v="3.41"/>
    <n v="7.06"/>
    <n v="621.28"/>
  </r>
  <r>
    <x v="3"/>
    <x v="0"/>
    <x v="2"/>
    <n v="232"/>
    <n v="15"/>
    <n v="6.47"/>
    <n v="22.03"/>
    <n v="5110.96"/>
  </r>
  <r>
    <x v="1"/>
    <x v="0"/>
    <x v="1"/>
    <n v="69"/>
    <n v="6"/>
    <n v="8.6999999999999993"/>
    <n v="9.48"/>
    <n v="654.12"/>
  </r>
  <r>
    <x v="1"/>
    <x v="0"/>
    <x v="2"/>
    <n v="104"/>
    <n v="1"/>
    <n v="0.96"/>
    <n v="18.7"/>
    <n v="1944.8"/>
  </r>
  <r>
    <x v="2"/>
    <x v="0"/>
    <x v="2"/>
    <n v="237"/>
    <n v="3"/>
    <n v="1.27"/>
    <n v="50.95"/>
    <n v="12075.15"/>
  </r>
  <r>
    <x v="1"/>
    <x v="0"/>
    <x v="1"/>
    <n v="97"/>
    <n v="9"/>
    <n v="9.2799999999999994"/>
    <n v="62.15"/>
    <n v="6028.55"/>
  </r>
  <r>
    <x v="3"/>
    <x v="0"/>
    <x v="2"/>
    <n v="89"/>
    <n v="8"/>
    <n v="8.99"/>
    <n v="29.95"/>
    <n v="2665.55"/>
  </r>
  <r>
    <x v="0"/>
    <x v="0"/>
    <x v="2"/>
    <n v="205"/>
    <n v="0"/>
    <n v="0"/>
    <n v="6.22"/>
    <n v="1275.0999999999999"/>
  </r>
  <r>
    <x v="0"/>
    <x v="0"/>
    <x v="0"/>
    <n v="59"/>
    <n v="4"/>
    <n v="6.78"/>
    <n v="40.51"/>
    <n v="2390.09"/>
  </r>
  <r>
    <x v="1"/>
    <x v="0"/>
    <x v="1"/>
    <n v="86"/>
    <n v="5"/>
    <n v="5.81"/>
    <n v="6.69"/>
    <n v="575.34"/>
  </r>
  <r>
    <x v="2"/>
    <x v="0"/>
    <x v="2"/>
    <n v="179"/>
    <n v="14"/>
    <n v="7.82"/>
    <n v="42.69"/>
    <n v="7641.51"/>
  </r>
  <r>
    <x v="3"/>
    <x v="0"/>
    <x v="2"/>
    <n v="189"/>
    <n v="0"/>
    <n v="0"/>
    <n v="5.32"/>
    <n v="1005.48"/>
  </r>
  <r>
    <x v="0"/>
    <x v="0"/>
    <x v="2"/>
    <n v="143"/>
    <n v="11"/>
    <n v="7.69"/>
    <n v="11.52"/>
    <n v="1647.36"/>
  </r>
  <r>
    <x v="0"/>
    <x v="0"/>
    <x v="0"/>
    <n v="124"/>
    <n v="3"/>
    <n v="2.42"/>
    <n v="27.88"/>
    <n v="3457.12"/>
  </r>
  <r>
    <x v="0"/>
    <x v="0"/>
    <x v="0"/>
    <n v="205"/>
    <n v="4"/>
    <n v="1.95"/>
    <n v="66.64"/>
    <n v="13661.2"/>
  </r>
  <r>
    <x v="2"/>
    <x v="0"/>
    <x v="2"/>
    <n v="167"/>
    <n v="9"/>
    <n v="5.39"/>
    <n v="25.22"/>
    <n v="4211.74"/>
  </r>
  <r>
    <x v="1"/>
    <x v="0"/>
    <x v="1"/>
    <n v="249"/>
    <n v="9"/>
    <n v="3.61"/>
    <n v="51.49"/>
    <n v="12821.01"/>
  </r>
  <r>
    <x v="0"/>
    <x v="0"/>
    <x v="2"/>
    <n v="140"/>
    <n v="10"/>
    <n v="7.14"/>
    <n v="18.2"/>
    <n v="2548"/>
  </r>
  <r>
    <x v="3"/>
    <x v="0"/>
    <x v="2"/>
    <n v="91"/>
    <n v="0"/>
    <n v="0"/>
    <n v="5.48"/>
    <n v="498.68"/>
  </r>
  <r>
    <x v="3"/>
    <x v="0"/>
    <x v="2"/>
    <n v="221"/>
    <n v="5"/>
    <n v="2.2599999999999998"/>
    <n v="26.3"/>
    <n v="5812.3"/>
  </r>
  <r>
    <x v="2"/>
    <x v="0"/>
    <x v="2"/>
    <n v="185"/>
    <n v="14"/>
    <n v="7.57"/>
    <n v="57.46"/>
    <n v="10630.1"/>
  </r>
  <r>
    <x v="3"/>
    <x v="0"/>
    <x v="2"/>
    <n v="270"/>
    <n v="19"/>
    <n v="7.04"/>
    <n v="23.97"/>
    <n v="6471.9"/>
  </r>
  <r>
    <x v="2"/>
    <x v="0"/>
    <x v="2"/>
    <n v="149"/>
    <n v="10"/>
    <n v="6.71"/>
    <n v="38.869999999999997"/>
    <n v="5791.63"/>
  </r>
  <r>
    <x v="1"/>
    <x v="0"/>
    <x v="2"/>
    <n v="221"/>
    <n v="4"/>
    <n v="1.81"/>
    <n v="18.8"/>
    <n v="4154.8"/>
  </r>
  <r>
    <x v="0"/>
    <x v="0"/>
    <x v="0"/>
    <n v="81"/>
    <n v="4"/>
    <n v="4.9400000000000004"/>
    <n v="11.65"/>
    <n v="943.65"/>
  </r>
  <r>
    <x v="0"/>
    <x v="0"/>
    <x v="2"/>
    <n v="239"/>
    <n v="8"/>
    <n v="3.35"/>
    <n v="9.3699999999999992"/>
    <n v="2239.4299999999998"/>
  </r>
  <r>
    <x v="1"/>
    <x v="0"/>
    <x v="1"/>
    <n v="216"/>
    <n v="3"/>
    <n v="1.39"/>
    <n v="58.73"/>
    <n v="12685.68"/>
  </r>
  <r>
    <x v="1"/>
    <x v="0"/>
    <x v="1"/>
    <n v="166"/>
    <n v="16"/>
    <n v="9.64"/>
    <n v="20.16"/>
    <n v="3346.56"/>
  </r>
  <r>
    <x v="1"/>
    <x v="0"/>
    <x v="2"/>
    <n v="78"/>
    <n v="3"/>
    <n v="3.85"/>
    <n v="50.94"/>
    <n v="3973.32"/>
  </r>
  <r>
    <x v="0"/>
    <x v="0"/>
    <x v="2"/>
    <n v="210"/>
    <n v="9"/>
    <n v="4.29"/>
    <n v="25.39"/>
    <n v="5331.9"/>
  </r>
  <r>
    <x v="3"/>
    <x v="0"/>
    <x v="2"/>
    <n v="134"/>
    <n v="6"/>
    <n v="4.4800000000000004"/>
    <n v="24.63"/>
    <n v="3300.42"/>
  </r>
  <r>
    <x v="1"/>
    <x v="0"/>
    <x v="1"/>
    <n v="257"/>
    <n v="23"/>
    <n v="8.9499999999999993"/>
    <n v="9.14"/>
    <n v="2348.98"/>
  </r>
  <r>
    <x v="1"/>
    <x v="0"/>
    <x v="1"/>
    <n v="221"/>
    <n v="17"/>
    <n v="7.69"/>
    <n v="48.62"/>
    <n v="10745.02"/>
  </r>
  <r>
    <x v="0"/>
    <x v="0"/>
    <x v="2"/>
    <n v="236"/>
    <n v="20"/>
    <n v="8.4700000000000006"/>
    <n v="50.8"/>
    <n v="11988.8"/>
  </r>
  <r>
    <x v="1"/>
    <x v="0"/>
    <x v="2"/>
    <n v="245"/>
    <n v="6"/>
    <n v="2.4500000000000002"/>
    <n v="22.16"/>
    <n v="5429.2"/>
  </r>
  <r>
    <x v="1"/>
    <x v="0"/>
    <x v="1"/>
    <n v="93"/>
    <n v="1"/>
    <n v="1.08"/>
    <n v="51.64"/>
    <n v="4802.5200000000004"/>
  </r>
  <r>
    <x v="2"/>
    <x v="0"/>
    <x v="2"/>
    <n v="221"/>
    <n v="15"/>
    <n v="6.79"/>
    <n v="58.92"/>
    <n v="13021.32"/>
  </r>
  <r>
    <x v="2"/>
    <x v="0"/>
    <x v="2"/>
    <n v="76"/>
    <n v="7"/>
    <n v="9.2100000000000009"/>
    <n v="66.459999999999994"/>
    <n v="5050.96"/>
  </r>
  <r>
    <x v="3"/>
    <x v="0"/>
    <x v="2"/>
    <n v="231"/>
    <n v="23"/>
    <n v="9.9600000000000009"/>
    <n v="39.61"/>
    <n v="9149.91"/>
  </r>
  <r>
    <x v="1"/>
    <x v="0"/>
    <x v="1"/>
    <n v="217"/>
    <n v="17"/>
    <n v="7.83"/>
    <n v="31.75"/>
    <n v="6889.75"/>
  </r>
  <r>
    <x v="0"/>
    <x v="0"/>
    <x v="2"/>
    <n v="250"/>
    <n v="23"/>
    <n v="9.1999999999999993"/>
    <n v="25.05"/>
    <n v="6262.5"/>
  </r>
  <r>
    <x v="0"/>
    <x v="0"/>
    <x v="0"/>
    <n v="232"/>
    <n v="12"/>
    <n v="5.17"/>
    <n v="50.65"/>
    <n v="11750.8"/>
  </r>
  <r>
    <x v="2"/>
    <x v="0"/>
    <x v="2"/>
    <n v="73"/>
    <n v="6"/>
    <n v="8.2200000000000006"/>
    <n v="26.95"/>
    <n v="1967.35"/>
  </r>
  <r>
    <x v="0"/>
    <x v="0"/>
    <x v="0"/>
    <n v="195"/>
    <n v="9"/>
    <n v="4.62"/>
    <n v="22.98"/>
    <n v="4481.1000000000004"/>
  </r>
  <r>
    <x v="0"/>
    <x v="0"/>
    <x v="2"/>
    <n v="152"/>
    <n v="2"/>
    <n v="1.32"/>
    <n v="51.6"/>
    <n v="7843.2"/>
  </r>
  <r>
    <x v="1"/>
    <x v="0"/>
    <x v="1"/>
    <n v="145"/>
    <n v="9"/>
    <n v="6.21"/>
    <n v="5.98"/>
    <n v="867.1"/>
  </r>
  <r>
    <x v="1"/>
    <x v="0"/>
    <x v="2"/>
    <n v="247"/>
    <n v="15"/>
    <n v="6.07"/>
    <n v="30.64"/>
    <n v="7568.08"/>
  </r>
  <r>
    <x v="0"/>
    <x v="0"/>
    <x v="2"/>
    <n v="292"/>
    <n v="11"/>
    <n v="3.77"/>
    <n v="49.63"/>
    <n v="14491.96"/>
  </r>
  <r>
    <x v="0"/>
    <x v="0"/>
    <x v="0"/>
    <n v="122"/>
    <n v="1"/>
    <n v="0.82"/>
    <n v="61.82"/>
    <n v="7542.04"/>
  </r>
  <r>
    <x v="1"/>
    <x v="0"/>
    <x v="1"/>
    <n v="103"/>
    <n v="8"/>
    <n v="7.77"/>
    <n v="50.32"/>
    <n v="5182.96"/>
  </r>
  <r>
    <x v="1"/>
    <x v="0"/>
    <x v="2"/>
    <n v="143"/>
    <n v="2"/>
    <n v="1.4"/>
    <n v="21.52"/>
    <n v="3077.36"/>
  </r>
  <r>
    <x v="0"/>
    <x v="0"/>
    <x v="0"/>
    <n v="64"/>
    <n v="5"/>
    <n v="7.81"/>
    <n v="55.54"/>
    <n v="3554.56"/>
  </r>
  <r>
    <x v="0"/>
    <x v="0"/>
    <x v="0"/>
    <n v="128"/>
    <n v="2"/>
    <n v="1.56"/>
    <n v="51.86"/>
    <n v="6638.08"/>
  </r>
  <r>
    <x v="2"/>
    <x v="0"/>
    <x v="2"/>
    <n v="282"/>
    <n v="20"/>
    <n v="7.09"/>
    <n v="31.45"/>
    <n v="8868.9"/>
  </r>
  <r>
    <x v="1"/>
    <x v="0"/>
    <x v="2"/>
    <n v="166"/>
    <n v="6"/>
    <n v="3.61"/>
    <n v="21.08"/>
    <n v="3499.28"/>
  </r>
  <r>
    <x v="3"/>
    <x v="0"/>
    <x v="2"/>
    <n v="225"/>
    <n v="6"/>
    <n v="2.67"/>
    <n v="27.37"/>
    <n v="6158.25"/>
  </r>
  <r>
    <x v="0"/>
    <x v="0"/>
    <x v="2"/>
    <n v="61"/>
    <n v="1"/>
    <n v="1.64"/>
    <n v="21.87"/>
    <n v="1334.07"/>
  </r>
  <r>
    <x v="2"/>
    <x v="0"/>
    <x v="2"/>
    <n v="134"/>
    <n v="0"/>
    <n v="0"/>
    <n v="26.01"/>
    <n v="3485.34"/>
  </r>
  <r>
    <x v="0"/>
    <x v="0"/>
    <x v="0"/>
    <n v="235"/>
    <n v="19"/>
    <n v="8.09"/>
    <n v="18.559999999999999"/>
    <n v="4361.6000000000004"/>
  </r>
  <r>
    <x v="1"/>
    <x v="0"/>
    <x v="2"/>
    <n v="268"/>
    <n v="0"/>
    <n v="0"/>
    <n v="41.13"/>
    <n v="11022.84"/>
  </r>
  <r>
    <x v="1"/>
    <x v="0"/>
    <x v="2"/>
    <n v="285"/>
    <n v="17"/>
    <n v="5.96"/>
    <n v="59.65"/>
    <n v="17000.25"/>
  </r>
  <r>
    <x v="1"/>
    <x v="0"/>
    <x v="1"/>
    <n v="191"/>
    <n v="2"/>
    <n v="1.05"/>
    <n v="42.16"/>
    <n v="8052.56"/>
  </r>
  <r>
    <x v="0"/>
    <x v="0"/>
    <x v="0"/>
    <n v="211"/>
    <n v="3"/>
    <n v="1.42"/>
    <n v="17.47"/>
    <n v="3686.17"/>
  </r>
  <r>
    <x v="0"/>
    <x v="0"/>
    <x v="2"/>
    <n v="250"/>
    <n v="19"/>
    <n v="7.6"/>
    <n v="65.900000000000006"/>
    <n v="16475"/>
  </r>
  <r>
    <x v="0"/>
    <x v="0"/>
    <x v="0"/>
    <n v="96"/>
    <n v="1"/>
    <n v="1.04"/>
    <n v="13.15"/>
    <n v="1262.4000000000001"/>
  </r>
  <r>
    <x v="3"/>
    <x v="0"/>
    <x v="2"/>
    <n v="225"/>
    <n v="12"/>
    <n v="5.33"/>
    <n v="7.97"/>
    <n v="1793.25"/>
  </r>
  <r>
    <x v="1"/>
    <x v="0"/>
    <x v="2"/>
    <n v="207"/>
    <n v="14"/>
    <n v="6.76"/>
    <n v="37.979999999999997"/>
    <n v="7861.86"/>
  </r>
  <r>
    <x v="1"/>
    <x v="0"/>
    <x v="2"/>
    <n v="271"/>
    <n v="20"/>
    <n v="7.38"/>
    <n v="7.99"/>
    <n v="2165.29"/>
  </r>
  <r>
    <x v="3"/>
    <x v="0"/>
    <x v="2"/>
    <n v="221"/>
    <n v="3"/>
    <n v="1.36"/>
    <n v="16.48"/>
    <n v="3642.08"/>
  </r>
  <r>
    <x v="0"/>
    <x v="0"/>
    <x v="0"/>
    <n v="169"/>
    <n v="13"/>
    <n v="7.69"/>
    <n v="51.03"/>
    <n v="8624.07"/>
  </r>
  <r>
    <x v="1"/>
    <x v="0"/>
    <x v="1"/>
    <n v="285"/>
    <n v="17"/>
    <n v="5.96"/>
    <n v="19.05"/>
    <n v="5429.25"/>
  </r>
  <r>
    <x v="3"/>
    <x v="0"/>
    <x v="2"/>
    <n v="236"/>
    <n v="2"/>
    <n v="0.85"/>
    <n v="59.34"/>
    <n v="14004.24"/>
  </r>
  <r>
    <x v="2"/>
    <x v="0"/>
    <x v="2"/>
    <n v="241"/>
    <n v="15"/>
    <n v="6.22"/>
    <n v="69.319999999999993"/>
    <n v="16706.12"/>
  </r>
  <r>
    <x v="0"/>
    <x v="0"/>
    <x v="2"/>
    <n v="108"/>
    <n v="9"/>
    <n v="8.33"/>
    <n v="30.79"/>
    <n v="3325.32"/>
  </r>
  <r>
    <x v="1"/>
    <x v="0"/>
    <x v="1"/>
    <n v="186"/>
    <n v="9"/>
    <n v="4.84"/>
    <n v="20.41"/>
    <n v="3796.26"/>
  </r>
  <r>
    <x v="0"/>
    <x v="0"/>
    <x v="2"/>
    <n v="246"/>
    <n v="22"/>
    <n v="8.94"/>
    <n v="69.66"/>
    <n v="17136.36"/>
  </r>
  <r>
    <x v="3"/>
    <x v="0"/>
    <x v="2"/>
    <n v="224"/>
    <n v="2"/>
    <n v="0.89"/>
    <n v="45.45"/>
    <n v="10180.799999999999"/>
  </r>
  <r>
    <x v="1"/>
    <x v="0"/>
    <x v="1"/>
    <n v="275"/>
    <n v="9"/>
    <n v="3.27"/>
    <n v="17.38"/>
    <n v="4779.5"/>
  </r>
  <r>
    <x v="1"/>
    <x v="0"/>
    <x v="2"/>
    <n v="217"/>
    <n v="0"/>
    <n v="0"/>
    <n v="59.07"/>
    <n v="12818.19"/>
  </r>
  <r>
    <x v="0"/>
    <x v="0"/>
    <x v="0"/>
    <n v="106"/>
    <n v="2"/>
    <n v="1.89"/>
    <n v="50.63"/>
    <n v="5366.78"/>
  </r>
  <r>
    <x v="1"/>
    <x v="0"/>
    <x v="1"/>
    <n v="147"/>
    <n v="10"/>
    <n v="6.8"/>
    <n v="13.6"/>
    <n v="1999.2"/>
  </r>
  <r>
    <x v="0"/>
    <x v="0"/>
    <x v="0"/>
    <n v="233"/>
    <n v="7"/>
    <n v="3"/>
    <n v="17.350000000000001"/>
    <n v="4042.55"/>
  </r>
  <r>
    <x v="3"/>
    <x v="0"/>
    <x v="2"/>
    <n v="276"/>
    <n v="7"/>
    <n v="2.54"/>
    <n v="67.3"/>
    <n v="18574.8"/>
  </r>
  <r>
    <x v="0"/>
    <x v="0"/>
    <x v="2"/>
    <n v="227"/>
    <n v="17"/>
    <n v="7.49"/>
    <n v="16.53"/>
    <n v="3752.31"/>
  </r>
  <r>
    <x v="0"/>
    <x v="0"/>
    <x v="0"/>
    <n v="92"/>
    <n v="8"/>
    <n v="8.6999999999999993"/>
    <n v="61.59"/>
    <n v="5666.28"/>
  </r>
  <r>
    <x v="0"/>
    <x v="0"/>
    <x v="0"/>
    <n v="107"/>
    <n v="2"/>
    <n v="1.87"/>
    <n v="26.32"/>
    <n v="2816.24"/>
  </r>
  <r>
    <x v="1"/>
    <x v="0"/>
    <x v="1"/>
    <n v="90"/>
    <n v="7"/>
    <n v="7.78"/>
    <n v="57.52"/>
    <n v="5176.8"/>
  </r>
  <r>
    <x v="3"/>
    <x v="0"/>
    <x v="2"/>
    <n v="166"/>
    <n v="15"/>
    <n v="9.0399999999999991"/>
    <n v="55.79"/>
    <n v="9261.14"/>
  </r>
  <r>
    <x v="0"/>
    <x v="0"/>
    <x v="0"/>
    <n v="85"/>
    <n v="4"/>
    <n v="4.71"/>
    <n v="9.16"/>
    <n v="778.6"/>
  </r>
  <r>
    <x v="2"/>
    <x v="0"/>
    <x v="2"/>
    <n v="278"/>
    <n v="21"/>
    <n v="7.55"/>
    <n v="29.18"/>
    <n v="8112.04"/>
  </r>
  <r>
    <x v="1"/>
    <x v="0"/>
    <x v="1"/>
    <n v="174"/>
    <n v="3"/>
    <n v="1.72"/>
    <n v="17.149999999999999"/>
    <n v="2984.1"/>
  </r>
  <r>
    <x v="2"/>
    <x v="0"/>
    <x v="2"/>
    <n v="199"/>
    <n v="7"/>
    <n v="3.52"/>
    <n v="69.37"/>
    <n v="13804.63"/>
  </r>
  <r>
    <x v="3"/>
    <x v="0"/>
    <x v="2"/>
    <n v="189"/>
    <n v="14"/>
    <n v="7.41"/>
    <n v="18.89"/>
    <n v="3570.21"/>
  </r>
  <r>
    <x v="2"/>
    <x v="0"/>
    <x v="2"/>
    <n v="117"/>
    <n v="6"/>
    <n v="5.13"/>
    <n v="56.64"/>
    <n v="6626.88"/>
  </r>
  <r>
    <x v="0"/>
    <x v="0"/>
    <x v="0"/>
    <n v="235"/>
    <n v="2"/>
    <n v="0.85"/>
    <n v="51.54"/>
    <n v="12111.9"/>
  </r>
  <r>
    <x v="0"/>
    <x v="0"/>
    <x v="2"/>
    <n v="278"/>
    <n v="25"/>
    <n v="8.99"/>
    <n v="30.33"/>
    <n v="8431.74"/>
  </r>
  <r>
    <x v="1"/>
    <x v="0"/>
    <x v="2"/>
    <n v="235"/>
    <n v="3"/>
    <n v="1.28"/>
    <n v="29.01"/>
    <n v="6817.35"/>
  </r>
  <r>
    <x v="0"/>
    <x v="0"/>
    <x v="2"/>
    <n v="72"/>
    <n v="7"/>
    <n v="9.7200000000000006"/>
    <n v="26.27"/>
    <n v="1891.44"/>
  </r>
  <r>
    <x v="0"/>
    <x v="0"/>
    <x v="2"/>
    <n v="179"/>
    <n v="0"/>
    <n v="0"/>
    <n v="22.09"/>
    <n v="3954.11"/>
  </r>
  <r>
    <x v="3"/>
    <x v="0"/>
    <x v="2"/>
    <n v="292"/>
    <n v="21"/>
    <n v="7.19"/>
    <n v="9.09"/>
    <n v="2654.28"/>
  </r>
  <r>
    <x v="0"/>
    <x v="0"/>
    <x v="2"/>
    <n v="287"/>
    <n v="4"/>
    <n v="1.39"/>
    <n v="29.73"/>
    <n v="8532.51"/>
  </r>
  <r>
    <x v="2"/>
    <x v="0"/>
    <x v="2"/>
    <n v="90"/>
    <n v="7"/>
    <n v="7.78"/>
    <n v="46.22"/>
    <n v="4159.8"/>
  </r>
  <r>
    <x v="1"/>
    <x v="0"/>
    <x v="2"/>
    <n v="165"/>
    <n v="6"/>
    <n v="3.64"/>
    <n v="26.82"/>
    <n v="4425.3"/>
  </r>
  <r>
    <x v="0"/>
    <x v="0"/>
    <x v="2"/>
    <n v="109"/>
    <n v="0"/>
    <n v="0"/>
    <n v="29.99"/>
    <n v="3268.91"/>
  </r>
  <r>
    <x v="3"/>
    <x v="0"/>
    <x v="2"/>
    <n v="79"/>
    <n v="5"/>
    <n v="6.33"/>
    <n v="35.28"/>
    <n v="2787.12"/>
  </r>
  <r>
    <x v="3"/>
    <x v="0"/>
    <x v="2"/>
    <n v="296"/>
    <n v="9"/>
    <n v="3.04"/>
    <n v="12.56"/>
    <n v="3717.76"/>
  </r>
  <r>
    <x v="2"/>
    <x v="0"/>
    <x v="2"/>
    <n v="111"/>
    <n v="0"/>
    <n v="0"/>
    <n v="40.47"/>
    <n v="4492.17"/>
  </r>
  <r>
    <x v="2"/>
    <x v="0"/>
    <x v="2"/>
    <n v="288"/>
    <n v="28"/>
    <n v="9.7200000000000006"/>
    <n v="41.73"/>
    <n v="12018.24"/>
  </r>
  <r>
    <x v="1"/>
    <x v="0"/>
    <x v="1"/>
    <n v="225"/>
    <n v="10"/>
    <n v="4.4400000000000004"/>
    <n v="22.88"/>
    <n v="5148"/>
  </r>
  <r>
    <x v="0"/>
    <x v="0"/>
    <x v="2"/>
    <n v="270"/>
    <n v="27"/>
    <n v="10"/>
    <n v="21.66"/>
    <n v="5848.2"/>
  </r>
  <r>
    <x v="3"/>
    <x v="0"/>
    <x v="2"/>
    <n v="177"/>
    <n v="14"/>
    <n v="7.91"/>
    <n v="40.799999999999997"/>
    <n v="7221.6"/>
  </r>
  <r>
    <x v="1"/>
    <x v="0"/>
    <x v="2"/>
    <n v="128"/>
    <n v="11"/>
    <n v="8.59"/>
    <n v="57.72"/>
    <n v="7388.16"/>
  </r>
  <r>
    <x v="1"/>
    <x v="0"/>
    <x v="2"/>
    <n v="124"/>
    <n v="12"/>
    <n v="9.68"/>
    <n v="55.83"/>
    <n v="6922.92"/>
  </r>
  <r>
    <x v="2"/>
    <x v="0"/>
    <x v="2"/>
    <n v="242"/>
    <n v="21"/>
    <n v="8.68"/>
    <n v="57.12"/>
    <n v="13823.04"/>
  </r>
  <r>
    <x v="1"/>
    <x v="0"/>
    <x v="2"/>
    <n v="170"/>
    <n v="11"/>
    <n v="6.47"/>
    <n v="36.35"/>
    <n v="6179.5"/>
  </r>
  <r>
    <x v="1"/>
    <x v="0"/>
    <x v="1"/>
    <n v="122"/>
    <n v="0"/>
    <n v="0"/>
    <n v="65.540000000000006"/>
    <n v="7995.88"/>
  </r>
  <r>
    <x v="2"/>
    <x v="0"/>
    <x v="2"/>
    <n v="285"/>
    <n v="8"/>
    <n v="2.81"/>
    <n v="21.84"/>
    <n v="6224.4"/>
  </r>
  <r>
    <x v="3"/>
    <x v="0"/>
    <x v="2"/>
    <n v="175"/>
    <n v="1"/>
    <n v="0.56999999999999995"/>
    <n v="19.510000000000002"/>
    <n v="3414.25"/>
  </r>
  <r>
    <x v="1"/>
    <x v="0"/>
    <x v="1"/>
    <n v="67"/>
    <n v="5"/>
    <n v="7.46"/>
    <n v="5.46"/>
    <n v="365.82"/>
  </r>
  <r>
    <x v="1"/>
    <x v="0"/>
    <x v="2"/>
    <n v="219"/>
    <n v="3"/>
    <n v="1.37"/>
    <n v="33.25"/>
    <n v="7281.75"/>
  </r>
  <r>
    <x v="0"/>
    <x v="0"/>
    <x v="0"/>
    <n v="122"/>
    <n v="0"/>
    <n v="0"/>
    <n v="32.299999999999997"/>
    <n v="3940.6"/>
  </r>
  <r>
    <x v="1"/>
    <x v="0"/>
    <x v="1"/>
    <n v="192"/>
    <n v="8"/>
    <n v="4.17"/>
    <n v="64.42"/>
    <n v="12368.64"/>
  </r>
  <r>
    <x v="1"/>
    <x v="0"/>
    <x v="1"/>
    <n v="167"/>
    <n v="15"/>
    <n v="8.98"/>
    <n v="6.53"/>
    <n v="1090.51"/>
  </r>
  <r>
    <x v="0"/>
    <x v="0"/>
    <x v="0"/>
    <n v="91"/>
    <n v="6"/>
    <n v="6.59"/>
    <n v="58.47"/>
    <n v="5320.77"/>
  </r>
  <r>
    <x v="3"/>
    <x v="0"/>
    <x v="2"/>
    <n v="123"/>
    <n v="0"/>
    <n v="0"/>
    <n v="9.3800000000000008"/>
    <n v="1153.74"/>
  </r>
  <r>
    <x v="2"/>
    <x v="0"/>
    <x v="2"/>
    <n v="125"/>
    <n v="8"/>
    <n v="6.4"/>
    <n v="31.31"/>
    <n v="3913.75"/>
  </r>
  <r>
    <x v="0"/>
    <x v="0"/>
    <x v="2"/>
    <n v="78"/>
    <n v="3"/>
    <n v="3.85"/>
    <n v="54.51"/>
    <n v="4251.78"/>
  </r>
  <r>
    <x v="3"/>
    <x v="0"/>
    <x v="2"/>
    <n v="292"/>
    <n v="6"/>
    <n v="2.0499999999999998"/>
    <n v="51"/>
    <n v="14892"/>
  </r>
  <r>
    <x v="0"/>
    <x v="0"/>
    <x v="2"/>
    <n v="280"/>
    <n v="23"/>
    <n v="8.2100000000000009"/>
    <n v="25.42"/>
    <n v="7117.6"/>
  </r>
  <r>
    <x v="0"/>
    <x v="0"/>
    <x v="2"/>
    <n v="117"/>
    <n v="8"/>
    <n v="6.84"/>
    <n v="30.04"/>
    <n v="3514.68"/>
  </r>
  <r>
    <x v="0"/>
    <x v="0"/>
    <x v="2"/>
    <n v="179"/>
    <n v="3"/>
    <n v="1.68"/>
    <n v="21.26"/>
    <n v="3805.54"/>
  </r>
  <r>
    <x v="3"/>
    <x v="0"/>
    <x v="2"/>
    <n v="225"/>
    <n v="4"/>
    <n v="1.78"/>
    <n v="22.97"/>
    <n v="5168.25"/>
  </r>
  <r>
    <x v="1"/>
    <x v="0"/>
    <x v="2"/>
    <n v="285"/>
    <n v="11"/>
    <n v="3.86"/>
    <n v="7.8"/>
    <n v="2223"/>
  </r>
  <r>
    <x v="1"/>
    <x v="0"/>
    <x v="1"/>
    <n v="51"/>
    <n v="4"/>
    <n v="7.84"/>
    <n v="34.729999999999997"/>
    <n v="1771.23"/>
  </r>
  <r>
    <x v="3"/>
    <x v="0"/>
    <x v="2"/>
    <n v="286"/>
    <n v="5"/>
    <n v="1.75"/>
    <n v="8.74"/>
    <n v="2499.64"/>
  </r>
  <r>
    <x v="1"/>
    <x v="0"/>
    <x v="2"/>
    <n v="203"/>
    <n v="20"/>
    <n v="9.85"/>
    <n v="64.819999999999993"/>
    <n v="13158.46"/>
  </r>
  <r>
    <x v="2"/>
    <x v="0"/>
    <x v="2"/>
    <n v="217"/>
    <n v="11"/>
    <n v="5.07"/>
    <n v="68.97"/>
    <n v="14966.49"/>
  </r>
  <r>
    <x v="1"/>
    <x v="0"/>
    <x v="1"/>
    <n v="54"/>
    <n v="2"/>
    <n v="3.7"/>
    <n v="25.7"/>
    <n v="1387.8"/>
  </r>
  <r>
    <x v="1"/>
    <x v="0"/>
    <x v="1"/>
    <n v="57"/>
    <n v="5"/>
    <n v="8.77"/>
    <n v="24.29"/>
    <n v="1384.53"/>
  </r>
  <r>
    <x v="0"/>
    <x v="0"/>
    <x v="2"/>
    <n v="229"/>
    <n v="6"/>
    <n v="2.62"/>
    <n v="56.28"/>
    <n v="12888.12"/>
  </r>
  <r>
    <x v="1"/>
    <x v="0"/>
    <x v="1"/>
    <n v="178"/>
    <n v="0"/>
    <n v="0"/>
    <n v="28.84"/>
    <n v="5133.5200000000004"/>
  </r>
  <r>
    <x v="1"/>
    <x v="0"/>
    <x v="2"/>
    <n v="116"/>
    <n v="5"/>
    <n v="4.3099999999999996"/>
    <n v="6.48"/>
    <n v="751.68"/>
  </r>
  <r>
    <x v="0"/>
    <x v="0"/>
    <x v="2"/>
    <n v="225"/>
    <n v="5"/>
    <n v="2.2200000000000002"/>
    <n v="34.94"/>
    <n v="7861.5"/>
  </r>
  <r>
    <x v="2"/>
    <x v="0"/>
    <x v="2"/>
    <n v="249"/>
    <n v="8"/>
    <n v="3.21"/>
    <n v="58.91"/>
    <n v="14668.59"/>
  </r>
  <r>
    <x v="0"/>
    <x v="0"/>
    <x v="2"/>
    <n v="104"/>
    <n v="8"/>
    <n v="7.69"/>
    <n v="45.19"/>
    <n v="4699.76"/>
  </r>
  <r>
    <x v="1"/>
    <x v="0"/>
    <x v="1"/>
    <n v="51"/>
    <n v="5"/>
    <n v="9.8000000000000007"/>
    <n v="39.04"/>
    <n v="1991.04"/>
  </r>
  <r>
    <x v="0"/>
    <x v="0"/>
    <x v="0"/>
    <n v="150"/>
    <n v="15"/>
    <n v="10"/>
    <n v="12.07"/>
    <n v="1810.5"/>
  </r>
  <r>
    <x v="1"/>
    <x v="0"/>
    <x v="1"/>
    <n v="238"/>
    <n v="21"/>
    <n v="8.82"/>
    <n v="64.11"/>
    <n v="15258.18"/>
  </r>
  <r>
    <x v="3"/>
    <x v="0"/>
    <x v="2"/>
    <n v="130"/>
    <n v="7"/>
    <n v="5.38"/>
    <n v="29.85"/>
    <n v="3880.5"/>
  </r>
  <r>
    <x v="2"/>
    <x v="0"/>
    <x v="2"/>
    <n v="235"/>
    <n v="11"/>
    <n v="4.68"/>
    <n v="42.99"/>
    <n v="10102.65"/>
  </r>
  <r>
    <x v="2"/>
    <x v="0"/>
    <x v="2"/>
    <n v="247"/>
    <n v="3"/>
    <n v="1.21"/>
    <n v="62.39"/>
    <n v="15410.33"/>
  </r>
  <r>
    <x v="2"/>
    <x v="0"/>
    <x v="2"/>
    <n v="251"/>
    <n v="11"/>
    <n v="4.38"/>
    <n v="67.010000000000005"/>
    <n v="16819.509999999998"/>
  </r>
  <r>
    <x v="1"/>
    <x v="0"/>
    <x v="2"/>
    <n v="110"/>
    <n v="1"/>
    <n v="0.91"/>
    <n v="16.190000000000001"/>
    <n v="1780.9"/>
  </r>
  <r>
    <x v="3"/>
    <x v="0"/>
    <x v="2"/>
    <n v="289"/>
    <n v="16"/>
    <n v="5.54"/>
    <n v="67.61"/>
    <n v="19539.29"/>
  </r>
  <r>
    <x v="1"/>
    <x v="0"/>
    <x v="2"/>
    <n v="115"/>
    <n v="9"/>
    <n v="7.83"/>
    <n v="61.77"/>
    <n v="7103.55"/>
  </r>
  <r>
    <x v="3"/>
    <x v="0"/>
    <x v="2"/>
    <n v="60"/>
    <n v="4"/>
    <n v="6.67"/>
    <n v="35.19"/>
    <n v="2111.4"/>
  </r>
  <r>
    <x v="1"/>
    <x v="0"/>
    <x v="1"/>
    <n v="175"/>
    <n v="0"/>
    <n v="0"/>
    <n v="28.96"/>
    <n v="5068"/>
  </r>
  <r>
    <x v="0"/>
    <x v="0"/>
    <x v="2"/>
    <n v="95"/>
    <n v="3"/>
    <n v="3.16"/>
    <n v="65.36"/>
    <n v="6209.2"/>
  </r>
  <r>
    <x v="2"/>
    <x v="0"/>
    <x v="2"/>
    <n v="201"/>
    <n v="11"/>
    <n v="5.47"/>
    <n v="44.05"/>
    <n v="8854.0499999999993"/>
  </r>
  <r>
    <x v="3"/>
    <x v="0"/>
    <x v="2"/>
    <n v="59"/>
    <n v="0"/>
    <n v="0"/>
    <n v="32.04"/>
    <n v="1890.36"/>
  </r>
  <r>
    <x v="2"/>
    <x v="0"/>
    <x v="2"/>
    <n v="177"/>
    <n v="16"/>
    <n v="9.0399999999999991"/>
    <n v="34.840000000000003"/>
    <n v="6166.68"/>
  </r>
  <r>
    <x v="1"/>
    <x v="0"/>
    <x v="1"/>
    <n v="266"/>
    <n v="20"/>
    <n v="7.52"/>
    <n v="19.07"/>
    <n v="5072.62"/>
  </r>
  <r>
    <x v="3"/>
    <x v="0"/>
    <x v="2"/>
    <n v="171"/>
    <n v="17"/>
    <n v="9.94"/>
    <n v="62.23"/>
    <n v="10641.33"/>
  </r>
  <r>
    <x v="2"/>
    <x v="0"/>
    <x v="2"/>
    <n v="177"/>
    <n v="14"/>
    <n v="7.91"/>
    <n v="49.14"/>
    <n v="8697.7800000000007"/>
  </r>
  <r>
    <x v="0"/>
    <x v="0"/>
    <x v="0"/>
    <n v="152"/>
    <n v="9"/>
    <n v="5.92"/>
    <n v="44.47"/>
    <n v="6759.44"/>
  </r>
  <r>
    <x v="1"/>
    <x v="0"/>
    <x v="2"/>
    <n v="284"/>
    <n v="21"/>
    <n v="7.39"/>
    <n v="69.7"/>
    <n v="19794.8"/>
  </r>
  <r>
    <x v="3"/>
    <x v="0"/>
    <x v="2"/>
    <n v="92"/>
    <n v="9"/>
    <n v="9.7799999999999994"/>
    <n v="12.85"/>
    <n v="1182.2"/>
  </r>
  <r>
    <x v="1"/>
    <x v="0"/>
    <x v="1"/>
    <n v="110"/>
    <n v="2"/>
    <n v="1.82"/>
    <n v="36.35"/>
    <n v="3998.5"/>
  </r>
  <r>
    <x v="1"/>
    <x v="0"/>
    <x v="1"/>
    <n v="134"/>
    <n v="5"/>
    <n v="3.73"/>
    <n v="5.05"/>
    <n v="676.7"/>
  </r>
  <r>
    <x v="0"/>
    <x v="0"/>
    <x v="0"/>
    <n v="174"/>
    <n v="5"/>
    <n v="2.87"/>
    <n v="58.86"/>
    <n v="10241.64"/>
  </r>
  <r>
    <x v="3"/>
    <x v="0"/>
    <x v="2"/>
    <n v="111"/>
    <n v="6"/>
    <n v="5.41"/>
    <n v="17.239999999999998"/>
    <n v="1913.64"/>
  </r>
  <r>
    <x v="1"/>
    <x v="0"/>
    <x v="2"/>
    <n v="210"/>
    <n v="6"/>
    <n v="2.86"/>
    <n v="7.77"/>
    <n v="1631.7"/>
  </r>
  <r>
    <x v="1"/>
    <x v="0"/>
    <x v="1"/>
    <n v="165"/>
    <n v="4"/>
    <n v="2.42"/>
    <n v="21.76"/>
    <n v="3590.4"/>
  </r>
  <r>
    <x v="3"/>
    <x v="0"/>
    <x v="2"/>
    <n v="162"/>
    <n v="9"/>
    <n v="5.56"/>
    <n v="67.510000000000005"/>
    <n v="10936.62"/>
  </r>
  <r>
    <x v="1"/>
    <x v="0"/>
    <x v="1"/>
    <n v="253"/>
    <n v="21"/>
    <n v="8.3000000000000007"/>
    <n v="37.159999999999997"/>
    <n v="9401.48"/>
  </r>
  <r>
    <x v="2"/>
    <x v="0"/>
    <x v="2"/>
    <n v="226"/>
    <n v="15"/>
    <n v="6.64"/>
    <n v="19.5"/>
    <n v="4407"/>
  </r>
  <r>
    <x v="1"/>
    <x v="0"/>
    <x v="1"/>
    <n v="155"/>
    <n v="0"/>
    <n v="0"/>
    <n v="64.739999999999995"/>
    <n v="10034.700000000001"/>
  </r>
  <r>
    <x v="2"/>
    <x v="0"/>
    <x v="2"/>
    <n v="150"/>
    <n v="6"/>
    <n v="4"/>
    <n v="38.65"/>
    <n v="5797.5"/>
  </r>
  <r>
    <x v="1"/>
    <x v="0"/>
    <x v="2"/>
    <n v="243"/>
    <n v="23"/>
    <n v="9.4700000000000006"/>
    <n v="55.86"/>
    <n v="13573.98"/>
  </r>
  <r>
    <x v="1"/>
    <x v="0"/>
    <x v="1"/>
    <n v="123"/>
    <n v="6"/>
    <n v="4.88"/>
    <n v="16.8"/>
    <n v="2066.4"/>
  </r>
  <r>
    <x v="3"/>
    <x v="0"/>
    <x v="2"/>
    <n v="150"/>
    <n v="1"/>
    <n v="0.67"/>
    <n v="16"/>
    <n v="2400"/>
  </r>
  <r>
    <x v="3"/>
    <x v="0"/>
    <x v="2"/>
    <n v="154"/>
    <n v="15"/>
    <n v="9.74"/>
    <n v="22.14"/>
    <n v="3409.56"/>
  </r>
  <r>
    <x v="0"/>
    <x v="0"/>
    <x v="0"/>
    <n v="173"/>
    <n v="1"/>
    <n v="0.57999999999999996"/>
    <n v="46.83"/>
    <n v="8101.59"/>
  </r>
  <r>
    <x v="1"/>
    <x v="0"/>
    <x v="2"/>
    <n v="179"/>
    <n v="3"/>
    <n v="1.68"/>
    <n v="17.190000000000001"/>
    <n v="3077.01"/>
  </r>
  <r>
    <x v="2"/>
    <x v="0"/>
    <x v="2"/>
    <n v="67"/>
    <n v="1"/>
    <n v="1.49"/>
    <n v="55.42"/>
    <n v="3713.14"/>
  </r>
  <r>
    <x v="2"/>
    <x v="0"/>
    <x v="2"/>
    <n v="113"/>
    <n v="2"/>
    <n v="1.77"/>
    <n v="18.079999999999998"/>
    <n v="2043.04"/>
  </r>
  <r>
    <x v="1"/>
    <x v="0"/>
    <x v="1"/>
    <n v="185"/>
    <n v="2"/>
    <n v="1.08"/>
    <n v="19.739999999999998"/>
    <n v="3651.9"/>
  </r>
  <r>
    <x v="0"/>
    <x v="0"/>
    <x v="2"/>
    <n v="109"/>
    <n v="5"/>
    <n v="4.59"/>
    <n v="14.13"/>
    <n v="1540.17"/>
  </r>
  <r>
    <x v="1"/>
    <x v="0"/>
    <x v="2"/>
    <n v="144"/>
    <n v="2"/>
    <n v="1.39"/>
    <n v="25.37"/>
    <n v="3653.28"/>
  </r>
  <r>
    <x v="3"/>
    <x v="0"/>
    <x v="2"/>
    <n v="128"/>
    <n v="11"/>
    <n v="8.59"/>
    <n v="36.33"/>
    <n v="4650.24"/>
  </r>
  <r>
    <x v="1"/>
    <x v="0"/>
    <x v="1"/>
    <n v="235"/>
    <n v="11"/>
    <n v="4.68"/>
    <n v="47.72"/>
    <n v="11214.2"/>
  </r>
  <r>
    <x v="3"/>
    <x v="0"/>
    <x v="2"/>
    <n v="293"/>
    <n v="26"/>
    <n v="8.8699999999999992"/>
    <n v="20.63"/>
    <n v="6044.59"/>
  </r>
  <r>
    <x v="1"/>
    <x v="0"/>
    <x v="1"/>
    <n v="220"/>
    <n v="1"/>
    <n v="0.45"/>
    <n v="64.27"/>
    <n v="14139.4"/>
  </r>
  <r>
    <x v="2"/>
    <x v="0"/>
    <x v="2"/>
    <n v="201"/>
    <n v="4"/>
    <n v="1.99"/>
    <n v="11.13"/>
    <n v="2237.13"/>
  </r>
  <r>
    <x v="1"/>
    <x v="0"/>
    <x v="2"/>
    <n v="240"/>
    <n v="23"/>
    <n v="9.58"/>
    <n v="55.4"/>
    <n v="13296"/>
  </r>
  <r>
    <x v="1"/>
    <x v="0"/>
    <x v="2"/>
    <n v="183"/>
    <n v="4"/>
    <n v="2.19"/>
    <n v="18.03"/>
    <n v="3299.49"/>
  </r>
  <r>
    <x v="3"/>
    <x v="0"/>
    <x v="2"/>
    <n v="253"/>
    <n v="23"/>
    <n v="9.09"/>
    <n v="11.93"/>
    <n v="3018.29"/>
  </r>
  <r>
    <x v="3"/>
    <x v="0"/>
    <x v="2"/>
    <n v="86"/>
    <n v="4"/>
    <n v="4.6500000000000004"/>
    <n v="63.37"/>
    <n v="5449.82"/>
  </r>
  <r>
    <x v="1"/>
    <x v="0"/>
    <x v="1"/>
    <n v="209"/>
    <n v="2"/>
    <n v="0.96"/>
    <n v="31.02"/>
    <n v="6483.18"/>
  </r>
  <r>
    <x v="3"/>
    <x v="0"/>
    <x v="2"/>
    <n v="110"/>
    <n v="10"/>
    <n v="9.09"/>
    <n v="23.39"/>
    <n v="2572.9"/>
  </r>
  <r>
    <x v="0"/>
    <x v="0"/>
    <x v="2"/>
    <n v="239"/>
    <n v="22"/>
    <n v="9.2100000000000009"/>
    <n v="12.04"/>
    <n v="2877.56"/>
  </r>
  <r>
    <x v="0"/>
    <x v="0"/>
    <x v="0"/>
    <n v="80"/>
    <n v="1"/>
    <n v="1.25"/>
    <n v="21.1"/>
    <n v="1688"/>
  </r>
  <r>
    <x v="1"/>
    <x v="0"/>
    <x v="2"/>
    <n v="178"/>
    <n v="1"/>
    <n v="0.56000000000000005"/>
    <n v="21.79"/>
    <n v="3878.62"/>
  </r>
  <r>
    <x v="2"/>
    <x v="0"/>
    <x v="2"/>
    <n v="114"/>
    <n v="9"/>
    <n v="7.89"/>
    <n v="21.53"/>
    <n v="2454.42"/>
  </r>
  <r>
    <x v="1"/>
    <x v="0"/>
    <x v="1"/>
    <n v="202"/>
    <n v="18"/>
    <n v="8.91"/>
    <n v="60.98"/>
    <n v="12317.96"/>
  </r>
  <r>
    <x v="2"/>
    <x v="0"/>
    <x v="2"/>
    <n v="190"/>
    <n v="2"/>
    <n v="1.05"/>
    <n v="54.34"/>
    <n v="10324.6"/>
  </r>
  <r>
    <x v="0"/>
    <x v="0"/>
    <x v="2"/>
    <n v="221"/>
    <n v="19"/>
    <n v="8.6"/>
    <n v="20.350000000000001"/>
    <n v="4497.3500000000004"/>
  </r>
  <r>
    <x v="1"/>
    <x v="0"/>
    <x v="1"/>
    <n v="239"/>
    <n v="5"/>
    <n v="2.09"/>
    <n v="23.47"/>
    <n v="5609.33"/>
  </r>
  <r>
    <x v="3"/>
    <x v="0"/>
    <x v="2"/>
    <n v="86"/>
    <n v="6"/>
    <n v="6.98"/>
    <n v="16.559999999999999"/>
    <n v="1424.16"/>
  </r>
  <r>
    <x v="1"/>
    <x v="0"/>
    <x v="2"/>
    <n v="270"/>
    <n v="9"/>
    <n v="3.33"/>
    <n v="57.09"/>
    <n v="15414.3"/>
  </r>
  <r>
    <x v="1"/>
    <x v="0"/>
    <x v="2"/>
    <n v="204"/>
    <n v="15"/>
    <n v="7.35"/>
    <n v="39.22"/>
    <n v="8000.88"/>
  </r>
  <r>
    <x v="1"/>
    <x v="0"/>
    <x v="2"/>
    <n v="169"/>
    <n v="1"/>
    <n v="0.59"/>
    <n v="68.77"/>
    <n v="11622.13"/>
  </r>
  <r>
    <x v="0"/>
    <x v="0"/>
    <x v="0"/>
    <n v="276"/>
    <n v="3"/>
    <n v="1.0900000000000001"/>
    <n v="69.010000000000005"/>
    <n v="19046.759999999998"/>
  </r>
  <r>
    <x v="0"/>
    <x v="0"/>
    <x v="0"/>
    <n v="151"/>
    <n v="12"/>
    <n v="7.95"/>
    <n v="42.51"/>
    <n v="6419.01"/>
  </r>
  <r>
    <x v="1"/>
    <x v="0"/>
    <x v="2"/>
    <n v="210"/>
    <n v="2"/>
    <n v="0.95"/>
    <n v="5.76"/>
    <n v="1209.5999999999999"/>
  </r>
  <r>
    <x v="0"/>
    <x v="0"/>
    <x v="2"/>
    <n v="92"/>
    <n v="8"/>
    <n v="8.6999999999999993"/>
    <n v="12.61"/>
    <n v="1160.1199999999999"/>
  </r>
  <r>
    <x v="1"/>
    <x v="0"/>
    <x v="2"/>
    <n v="221"/>
    <n v="22"/>
    <n v="9.9499999999999993"/>
    <n v="22.6"/>
    <n v="4994.6000000000004"/>
  </r>
  <r>
    <x v="2"/>
    <x v="0"/>
    <x v="2"/>
    <n v="173"/>
    <n v="9"/>
    <n v="5.2"/>
    <n v="46.92"/>
    <n v="8117.16"/>
  </r>
  <r>
    <x v="1"/>
    <x v="0"/>
    <x v="2"/>
    <n v="255"/>
    <n v="5"/>
    <n v="1.96"/>
    <n v="54.41"/>
    <n v="13874.55"/>
  </r>
  <r>
    <x v="1"/>
    <x v="0"/>
    <x v="1"/>
    <n v="298"/>
    <n v="23"/>
    <n v="7.72"/>
    <n v="61.14"/>
    <n v="18219.72"/>
  </r>
  <r>
    <x v="0"/>
    <x v="0"/>
    <x v="0"/>
    <n v="226"/>
    <n v="12"/>
    <n v="5.31"/>
    <n v="29.33"/>
    <n v="6628.58"/>
  </r>
  <r>
    <x v="3"/>
    <x v="0"/>
    <x v="2"/>
    <n v="243"/>
    <n v="8"/>
    <n v="3.29"/>
    <n v="52.09"/>
    <n v="12657.87"/>
  </r>
  <r>
    <x v="2"/>
    <x v="0"/>
    <x v="2"/>
    <n v="146"/>
    <n v="6"/>
    <n v="4.1100000000000003"/>
    <n v="6.99"/>
    <n v="1020.54"/>
  </r>
  <r>
    <x v="3"/>
    <x v="0"/>
    <x v="2"/>
    <n v="124"/>
    <n v="10"/>
    <n v="8.06"/>
    <n v="46.36"/>
    <n v="5748.64"/>
  </r>
  <r>
    <x v="3"/>
    <x v="0"/>
    <x v="2"/>
    <n v="74"/>
    <n v="0"/>
    <n v="0"/>
    <n v="62.94"/>
    <n v="4657.5600000000004"/>
  </r>
  <r>
    <x v="0"/>
    <x v="0"/>
    <x v="0"/>
    <n v="92"/>
    <n v="9"/>
    <n v="9.7799999999999994"/>
    <n v="60.01"/>
    <n v="5520.92"/>
  </r>
  <r>
    <x v="2"/>
    <x v="0"/>
    <x v="2"/>
    <n v="295"/>
    <n v="24"/>
    <n v="8.14"/>
    <n v="55.84"/>
    <n v="16472.8"/>
  </r>
  <r>
    <x v="2"/>
    <x v="0"/>
    <x v="2"/>
    <n v="241"/>
    <n v="2"/>
    <n v="0.83"/>
    <n v="11.82"/>
    <n v="2848.62"/>
  </r>
  <r>
    <x v="0"/>
    <x v="0"/>
    <x v="0"/>
    <n v="53"/>
    <n v="4"/>
    <n v="7.55"/>
    <n v="69.319999999999993"/>
    <n v="3673.96"/>
  </r>
  <r>
    <x v="1"/>
    <x v="0"/>
    <x v="2"/>
    <n v="146"/>
    <n v="4"/>
    <n v="2.74"/>
    <n v="42.25"/>
    <n v="6168.5"/>
  </r>
  <r>
    <x v="2"/>
    <x v="0"/>
    <x v="2"/>
    <n v="81"/>
    <n v="8"/>
    <n v="9.8800000000000008"/>
    <n v="43.84"/>
    <n v="3551.04"/>
  </r>
  <r>
    <x v="1"/>
    <x v="0"/>
    <x v="2"/>
    <n v="54"/>
    <n v="5"/>
    <n v="9.26"/>
    <n v="48.21"/>
    <n v="2603.34"/>
  </r>
  <r>
    <x v="2"/>
    <x v="0"/>
    <x v="2"/>
    <n v="251"/>
    <n v="11"/>
    <n v="4.38"/>
    <n v="36.44"/>
    <n v="9146.44"/>
  </r>
  <r>
    <x v="0"/>
    <x v="0"/>
    <x v="2"/>
    <n v="159"/>
    <n v="7"/>
    <n v="4.4000000000000004"/>
    <n v="53.1"/>
    <n v="8442.9"/>
  </r>
  <r>
    <x v="1"/>
    <x v="0"/>
    <x v="1"/>
    <n v="235"/>
    <n v="20"/>
    <n v="8.51"/>
    <n v="68.55"/>
    <n v="16109.25"/>
  </r>
  <r>
    <x v="1"/>
    <x v="0"/>
    <x v="1"/>
    <n v="228"/>
    <n v="16"/>
    <n v="7.02"/>
    <n v="28.76"/>
    <n v="6557.28"/>
  </r>
  <r>
    <x v="3"/>
    <x v="0"/>
    <x v="2"/>
    <n v="250"/>
    <n v="12"/>
    <n v="4.8"/>
    <n v="66.06"/>
    <n v="16515"/>
  </r>
  <r>
    <x v="1"/>
    <x v="0"/>
    <x v="1"/>
    <n v="217"/>
    <n v="20"/>
    <n v="9.2200000000000006"/>
    <n v="53.28"/>
    <n v="11561.76"/>
  </r>
  <r>
    <x v="0"/>
    <x v="0"/>
    <x v="2"/>
    <n v="262"/>
    <n v="5"/>
    <n v="1.91"/>
    <n v="10.61"/>
    <n v="2779.82"/>
  </r>
  <r>
    <x v="2"/>
    <x v="0"/>
    <x v="2"/>
    <n v="170"/>
    <n v="13"/>
    <n v="7.65"/>
    <n v="66.81"/>
    <n v="11357.7"/>
  </r>
  <r>
    <x v="0"/>
    <x v="0"/>
    <x v="2"/>
    <n v="192"/>
    <n v="15"/>
    <n v="7.81"/>
    <n v="60.83"/>
    <n v="11679.36"/>
  </r>
  <r>
    <x v="0"/>
    <x v="0"/>
    <x v="2"/>
    <n v="70"/>
    <n v="5"/>
    <n v="7.14"/>
    <n v="20.350000000000001"/>
    <n v="1424.5"/>
  </r>
  <r>
    <x v="3"/>
    <x v="0"/>
    <x v="2"/>
    <n v="154"/>
    <n v="4"/>
    <n v="2.6"/>
    <n v="21.34"/>
    <n v="3286.36"/>
  </r>
  <r>
    <x v="1"/>
    <x v="0"/>
    <x v="2"/>
    <n v="225"/>
    <n v="15"/>
    <n v="6.67"/>
    <n v="21.21"/>
    <n v="4772.25"/>
  </r>
  <r>
    <x v="0"/>
    <x v="0"/>
    <x v="2"/>
    <n v="65"/>
    <n v="3"/>
    <n v="4.62"/>
    <n v="45.03"/>
    <n v="2926.95"/>
  </r>
  <r>
    <x v="1"/>
    <x v="0"/>
    <x v="2"/>
    <n v="139"/>
    <n v="3"/>
    <n v="2.16"/>
    <n v="14.62"/>
    <n v="2032.18"/>
  </r>
  <r>
    <x v="1"/>
    <x v="0"/>
    <x v="1"/>
    <n v="200"/>
    <n v="7"/>
    <n v="3.5"/>
    <n v="8.74"/>
    <n v="1748"/>
  </r>
  <r>
    <x v="3"/>
    <x v="0"/>
    <x v="2"/>
    <n v="94"/>
    <n v="0"/>
    <n v="0"/>
    <n v="14.6"/>
    <n v="1372.4"/>
  </r>
  <r>
    <x v="0"/>
    <x v="0"/>
    <x v="2"/>
    <n v="228"/>
    <n v="14"/>
    <n v="6.14"/>
    <n v="44.7"/>
    <n v="10191.6"/>
  </r>
  <r>
    <x v="1"/>
    <x v="0"/>
    <x v="2"/>
    <n v="184"/>
    <n v="11"/>
    <n v="5.98"/>
    <n v="29.92"/>
    <n v="5505.28"/>
  </r>
  <r>
    <x v="3"/>
    <x v="0"/>
    <x v="2"/>
    <n v="223"/>
    <n v="14"/>
    <n v="6.28"/>
    <n v="25.9"/>
    <n v="5775.7"/>
  </r>
  <r>
    <x v="1"/>
    <x v="0"/>
    <x v="1"/>
    <n v="275"/>
    <n v="17"/>
    <n v="6.18"/>
    <n v="22.87"/>
    <n v="6289.25"/>
  </r>
  <r>
    <x v="0"/>
    <x v="0"/>
    <x v="2"/>
    <n v="126"/>
    <n v="5"/>
    <n v="3.97"/>
    <n v="66.97"/>
    <n v="8438.2199999999993"/>
  </r>
  <r>
    <x v="0"/>
    <x v="0"/>
    <x v="2"/>
    <n v="74"/>
    <n v="3"/>
    <n v="4.05"/>
    <n v="30.23"/>
    <n v="2237.02"/>
  </r>
  <r>
    <x v="2"/>
    <x v="0"/>
    <x v="2"/>
    <n v="52"/>
    <n v="1"/>
    <n v="1.92"/>
    <n v="28.48"/>
    <n v="1480.96"/>
  </r>
  <r>
    <x v="0"/>
    <x v="0"/>
    <x v="2"/>
    <n v="231"/>
    <n v="14"/>
    <n v="6.06"/>
    <n v="50.56"/>
    <n v="11679.36"/>
  </r>
  <r>
    <x v="1"/>
    <x v="0"/>
    <x v="2"/>
    <n v="270"/>
    <n v="0"/>
    <n v="0"/>
    <n v="48.72"/>
    <n v="13154.4"/>
  </r>
  <r>
    <x v="2"/>
    <x v="0"/>
    <x v="2"/>
    <n v="237"/>
    <n v="8"/>
    <n v="3.38"/>
    <n v="50.34"/>
    <n v="11930.58"/>
  </r>
  <r>
    <x v="0"/>
    <x v="0"/>
    <x v="0"/>
    <n v="182"/>
    <n v="7"/>
    <n v="3.85"/>
    <n v="21.4"/>
    <n v="3894.8"/>
  </r>
  <r>
    <x v="1"/>
    <x v="0"/>
    <x v="1"/>
    <n v="294"/>
    <n v="6"/>
    <n v="2.04"/>
    <n v="67.02"/>
    <n v="19703.88"/>
  </r>
  <r>
    <x v="1"/>
    <x v="0"/>
    <x v="1"/>
    <n v="114"/>
    <n v="6"/>
    <n v="5.26"/>
    <n v="23.66"/>
    <n v="2697.24"/>
  </r>
  <r>
    <x v="1"/>
    <x v="0"/>
    <x v="1"/>
    <n v="286"/>
    <n v="25"/>
    <n v="8.74"/>
    <n v="36.119999999999997"/>
    <n v="10330.32"/>
  </r>
  <r>
    <x v="0"/>
    <x v="0"/>
    <x v="2"/>
    <n v="249"/>
    <n v="7"/>
    <n v="2.81"/>
    <n v="69.95"/>
    <n v="17417.55"/>
  </r>
  <r>
    <x v="3"/>
    <x v="0"/>
    <x v="2"/>
    <n v="201"/>
    <n v="13"/>
    <n v="6.47"/>
    <n v="36.03"/>
    <n v="7242.03"/>
  </r>
  <r>
    <x v="1"/>
    <x v="0"/>
    <x v="2"/>
    <n v="80"/>
    <n v="2"/>
    <n v="2.5"/>
    <n v="63.57"/>
    <n v="5085.6000000000004"/>
  </r>
  <r>
    <x v="0"/>
    <x v="0"/>
    <x v="2"/>
    <n v="241"/>
    <n v="22"/>
    <n v="9.1300000000000008"/>
    <n v="52.99"/>
    <n v="12770.59"/>
  </r>
  <r>
    <x v="0"/>
    <x v="0"/>
    <x v="2"/>
    <n v="136"/>
    <n v="10"/>
    <n v="7.35"/>
    <n v="27.54"/>
    <n v="3745.44"/>
  </r>
  <r>
    <x v="0"/>
    <x v="0"/>
    <x v="0"/>
    <n v="245"/>
    <n v="9"/>
    <n v="3.67"/>
    <n v="65.73"/>
    <n v="16103.85"/>
  </r>
  <r>
    <x v="1"/>
    <x v="0"/>
    <x v="1"/>
    <n v="82"/>
    <n v="8"/>
    <n v="9.76"/>
    <n v="21.13"/>
    <n v="1732.66"/>
  </r>
  <r>
    <x v="1"/>
    <x v="0"/>
    <x v="1"/>
    <n v="125"/>
    <n v="12"/>
    <n v="9.6"/>
    <n v="32.35"/>
    <n v="4043.75"/>
  </r>
  <r>
    <x v="2"/>
    <x v="0"/>
    <x v="2"/>
    <n v="183"/>
    <n v="13"/>
    <n v="7.1"/>
    <n v="20.55"/>
    <n v="3760.65"/>
  </r>
  <r>
    <x v="1"/>
    <x v="0"/>
    <x v="2"/>
    <n v="122"/>
    <n v="1"/>
    <n v="0.82"/>
    <n v="24.75"/>
    <n v="3019.5"/>
  </r>
  <r>
    <x v="3"/>
    <x v="0"/>
    <x v="2"/>
    <n v="255"/>
    <n v="8"/>
    <n v="3.14"/>
    <n v="18.25"/>
    <n v="4653.75"/>
  </r>
  <r>
    <x v="0"/>
    <x v="0"/>
    <x v="2"/>
    <n v="199"/>
    <n v="8"/>
    <n v="4.0199999999999996"/>
    <n v="28.37"/>
    <n v="5645.63"/>
  </r>
  <r>
    <x v="3"/>
    <x v="0"/>
    <x v="2"/>
    <n v="115"/>
    <n v="4"/>
    <n v="3.48"/>
    <n v="30.7"/>
    <n v="3530.5"/>
  </r>
  <r>
    <x v="1"/>
    <x v="0"/>
    <x v="2"/>
    <n v="252"/>
    <n v="8"/>
    <n v="3.17"/>
    <n v="9.92"/>
    <n v="2499.84"/>
  </r>
  <r>
    <x v="0"/>
    <x v="0"/>
    <x v="2"/>
    <n v="258"/>
    <n v="22"/>
    <n v="8.5299999999999994"/>
    <n v="27.77"/>
    <n v="7164.66"/>
  </r>
  <r>
    <x v="0"/>
    <x v="0"/>
    <x v="2"/>
    <n v="130"/>
    <n v="4"/>
    <n v="3.08"/>
    <n v="57.27"/>
    <n v="7445.1"/>
  </r>
  <r>
    <x v="0"/>
    <x v="0"/>
    <x v="2"/>
    <n v="82"/>
    <n v="1"/>
    <n v="1.22"/>
    <n v="61.61"/>
    <n v="5052.0200000000004"/>
  </r>
  <r>
    <x v="1"/>
    <x v="0"/>
    <x v="2"/>
    <n v="133"/>
    <n v="0"/>
    <n v="0"/>
    <n v="42.32"/>
    <n v="5628.56"/>
  </r>
  <r>
    <x v="1"/>
    <x v="0"/>
    <x v="2"/>
    <n v="257"/>
    <n v="18"/>
    <n v="7"/>
    <n v="56.74"/>
    <n v="14582.18"/>
  </r>
  <r>
    <x v="1"/>
    <x v="0"/>
    <x v="1"/>
    <n v="151"/>
    <n v="12"/>
    <n v="7.95"/>
    <n v="68.849999999999994"/>
    <n v="10396.35"/>
  </r>
  <r>
    <x v="0"/>
    <x v="0"/>
    <x v="0"/>
    <n v="103"/>
    <n v="9"/>
    <n v="8.74"/>
    <n v="21.88"/>
    <n v="2253.64"/>
  </r>
  <r>
    <x v="0"/>
    <x v="0"/>
    <x v="2"/>
    <n v="137"/>
    <n v="11"/>
    <n v="8.0299999999999994"/>
    <n v="61.57"/>
    <n v="8435.09"/>
  </r>
  <r>
    <x v="1"/>
    <x v="0"/>
    <x v="1"/>
    <n v="160"/>
    <n v="4"/>
    <n v="2.5"/>
    <n v="21.64"/>
    <n v="3462.4"/>
  </r>
  <r>
    <x v="1"/>
    <x v="0"/>
    <x v="1"/>
    <n v="212"/>
    <n v="10"/>
    <n v="4.72"/>
    <n v="19.079999999999998"/>
    <n v="4044.96"/>
  </r>
  <r>
    <x v="0"/>
    <x v="0"/>
    <x v="2"/>
    <n v="76"/>
    <n v="0"/>
    <n v="0"/>
    <n v="54.54"/>
    <n v="4145.04"/>
  </r>
  <r>
    <x v="2"/>
    <x v="0"/>
    <x v="2"/>
    <n v="65"/>
    <n v="2"/>
    <n v="3.08"/>
    <n v="61.66"/>
    <n v="4007.9"/>
  </r>
  <r>
    <x v="3"/>
    <x v="0"/>
    <x v="2"/>
    <n v="56"/>
    <n v="1"/>
    <n v="1.79"/>
    <n v="27.8"/>
    <n v="1556.8"/>
  </r>
  <r>
    <x v="1"/>
    <x v="0"/>
    <x v="2"/>
    <n v="256"/>
    <n v="3"/>
    <n v="1.17"/>
    <n v="40.590000000000003"/>
    <n v="10391.040000000001"/>
  </r>
  <r>
    <x v="1"/>
    <x v="0"/>
    <x v="2"/>
    <n v="169"/>
    <n v="8"/>
    <n v="4.7300000000000004"/>
    <n v="21.16"/>
    <n v="3576.04"/>
  </r>
  <r>
    <x v="0"/>
    <x v="0"/>
    <x v="2"/>
    <n v="158"/>
    <n v="10"/>
    <n v="6.33"/>
    <n v="26.44"/>
    <n v="4177.5200000000004"/>
  </r>
  <r>
    <x v="0"/>
    <x v="0"/>
    <x v="0"/>
    <n v="79"/>
    <n v="1"/>
    <n v="1.27"/>
    <n v="9.32"/>
    <n v="736.28"/>
  </r>
  <r>
    <x v="2"/>
    <x v="0"/>
    <x v="2"/>
    <n v="165"/>
    <n v="5"/>
    <n v="3.03"/>
    <n v="24.46"/>
    <n v="4035.9"/>
  </r>
  <r>
    <x v="0"/>
    <x v="0"/>
    <x v="2"/>
    <n v="198"/>
    <n v="16"/>
    <n v="8.08"/>
    <n v="22.43"/>
    <n v="4441.1400000000003"/>
  </r>
  <r>
    <x v="1"/>
    <x v="0"/>
    <x v="1"/>
    <n v="175"/>
    <n v="8"/>
    <n v="4.57"/>
    <n v="11.4"/>
    <n v="1995"/>
  </r>
  <r>
    <x v="1"/>
    <x v="0"/>
    <x v="2"/>
    <n v="268"/>
    <n v="23"/>
    <n v="8.58"/>
    <n v="18"/>
    <n v="4824"/>
  </r>
  <r>
    <x v="3"/>
    <x v="0"/>
    <x v="2"/>
    <n v="285"/>
    <n v="14"/>
    <n v="4.91"/>
    <n v="34.85"/>
    <n v="9932.25"/>
  </r>
  <r>
    <x v="0"/>
    <x v="0"/>
    <x v="0"/>
    <n v="75"/>
    <n v="7"/>
    <n v="9.33"/>
    <n v="12.46"/>
    <n v="934.5"/>
  </r>
  <r>
    <x v="3"/>
    <x v="0"/>
    <x v="2"/>
    <n v="107"/>
    <n v="6"/>
    <n v="5.61"/>
    <n v="48.83"/>
    <n v="5224.8100000000004"/>
  </r>
  <r>
    <x v="0"/>
    <x v="0"/>
    <x v="2"/>
    <n v="215"/>
    <n v="1"/>
    <n v="0.47"/>
    <n v="10.93"/>
    <n v="2349.9499999999998"/>
  </r>
  <r>
    <x v="1"/>
    <x v="0"/>
    <x v="2"/>
    <n v="282"/>
    <n v="6"/>
    <n v="2.13"/>
    <n v="36.590000000000003"/>
    <n v="10318.379999999999"/>
  </r>
  <r>
    <x v="3"/>
    <x v="0"/>
    <x v="2"/>
    <n v="281"/>
    <n v="1"/>
    <n v="0.36"/>
    <n v="53.68"/>
    <n v="15084.08"/>
  </r>
  <r>
    <x v="1"/>
    <x v="0"/>
    <x v="1"/>
    <n v="93"/>
    <n v="3"/>
    <n v="3.23"/>
    <n v="69.06"/>
    <n v="6422.58"/>
  </r>
  <r>
    <x v="1"/>
    <x v="0"/>
    <x v="1"/>
    <n v="267"/>
    <n v="6"/>
    <n v="2.25"/>
    <n v="26.26"/>
    <n v="7011.42"/>
  </r>
  <r>
    <x v="2"/>
    <x v="0"/>
    <x v="2"/>
    <n v="277"/>
    <n v="7"/>
    <n v="2.5299999999999998"/>
    <n v="22"/>
    <n v="6094"/>
  </r>
  <r>
    <x v="1"/>
    <x v="0"/>
    <x v="2"/>
    <n v="113"/>
    <n v="1"/>
    <n v="0.88"/>
    <n v="68.14"/>
    <n v="7699.82"/>
  </r>
  <r>
    <x v="1"/>
    <x v="0"/>
    <x v="2"/>
    <n v="51"/>
    <n v="4"/>
    <n v="7.84"/>
    <n v="32.85"/>
    <n v="1675.35"/>
  </r>
  <r>
    <x v="0"/>
    <x v="0"/>
    <x v="0"/>
    <n v="238"/>
    <n v="3"/>
    <n v="1.26"/>
    <n v="39.909999999999997"/>
    <n v="9498.58"/>
  </r>
  <r>
    <x v="1"/>
    <x v="0"/>
    <x v="1"/>
    <n v="79"/>
    <n v="6"/>
    <n v="7.59"/>
    <n v="39.35"/>
    <n v="3108.65"/>
  </r>
  <r>
    <x v="0"/>
    <x v="0"/>
    <x v="0"/>
    <n v="293"/>
    <n v="6"/>
    <n v="2.0499999999999998"/>
    <n v="57.74"/>
    <n v="16917.82"/>
  </r>
  <r>
    <x v="0"/>
    <x v="0"/>
    <x v="2"/>
    <n v="78"/>
    <n v="5"/>
    <n v="6.41"/>
    <n v="26.14"/>
    <n v="2038.92"/>
  </r>
  <r>
    <x v="1"/>
    <x v="0"/>
    <x v="1"/>
    <n v="166"/>
    <n v="16"/>
    <n v="9.64"/>
    <n v="42.52"/>
    <n v="7058.32"/>
  </r>
  <r>
    <x v="3"/>
    <x v="0"/>
    <x v="2"/>
    <n v="295"/>
    <n v="5"/>
    <n v="1.69"/>
    <n v="10.039999999999999"/>
    <n v="2961.8"/>
  </r>
  <r>
    <x v="1"/>
    <x v="0"/>
    <x v="1"/>
    <n v="204"/>
    <n v="11"/>
    <n v="5.39"/>
    <n v="49.71"/>
    <n v="10140.84"/>
  </r>
  <r>
    <x v="1"/>
    <x v="0"/>
    <x v="1"/>
    <n v="82"/>
    <n v="1"/>
    <n v="1.22"/>
    <n v="25.11"/>
    <n v="2059.02"/>
  </r>
  <r>
    <x v="2"/>
    <x v="0"/>
    <x v="2"/>
    <n v="257"/>
    <n v="17"/>
    <n v="6.61"/>
    <n v="63.3"/>
    <n v="16268.1"/>
  </r>
  <r>
    <x v="0"/>
    <x v="0"/>
    <x v="2"/>
    <n v="227"/>
    <n v="0"/>
    <n v="0"/>
    <n v="44.92"/>
    <n v="10196.84"/>
  </r>
  <r>
    <x v="0"/>
    <x v="0"/>
    <x v="2"/>
    <n v="280"/>
    <n v="9"/>
    <n v="3.21"/>
    <n v="48.3"/>
    <n v="13524"/>
  </r>
  <r>
    <x v="3"/>
    <x v="0"/>
    <x v="2"/>
    <n v="225"/>
    <n v="0"/>
    <n v="0"/>
    <n v="54.17"/>
    <n v="12188.25"/>
  </r>
  <r>
    <x v="0"/>
    <x v="0"/>
    <x v="2"/>
    <n v="146"/>
    <n v="1"/>
    <n v="0.68"/>
    <n v="62.23"/>
    <n v="9085.58"/>
  </r>
  <r>
    <x v="0"/>
    <x v="0"/>
    <x v="2"/>
    <n v="150"/>
    <n v="8"/>
    <n v="5.33"/>
    <n v="65.95"/>
    <n v="9892.5"/>
  </r>
  <r>
    <x v="1"/>
    <x v="0"/>
    <x v="1"/>
    <n v="217"/>
    <n v="20"/>
    <n v="9.2200000000000006"/>
    <n v="26.17"/>
    <n v="5678.89"/>
  </r>
  <r>
    <x v="0"/>
    <x v="0"/>
    <x v="2"/>
    <n v="175"/>
    <n v="5"/>
    <n v="2.86"/>
    <n v="65.94"/>
    <n v="11539.5"/>
  </r>
  <r>
    <x v="3"/>
    <x v="0"/>
    <x v="2"/>
    <n v="99"/>
    <n v="6"/>
    <n v="6.06"/>
    <n v="9.1999999999999993"/>
    <n v="910.8"/>
  </r>
  <r>
    <x v="0"/>
    <x v="0"/>
    <x v="0"/>
    <n v="134"/>
    <n v="0"/>
    <n v="0"/>
    <n v="58.44"/>
    <n v="7830.96"/>
  </r>
  <r>
    <x v="3"/>
    <x v="0"/>
    <x v="2"/>
    <n v="297"/>
    <n v="0"/>
    <n v="0"/>
    <n v="53.1"/>
    <n v="15770.7"/>
  </r>
  <r>
    <x v="0"/>
    <x v="0"/>
    <x v="2"/>
    <n v="183"/>
    <n v="16"/>
    <n v="8.74"/>
    <n v="43.38"/>
    <n v="7938.54"/>
  </r>
  <r>
    <x v="0"/>
    <x v="0"/>
    <x v="2"/>
    <n v="171"/>
    <n v="5"/>
    <n v="2.92"/>
    <n v="66.959999999999994"/>
    <n v="11450.16"/>
  </r>
  <r>
    <x v="3"/>
    <x v="0"/>
    <x v="2"/>
    <n v="70"/>
    <n v="7"/>
    <n v="10"/>
    <n v="19.149999999999999"/>
    <n v="1340.5"/>
  </r>
  <r>
    <x v="0"/>
    <x v="0"/>
    <x v="2"/>
    <n v="142"/>
    <n v="4"/>
    <n v="2.82"/>
    <n v="7.15"/>
    <n v="1015.3"/>
  </r>
  <r>
    <x v="0"/>
    <x v="0"/>
    <x v="2"/>
    <n v="183"/>
    <n v="0"/>
    <n v="0"/>
    <n v="25.67"/>
    <n v="4697.6099999999997"/>
  </r>
  <r>
    <x v="3"/>
    <x v="0"/>
    <x v="2"/>
    <n v="255"/>
    <n v="16"/>
    <n v="6.27"/>
    <n v="9.77"/>
    <n v="2491.35"/>
  </r>
  <r>
    <x v="3"/>
    <x v="0"/>
    <x v="2"/>
    <n v="199"/>
    <n v="17"/>
    <n v="8.5399999999999991"/>
    <n v="10.37"/>
    <n v="2063.63"/>
  </r>
  <r>
    <x v="0"/>
    <x v="0"/>
    <x v="0"/>
    <n v="192"/>
    <n v="19"/>
    <n v="9.9"/>
    <n v="25.45"/>
    <n v="4886.3999999999996"/>
  </r>
  <r>
    <x v="3"/>
    <x v="0"/>
    <x v="2"/>
    <n v="104"/>
    <n v="0"/>
    <n v="0"/>
    <n v="32.64"/>
    <n v="3394.56"/>
  </r>
  <r>
    <x v="3"/>
    <x v="0"/>
    <x v="2"/>
    <n v="218"/>
    <n v="16"/>
    <n v="7.34"/>
    <n v="52.66"/>
    <n v="11479.88"/>
  </r>
  <r>
    <x v="0"/>
    <x v="0"/>
    <x v="0"/>
    <n v="196"/>
    <n v="8"/>
    <n v="4.08"/>
    <n v="61.82"/>
    <n v="12116.72"/>
  </r>
  <r>
    <x v="0"/>
    <x v="0"/>
    <x v="2"/>
    <n v="247"/>
    <n v="19"/>
    <n v="7.69"/>
    <n v="44.85"/>
    <n v="11077.95"/>
  </r>
  <r>
    <x v="0"/>
    <x v="0"/>
    <x v="2"/>
    <n v="96"/>
    <n v="8"/>
    <n v="8.33"/>
    <n v="32.9"/>
    <n v="3158.4"/>
  </r>
  <r>
    <x v="0"/>
    <x v="0"/>
    <x v="0"/>
    <n v="84"/>
    <n v="7"/>
    <n v="8.33"/>
    <n v="50.58"/>
    <n v="4248.72"/>
  </r>
  <r>
    <x v="2"/>
    <x v="0"/>
    <x v="2"/>
    <n v="111"/>
    <n v="0"/>
    <n v="0"/>
    <n v="12.54"/>
    <n v="1391.94"/>
  </r>
  <r>
    <x v="1"/>
    <x v="0"/>
    <x v="2"/>
    <n v="219"/>
    <n v="13"/>
    <n v="5.94"/>
    <n v="14.1"/>
    <n v="3087.9"/>
  </r>
  <r>
    <x v="0"/>
    <x v="0"/>
    <x v="2"/>
    <n v="142"/>
    <n v="5"/>
    <n v="3.52"/>
    <n v="64.680000000000007"/>
    <n v="9184.56"/>
  </r>
  <r>
    <x v="3"/>
    <x v="0"/>
    <x v="2"/>
    <n v="223"/>
    <n v="10"/>
    <n v="4.4800000000000004"/>
    <n v="11.74"/>
    <n v="2618.02"/>
  </r>
  <r>
    <x v="0"/>
    <x v="0"/>
    <x v="0"/>
    <n v="186"/>
    <n v="18"/>
    <n v="9.68"/>
    <n v="18.13"/>
    <n v="3372.18"/>
  </r>
  <r>
    <x v="1"/>
    <x v="0"/>
    <x v="1"/>
    <n v="145"/>
    <n v="2"/>
    <n v="1.38"/>
    <n v="25.99"/>
    <n v="3768.55"/>
  </r>
  <r>
    <x v="3"/>
    <x v="0"/>
    <x v="2"/>
    <n v="203"/>
    <n v="16"/>
    <n v="7.88"/>
    <n v="56.94"/>
    <n v="11558.82"/>
  </r>
  <r>
    <x v="1"/>
    <x v="0"/>
    <x v="2"/>
    <n v="197"/>
    <n v="4"/>
    <n v="2.0299999999999998"/>
    <n v="30.43"/>
    <n v="5994.71"/>
  </r>
  <r>
    <x v="0"/>
    <x v="0"/>
    <x v="2"/>
    <n v="151"/>
    <n v="15"/>
    <n v="9.93"/>
    <n v="21.99"/>
    <n v="3320.49"/>
  </r>
  <r>
    <x v="0"/>
    <x v="0"/>
    <x v="0"/>
    <n v="150"/>
    <n v="10"/>
    <n v="6.67"/>
    <n v="20.68"/>
    <n v="3102"/>
  </r>
  <r>
    <x v="0"/>
    <x v="0"/>
    <x v="2"/>
    <n v="148"/>
    <n v="1"/>
    <n v="0.68"/>
    <n v="32.96"/>
    <n v="4878.08"/>
  </r>
  <r>
    <x v="0"/>
    <x v="0"/>
    <x v="0"/>
    <n v="267"/>
    <n v="17"/>
    <n v="6.37"/>
    <n v="64.86"/>
    <n v="17317.62"/>
  </r>
  <r>
    <x v="0"/>
    <x v="0"/>
    <x v="2"/>
    <n v="150"/>
    <n v="13"/>
    <n v="8.67"/>
    <n v="25.8"/>
    <n v="3870"/>
  </r>
  <r>
    <x v="0"/>
    <x v="0"/>
    <x v="0"/>
    <n v="233"/>
    <n v="9"/>
    <n v="3.86"/>
    <n v="35.619999999999997"/>
    <n v="8299.4599999999991"/>
  </r>
  <r>
    <x v="0"/>
    <x v="0"/>
    <x v="2"/>
    <n v="249"/>
    <n v="14"/>
    <n v="5.62"/>
    <n v="21.13"/>
    <n v="5261.37"/>
  </r>
  <r>
    <x v="0"/>
    <x v="0"/>
    <x v="2"/>
    <n v="152"/>
    <n v="8"/>
    <n v="5.26"/>
    <n v="20.39"/>
    <n v="3099.28"/>
  </r>
  <r>
    <x v="1"/>
    <x v="0"/>
    <x v="2"/>
    <n v="250"/>
    <n v="15"/>
    <n v="6"/>
    <n v="34.159999999999997"/>
    <n v="8540"/>
  </r>
  <r>
    <x v="0"/>
    <x v="0"/>
    <x v="2"/>
    <n v="242"/>
    <n v="2"/>
    <n v="0.83"/>
    <n v="16.61"/>
    <n v="4019.62"/>
  </r>
  <r>
    <x v="1"/>
    <x v="0"/>
    <x v="1"/>
    <n v="50"/>
    <n v="3"/>
    <n v="6"/>
    <n v="62.14"/>
    <n v="3107"/>
  </r>
  <r>
    <x v="1"/>
    <x v="0"/>
    <x v="1"/>
    <n v="192"/>
    <n v="16"/>
    <n v="8.33"/>
    <n v="44.32"/>
    <n v="8509.44"/>
  </r>
  <r>
    <x v="0"/>
    <x v="0"/>
    <x v="2"/>
    <n v="267"/>
    <n v="12"/>
    <n v="4.49"/>
    <n v="42.61"/>
    <n v="11376.87"/>
  </r>
  <r>
    <x v="1"/>
    <x v="0"/>
    <x v="2"/>
    <n v="200"/>
    <n v="15"/>
    <n v="7.5"/>
    <n v="28.68"/>
    <n v="5736"/>
  </r>
  <r>
    <x v="1"/>
    <x v="0"/>
    <x v="1"/>
    <n v="58"/>
    <n v="0"/>
    <n v="0"/>
    <n v="12.35"/>
    <n v="716.3"/>
  </r>
  <r>
    <x v="1"/>
    <x v="0"/>
    <x v="2"/>
    <n v="275"/>
    <n v="24"/>
    <n v="8.73"/>
    <n v="38.11"/>
    <n v="10480.25"/>
  </r>
  <r>
    <x v="2"/>
    <x v="0"/>
    <x v="2"/>
    <n v="147"/>
    <n v="11"/>
    <n v="7.48"/>
    <n v="36.770000000000003"/>
    <n v="5405.19"/>
  </r>
  <r>
    <x v="1"/>
    <x v="0"/>
    <x v="2"/>
    <n v="293"/>
    <n v="29"/>
    <n v="9.9"/>
    <n v="23.07"/>
    <n v="6759.51"/>
  </r>
  <r>
    <x v="2"/>
    <x v="0"/>
    <x v="2"/>
    <n v="124"/>
    <n v="3"/>
    <n v="2.42"/>
    <n v="30.84"/>
    <n v="3824.16"/>
  </r>
  <r>
    <x v="3"/>
    <x v="0"/>
    <x v="2"/>
    <n v="146"/>
    <n v="5"/>
    <n v="3.42"/>
    <n v="47.1"/>
    <n v="6876.6"/>
  </r>
  <r>
    <x v="3"/>
    <x v="0"/>
    <x v="2"/>
    <n v="164"/>
    <n v="9"/>
    <n v="5.49"/>
    <n v="11.03"/>
    <n v="1808.92"/>
  </r>
  <r>
    <x v="3"/>
    <x v="0"/>
    <x v="2"/>
    <n v="78"/>
    <n v="0"/>
    <n v="0"/>
    <n v="52.95"/>
    <n v="4130.1000000000004"/>
  </r>
  <r>
    <x v="3"/>
    <x v="0"/>
    <x v="2"/>
    <n v="282"/>
    <n v="5"/>
    <n v="1.77"/>
    <n v="20.399999999999999"/>
    <n v="5752.8"/>
  </r>
  <r>
    <x v="3"/>
    <x v="0"/>
    <x v="2"/>
    <n v="287"/>
    <n v="19"/>
    <n v="6.62"/>
    <n v="42.95"/>
    <n v="12326.65"/>
  </r>
  <r>
    <x v="0"/>
    <x v="0"/>
    <x v="2"/>
    <n v="201"/>
    <n v="3"/>
    <n v="1.49"/>
    <n v="8.19"/>
    <n v="1646.19"/>
  </r>
  <r>
    <x v="1"/>
    <x v="0"/>
    <x v="1"/>
    <n v="200"/>
    <n v="9"/>
    <n v="4.5"/>
    <n v="40.5"/>
    <n v="8100"/>
  </r>
  <r>
    <x v="1"/>
    <x v="0"/>
    <x v="1"/>
    <n v="112"/>
    <n v="6"/>
    <n v="5.36"/>
    <n v="47.88"/>
    <n v="5362.56"/>
  </r>
  <r>
    <x v="3"/>
    <x v="0"/>
    <x v="2"/>
    <n v="136"/>
    <n v="10"/>
    <n v="7.35"/>
    <n v="31.49"/>
    <n v="4282.6400000000003"/>
  </r>
  <r>
    <x v="1"/>
    <x v="0"/>
    <x v="1"/>
    <n v="242"/>
    <n v="23"/>
    <n v="9.5"/>
    <n v="35.21"/>
    <n v="8520.82"/>
  </r>
  <r>
    <x v="0"/>
    <x v="0"/>
    <x v="0"/>
    <n v="193"/>
    <n v="14"/>
    <n v="7.25"/>
    <n v="51.92"/>
    <n v="10020.56"/>
  </r>
  <r>
    <x v="2"/>
    <x v="0"/>
    <x v="2"/>
    <n v="95"/>
    <n v="9"/>
    <n v="9.4700000000000006"/>
    <n v="58.82"/>
    <n v="5587.9"/>
  </r>
  <r>
    <x v="1"/>
    <x v="0"/>
    <x v="2"/>
    <n v="139"/>
    <n v="10"/>
    <n v="7.19"/>
    <n v="49.63"/>
    <n v="6898.57"/>
  </r>
  <r>
    <x v="0"/>
    <x v="0"/>
    <x v="0"/>
    <n v="130"/>
    <n v="9"/>
    <n v="6.92"/>
    <n v="64.11"/>
    <n v="8334.2999999999993"/>
  </r>
  <r>
    <x v="2"/>
    <x v="0"/>
    <x v="2"/>
    <n v="289"/>
    <n v="12"/>
    <n v="4.1500000000000004"/>
    <n v="16.25"/>
    <n v="4696.25"/>
  </r>
  <r>
    <x v="1"/>
    <x v="0"/>
    <x v="1"/>
    <n v="145"/>
    <n v="11"/>
    <n v="7.59"/>
    <n v="53.34"/>
    <n v="7734.3"/>
  </r>
  <r>
    <x v="0"/>
    <x v="0"/>
    <x v="0"/>
    <n v="174"/>
    <n v="5"/>
    <n v="2.87"/>
    <n v="56.34"/>
    <n v="9803.16"/>
  </r>
  <r>
    <x v="1"/>
    <x v="0"/>
    <x v="1"/>
    <n v="192"/>
    <n v="3"/>
    <n v="1.56"/>
    <n v="29.01"/>
    <n v="5569.92"/>
  </r>
  <r>
    <x v="1"/>
    <x v="0"/>
    <x v="1"/>
    <n v="192"/>
    <n v="3"/>
    <n v="1.56"/>
    <n v="51.55"/>
    <n v="9897.6"/>
  </r>
  <r>
    <x v="2"/>
    <x v="0"/>
    <x v="2"/>
    <n v="53"/>
    <n v="5"/>
    <n v="9.43"/>
    <n v="45.76"/>
    <n v="2425.2800000000002"/>
  </r>
  <r>
    <x v="0"/>
    <x v="0"/>
    <x v="0"/>
    <n v="249"/>
    <n v="0"/>
    <n v="0"/>
    <n v="27.37"/>
    <n v="6815.13"/>
  </r>
  <r>
    <x v="1"/>
    <x v="0"/>
    <x v="1"/>
    <n v="203"/>
    <n v="1"/>
    <n v="0.49"/>
    <n v="57.44"/>
    <n v="11660.32"/>
  </r>
  <r>
    <x v="1"/>
    <x v="0"/>
    <x v="1"/>
    <n v="76"/>
    <n v="2"/>
    <n v="2.63"/>
    <n v="33.4"/>
    <n v="2538.4"/>
  </r>
  <r>
    <x v="2"/>
    <x v="0"/>
    <x v="2"/>
    <n v="219"/>
    <n v="7"/>
    <n v="3.2"/>
    <n v="47.7"/>
    <n v="10446.299999999999"/>
  </r>
  <r>
    <x v="0"/>
    <x v="0"/>
    <x v="2"/>
    <n v="261"/>
    <n v="6"/>
    <n v="2.2999999999999998"/>
    <n v="60.48"/>
    <n v="15785.28"/>
  </r>
  <r>
    <x v="1"/>
    <x v="0"/>
    <x v="2"/>
    <n v="76"/>
    <n v="1"/>
    <n v="1.32"/>
    <n v="36.590000000000003"/>
    <n v="2780.84"/>
  </r>
  <r>
    <x v="1"/>
    <x v="0"/>
    <x v="2"/>
    <n v="220"/>
    <n v="1"/>
    <n v="0.45"/>
    <n v="56.75"/>
    <n v="12485"/>
  </r>
  <r>
    <x v="2"/>
    <x v="0"/>
    <x v="2"/>
    <n v="249"/>
    <n v="5"/>
    <n v="2.0099999999999998"/>
    <n v="47.34"/>
    <n v="11787.66"/>
  </r>
  <r>
    <x v="1"/>
    <x v="0"/>
    <x v="2"/>
    <n v="90"/>
    <n v="4"/>
    <n v="4.4400000000000004"/>
    <n v="57.64"/>
    <n v="5187.6000000000004"/>
  </r>
  <r>
    <x v="0"/>
    <x v="0"/>
    <x v="2"/>
    <n v="55"/>
    <n v="4"/>
    <n v="7.27"/>
    <n v="25.52"/>
    <n v="1403.6"/>
  </r>
  <r>
    <x v="1"/>
    <x v="0"/>
    <x v="2"/>
    <n v="290"/>
    <n v="2"/>
    <n v="0.69"/>
    <n v="49.99"/>
    <n v="14497.1"/>
  </r>
  <r>
    <x v="0"/>
    <x v="0"/>
    <x v="0"/>
    <n v="202"/>
    <n v="5"/>
    <n v="2.48"/>
    <n v="6.51"/>
    <n v="1315.02"/>
  </r>
  <r>
    <x v="2"/>
    <x v="0"/>
    <x v="2"/>
    <n v="202"/>
    <n v="13"/>
    <n v="6.44"/>
    <n v="28.61"/>
    <n v="5779.22"/>
  </r>
  <r>
    <x v="3"/>
    <x v="0"/>
    <x v="2"/>
    <n v="182"/>
    <n v="7"/>
    <n v="3.85"/>
    <n v="44.36"/>
    <n v="8073.52"/>
  </r>
  <r>
    <x v="2"/>
    <x v="0"/>
    <x v="2"/>
    <n v="203"/>
    <n v="5"/>
    <n v="2.46"/>
    <n v="10.34"/>
    <n v="2099.02"/>
  </r>
  <r>
    <x v="1"/>
    <x v="0"/>
    <x v="2"/>
    <n v="157"/>
    <n v="8"/>
    <n v="5.0999999999999996"/>
    <n v="7.57"/>
    <n v="1188.49"/>
  </r>
  <r>
    <x v="0"/>
    <x v="0"/>
    <x v="2"/>
    <n v="223"/>
    <n v="18"/>
    <n v="8.07"/>
    <n v="25.74"/>
    <n v="5740.02"/>
  </r>
  <r>
    <x v="0"/>
    <x v="0"/>
    <x v="0"/>
    <n v="252"/>
    <n v="2"/>
    <n v="0.79"/>
    <n v="34.33"/>
    <n v="8651.16"/>
  </r>
  <r>
    <x v="1"/>
    <x v="0"/>
    <x v="2"/>
    <n v="59"/>
    <n v="1"/>
    <n v="1.69"/>
    <n v="62.78"/>
    <n v="3704.02"/>
  </r>
  <r>
    <x v="0"/>
    <x v="0"/>
    <x v="0"/>
    <n v="145"/>
    <n v="3"/>
    <n v="2.0699999999999998"/>
    <n v="51.01"/>
    <n v="7396.45"/>
  </r>
  <r>
    <x v="3"/>
    <x v="0"/>
    <x v="2"/>
    <n v="76"/>
    <n v="2"/>
    <n v="2.63"/>
    <n v="54.53"/>
    <n v="4144.28"/>
  </r>
  <r>
    <x v="1"/>
    <x v="0"/>
    <x v="1"/>
    <n v="198"/>
    <n v="9"/>
    <n v="4.55"/>
    <n v="6.39"/>
    <n v="1265.22"/>
  </r>
  <r>
    <x v="3"/>
    <x v="0"/>
    <x v="2"/>
    <n v="247"/>
    <n v="3"/>
    <n v="1.21"/>
    <n v="20.04"/>
    <n v="4949.88"/>
  </r>
  <r>
    <x v="1"/>
    <x v="0"/>
    <x v="2"/>
    <n v="118"/>
    <n v="3"/>
    <n v="2.54"/>
    <n v="44.38"/>
    <n v="5236.84"/>
  </r>
  <r>
    <x v="2"/>
    <x v="0"/>
    <x v="2"/>
    <n v="71"/>
    <n v="3"/>
    <n v="4.2300000000000004"/>
    <n v="59.2"/>
    <n v="4203.2"/>
  </r>
  <r>
    <x v="0"/>
    <x v="0"/>
    <x v="2"/>
    <n v="204"/>
    <n v="15"/>
    <n v="7.35"/>
    <n v="61.44"/>
    <n v="12533.76"/>
  </r>
  <r>
    <x v="0"/>
    <x v="0"/>
    <x v="2"/>
    <n v="246"/>
    <n v="18"/>
    <n v="7.32"/>
    <n v="5.23"/>
    <n v="1286.58"/>
  </r>
  <r>
    <x v="0"/>
    <x v="0"/>
    <x v="0"/>
    <n v="255"/>
    <n v="14"/>
    <n v="5.49"/>
    <n v="65.67"/>
    <n v="16745.849999999999"/>
  </r>
  <r>
    <x v="3"/>
    <x v="0"/>
    <x v="2"/>
    <n v="173"/>
    <n v="7"/>
    <n v="4.05"/>
    <n v="8.82"/>
    <n v="1525.86"/>
  </r>
  <r>
    <x v="3"/>
    <x v="0"/>
    <x v="2"/>
    <n v="268"/>
    <n v="20"/>
    <n v="7.46"/>
    <n v="47.04"/>
    <n v="12606.72"/>
  </r>
  <r>
    <x v="1"/>
    <x v="0"/>
    <x v="2"/>
    <n v="261"/>
    <n v="23"/>
    <n v="8.81"/>
    <n v="62.92"/>
    <n v="16422.12"/>
  </r>
  <r>
    <x v="1"/>
    <x v="0"/>
    <x v="2"/>
    <n v="72"/>
    <n v="5"/>
    <n v="6.94"/>
    <n v="39.22"/>
    <n v="2823.84"/>
  </r>
  <r>
    <x v="1"/>
    <x v="0"/>
    <x v="1"/>
    <n v="170"/>
    <n v="11"/>
    <n v="6.47"/>
    <n v="43.17"/>
    <n v="7338.9"/>
  </r>
  <r>
    <x v="1"/>
    <x v="0"/>
    <x v="2"/>
    <n v="294"/>
    <n v="0"/>
    <n v="0"/>
    <n v="38.71"/>
    <n v="11380.74"/>
  </r>
  <r>
    <x v="2"/>
    <x v="0"/>
    <x v="2"/>
    <n v="144"/>
    <n v="9"/>
    <n v="6.25"/>
    <n v="40.75"/>
    <n v="5868"/>
  </r>
  <r>
    <x v="1"/>
    <x v="0"/>
    <x v="1"/>
    <n v="72"/>
    <n v="3"/>
    <n v="4.17"/>
    <n v="48.11"/>
    <n v="3463.92"/>
  </r>
  <r>
    <x v="2"/>
    <x v="0"/>
    <x v="2"/>
    <n v="85"/>
    <n v="2"/>
    <n v="2.35"/>
    <n v="13.56"/>
    <n v="1152.5999999999999"/>
  </r>
  <r>
    <x v="2"/>
    <x v="0"/>
    <x v="2"/>
    <n v="73"/>
    <n v="3"/>
    <n v="4.1100000000000003"/>
    <n v="32.43"/>
    <n v="2367.39"/>
  </r>
  <r>
    <x v="0"/>
    <x v="0"/>
    <x v="0"/>
    <n v="77"/>
    <n v="2"/>
    <n v="2.6"/>
    <n v="49.01"/>
    <n v="3773.77"/>
  </r>
  <r>
    <x v="1"/>
    <x v="0"/>
    <x v="2"/>
    <n v="268"/>
    <n v="14"/>
    <n v="5.22"/>
    <n v="47.3"/>
    <n v="12676.4"/>
  </r>
  <r>
    <x v="1"/>
    <x v="0"/>
    <x v="1"/>
    <n v="87"/>
    <n v="6"/>
    <n v="6.9"/>
    <n v="24"/>
    <n v="2088"/>
  </r>
  <r>
    <x v="3"/>
    <x v="0"/>
    <x v="2"/>
    <n v="222"/>
    <n v="6"/>
    <n v="2.7"/>
    <n v="63.48"/>
    <n v="14092.56"/>
  </r>
  <r>
    <x v="0"/>
    <x v="0"/>
    <x v="2"/>
    <n v="64"/>
    <n v="1"/>
    <n v="1.56"/>
    <n v="31.04"/>
    <n v="1986.56"/>
  </r>
  <r>
    <x v="2"/>
    <x v="0"/>
    <x v="2"/>
    <n v="167"/>
    <n v="2"/>
    <n v="1.2"/>
    <n v="41.63"/>
    <n v="6952.21"/>
  </r>
  <r>
    <x v="0"/>
    <x v="0"/>
    <x v="0"/>
    <n v="172"/>
    <n v="4"/>
    <n v="2.33"/>
    <n v="39.36"/>
    <n v="6769.92"/>
  </r>
  <r>
    <x v="1"/>
    <x v="0"/>
    <x v="1"/>
    <n v="240"/>
    <n v="24"/>
    <n v="10"/>
    <n v="18.46"/>
    <n v="4430.3999999999996"/>
  </r>
  <r>
    <x v="3"/>
    <x v="0"/>
    <x v="2"/>
    <n v="209"/>
    <n v="0"/>
    <n v="0"/>
    <n v="23.16"/>
    <n v="4840.4399999999996"/>
  </r>
  <r>
    <x v="0"/>
    <x v="0"/>
    <x v="0"/>
    <n v="103"/>
    <n v="2"/>
    <n v="1.94"/>
    <n v="32.82"/>
    <n v="3380.46"/>
  </r>
  <r>
    <x v="1"/>
    <x v="0"/>
    <x v="2"/>
    <n v="222"/>
    <n v="14"/>
    <n v="6.31"/>
    <n v="22.15"/>
    <n v="4917.3"/>
  </r>
  <r>
    <x v="0"/>
    <x v="0"/>
    <x v="2"/>
    <n v="135"/>
    <n v="0"/>
    <n v="0"/>
    <n v="39.770000000000003"/>
    <n v="5368.95"/>
  </r>
  <r>
    <x v="3"/>
    <x v="0"/>
    <x v="2"/>
    <n v="132"/>
    <n v="8"/>
    <n v="6.06"/>
    <n v="8.32"/>
    <n v="1098.24"/>
  </r>
  <r>
    <x v="0"/>
    <x v="0"/>
    <x v="0"/>
    <n v="237"/>
    <n v="4"/>
    <n v="1.69"/>
    <n v="25.78"/>
    <n v="6109.86"/>
  </r>
  <r>
    <x v="2"/>
    <x v="0"/>
    <x v="2"/>
    <n v="218"/>
    <n v="11"/>
    <n v="5.05"/>
    <n v="32.840000000000003"/>
    <n v="7159.12"/>
  </r>
  <r>
    <x v="0"/>
    <x v="0"/>
    <x v="2"/>
    <n v="197"/>
    <n v="11"/>
    <n v="5.58"/>
    <n v="32.42"/>
    <n v="6386.74"/>
  </r>
  <r>
    <x v="1"/>
    <x v="0"/>
    <x v="2"/>
    <n v="119"/>
    <n v="2"/>
    <n v="1.68"/>
    <n v="56.91"/>
    <n v="6772.29"/>
  </r>
  <r>
    <x v="0"/>
    <x v="0"/>
    <x v="2"/>
    <n v="181"/>
    <n v="11"/>
    <n v="6.08"/>
    <n v="55"/>
    <n v="9955"/>
  </r>
  <r>
    <x v="0"/>
    <x v="0"/>
    <x v="0"/>
    <n v="62"/>
    <n v="6"/>
    <n v="9.68"/>
    <n v="27.81"/>
    <n v="1724.22"/>
  </r>
  <r>
    <x v="3"/>
    <x v="0"/>
    <x v="2"/>
    <n v="168"/>
    <n v="13"/>
    <n v="7.74"/>
    <n v="50.37"/>
    <n v="8462.16"/>
  </r>
  <r>
    <x v="1"/>
    <x v="0"/>
    <x v="1"/>
    <n v="290"/>
    <n v="17"/>
    <n v="5.86"/>
    <n v="67.58"/>
    <n v="19598.2"/>
  </r>
  <r>
    <x v="0"/>
    <x v="0"/>
    <x v="0"/>
    <n v="188"/>
    <n v="11"/>
    <n v="5.85"/>
    <n v="63.58"/>
    <n v="11953.04"/>
  </r>
  <r>
    <x v="3"/>
    <x v="0"/>
    <x v="2"/>
    <n v="109"/>
    <n v="6"/>
    <n v="5.5"/>
    <n v="26.55"/>
    <n v="2893.95"/>
  </r>
  <r>
    <x v="3"/>
    <x v="0"/>
    <x v="2"/>
    <n v="55"/>
    <n v="4"/>
    <n v="7.27"/>
    <n v="23.81"/>
    <n v="1309.55"/>
  </r>
  <r>
    <x v="1"/>
    <x v="0"/>
    <x v="2"/>
    <n v="253"/>
    <n v="25"/>
    <n v="9.8800000000000008"/>
    <n v="31.29"/>
    <n v="7916.37"/>
  </r>
  <r>
    <x v="2"/>
    <x v="0"/>
    <x v="2"/>
    <n v="181"/>
    <n v="0"/>
    <n v="0"/>
    <n v="10.78"/>
    <n v="1951.18"/>
  </r>
  <r>
    <x v="0"/>
    <x v="0"/>
    <x v="0"/>
    <n v="138"/>
    <n v="7"/>
    <n v="5.07"/>
    <n v="47.63"/>
    <n v="6572.94"/>
  </r>
  <r>
    <x v="2"/>
    <x v="0"/>
    <x v="2"/>
    <n v="220"/>
    <n v="16"/>
    <n v="7.27"/>
    <n v="51.35"/>
    <n v="11297"/>
  </r>
  <r>
    <x v="1"/>
    <x v="0"/>
    <x v="1"/>
    <n v="102"/>
    <n v="4"/>
    <n v="3.92"/>
    <n v="35.869999999999997"/>
    <n v="3658.74"/>
  </r>
  <r>
    <x v="1"/>
    <x v="0"/>
    <x v="1"/>
    <n v="155"/>
    <n v="8"/>
    <n v="5.16"/>
    <n v="47.01"/>
    <n v="7286.55"/>
  </r>
  <r>
    <x v="2"/>
    <x v="0"/>
    <x v="2"/>
    <n v="260"/>
    <n v="6"/>
    <n v="2.31"/>
    <n v="63.38"/>
    <n v="16478.8"/>
  </r>
  <r>
    <x v="1"/>
    <x v="0"/>
    <x v="2"/>
    <n v="267"/>
    <n v="24"/>
    <n v="8.99"/>
    <n v="67.34"/>
    <n v="17979.78"/>
  </r>
  <r>
    <x v="1"/>
    <x v="0"/>
    <x v="1"/>
    <n v="113"/>
    <n v="7"/>
    <n v="6.19"/>
    <n v="47.85"/>
    <n v="5407.05"/>
  </r>
  <r>
    <x v="1"/>
    <x v="0"/>
    <x v="1"/>
    <n v="208"/>
    <n v="16"/>
    <n v="7.69"/>
    <n v="14.94"/>
    <n v="3107.52"/>
  </r>
  <r>
    <x v="2"/>
    <x v="0"/>
    <x v="2"/>
    <n v="82"/>
    <n v="6"/>
    <n v="7.32"/>
    <n v="28.17"/>
    <n v="2309.94"/>
  </r>
  <r>
    <x v="1"/>
    <x v="0"/>
    <x v="1"/>
    <n v="290"/>
    <n v="21"/>
    <n v="7.24"/>
    <n v="22.27"/>
    <n v="6458.3"/>
  </r>
  <r>
    <x v="3"/>
    <x v="0"/>
    <x v="2"/>
    <n v="220"/>
    <n v="17"/>
    <n v="7.73"/>
    <n v="26.65"/>
    <n v="5863"/>
  </r>
  <r>
    <x v="1"/>
    <x v="0"/>
    <x v="1"/>
    <n v="215"/>
    <n v="19"/>
    <n v="8.84"/>
    <n v="9.74"/>
    <n v="2094.1"/>
  </r>
  <r>
    <x v="0"/>
    <x v="0"/>
    <x v="2"/>
    <n v="95"/>
    <n v="6"/>
    <n v="6.32"/>
    <n v="55.92"/>
    <n v="5312.4"/>
  </r>
  <r>
    <x v="3"/>
    <x v="0"/>
    <x v="2"/>
    <n v="297"/>
    <n v="19"/>
    <n v="6.4"/>
    <n v="60.98"/>
    <n v="18111.060000000001"/>
  </r>
  <r>
    <x v="0"/>
    <x v="0"/>
    <x v="2"/>
    <n v="173"/>
    <n v="15"/>
    <n v="8.67"/>
    <n v="19.47"/>
    <n v="3368.31"/>
  </r>
  <r>
    <x v="1"/>
    <x v="0"/>
    <x v="2"/>
    <n v="193"/>
    <n v="2"/>
    <n v="1.04"/>
    <n v="40.53"/>
    <n v="7822.29"/>
  </r>
  <r>
    <x v="0"/>
    <x v="0"/>
    <x v="0"/>
    <n v="230"/>
    <n v="17"/>
    <n v="7.39"/>
    <n v="21.81"/>
    <n v="5016.3"/>
  </r>
  <r>
    <x v="0"/>
    <x v="0"/>
    <x v="0"/>
    <n v="232"/>
    <n v="19"/>
    <n v="8.19"/>
    <n v="10.53"/>
    <n v="2442.96"/>
  </r>
  <r>
    <x v="0"/>
    <x v="0"/>
    <x v="0"/>
    <n v="259"/>
    <n v="23"/>
    <n v="8.8800000000000008"/>
    <n v="53.51"/>
    <n v="13859.09"/>
  </r>
  <r>
    <x v="2"/>
    <x v="0"/>
    <x v="2"/>
    <n v="192"/>
    <n v="16"/>
    <n v="8.33"/>
    <n v="19.73"/>
    <n v="3788.16"/>
  </r>
  <r>
    <x v="2"/>
    <x v="0"/>
    <x v="2"/>
    <n v="149"/>
    <n v="6"/>
    <n v="4.03"/>
    <n v="22.83"/>
    <n v="3401.67"/>
  </r>
  <r>
    <x v="1"/>
    <x v="0"/>
    <x v="1"/>
    <n v="247"/>
    <n v="2"/>
    <n v="0.81"/>
    <n v="52.52"/>
    <n v="12972.44"/>
  </r>
  <r>
    <x v="2"/>
    <x v="0"/>
    <x v="2"/>
    <n v="278"/>
    <n v="1"/>
    <n v="0.36"/>
    <n v="15.29"/>
    <n v="4250.62"/>
  </r>
  <r>
    <x v="1"/>
    <x v="0"/>
    <x v="2"/>
    <n v="106"/>
    <n v="5"/>
    <n v="4.72"/>
    <n v="51.71"/>
    <n v="5481.26"/>
  </r>
  <r>
    <x v="1"/>
    <x v="0"/>
    <x v="1"/>
    <n v="233"/>
    <n v="19"/>
    <n v="8.15"/>
    <n v="51.95"/>
    <n v="12104.35"/>
  </r>
  <r>
    <x v="2"/>
    <x v="0"/>
    <x v="2"/>
    <n v="207"/>
    <n v="5"/>
    <n v="2.42"/>
    <n v="56.34"/>
    <n v="11662.38"/>
  </r>
  <r>
    <x v="0"/>
    <x v="0"/>
    <x v="0"/>
    <n v="178"/>
    <n v="13"/>
    <n v="7.3"/>
    <n v="19.2"/>
    <n v="3417.6"/>
  </r>
  <r>
    <x v="1"/>
    <x v="0"/>
    <x v="1"/>
    <n v="130"/>
    <n v="11"/>
    <n v="8.4600000000000009"/>
    <n v="44.56"/>
    <n v="5792.8"/>
  </r>
  <r>
    <x v="0"/>
    <x v="0"/>
    <x v="2"/>
    <n v="96"/>
    <n v="9"/>
    <n v="9.3800000000000008"/>
    <n v="10.23"/>
    <n v="982.08"/>
  </r>
  <r>
    <x v="1"/>
    <x v="0"/>
    <x v="2"/>
    <n v="68"/>
    <n v="6"/>
    <n v="8.82"/>
    <n v="57.64"/>
    <n v="3919.52"/>
  </r>
  <r>
    <x v="1"/>
    <x v="0"/>
    <x v="1"/>
    <n v="297"/>
    <n v="17"/>
    <n v="5.72"/>
    <n v="53.22"/>
    <n v="15806.34"/>
  </r>
  <r>
    <x v="1"/>
    <x v="0"/>
    <x v="2"/>
    <n v="111"/>
    <n v="5"/>
    <n v="4.5"/>
    <n v="68.48"/>
    <n v="7601.28"/>
  </r>
  <r>
    <x v="3"/>
    <x v="0"/>
    <x v="2"/>
    <n v="167"/>
    <n v="16"/>
    <n v="9.58"/>
    <n v="66.53"/>
    <n v="11110.51"/>
  </r>
  <r>
    <x v="1"/>
    <x v="0"/>
    <x v="1"/>
    <n v="143"/>
    <n v="0"/>
    <n v="0"/>
    <n v="53.07"/>
    <n v="7589.01"/>
  </r>
  <r>
    <x v="1"/>
    <x v="0"/>
    <x v="2"/>
    <n v="255"/>
    <n v="6"/>
    <n v="2.35"/>
    <n v="38.99"/>
    <n v="9942.4500000000007"/>
  </r>
  <r>
    <x v="3"/>
    <x v="0"/>
    <x v="2"/>
    <n v="265"/>
    <n v="7"/>
    <n v="2.64"/>
    <n v="13.92"/>
    <n v="3688.8"/>
  </r>
  <r>
    <x v="3"/>
    <x v="0"/>
    <x v="2"/>
    <n v="101"/>
    <n v="7"/>
    <n v="6.93"/>
    <n v="19.309999999999999"/>
    <n v="1950.31"/>
  </r>
  <r>
    <x v="0"/>
    <x v="0"/>
    <x v="0"/>
    <n v="217"/>
    <n v="4"/>
    <n v="1.84"/>
    <n v="43.66"/>
    <n v="9474.2199999999993"/>
  </r>
  <r>
    <x v="3"/>
    <x v="0"/>
    <x v="2"/>
    <n v="251"/>
    <n v="12"/>
    <n v="4.78"/>
    <n v="5.91"/>
    <n v="1483.41"/>
  </r>
  <r>
    <x v="1"/>
    <x v="0"/>
    <x v="2"/>
    <n v="127"/>
    <n v="6"/>
    <n v="4.72"/>
    <n v="42.39"/>
    <n v="5383.53"/>
  </r>
  <r>
    <x v="0"/>
    <x v="0"/>
    <x v="2"/>
    <n v="283"/>
    <n v="1"/>
    <n v="0.35"/>
    <n v="46.46"/>
    <n v="13148.18"/>
  </r>
  <r>
    <x v="0"/>
    <x v="0"/>
    <x v="0"/>
    <n v="100"/>
    <n v="8"/>
    <n v="8"/>
    <n v="63.67"/>
    <n v="6367"/>
  </r>
  <r>
    <x v="2"/>
    <x v="0"/>
    <x v="2"/>
    <n v="68"/>
    <n v="6"/>
    <n v="8.82"/>
    <n v="9.48"/>
    <n v="644.64"/>
  </r>
  <r>
    <x v="0"/>
    <x v="0"/>
    <x v="0"/>
    <n v="217"/>
    <n v="17"/>
    <n v="7.83"/>
    <n v="10.53"/>
    <n v="2285.0100000000002"/>
  </r>
  <r>
    <x v="3"/>
    <x v="0"/>
    <x v="2"/>
    <n v="82"/>
    <n v="5"/>
    <n v="6.1"/>
    <n v="33.51"/>
    <n v="2747.82"/>
  </r>
  <r>
    <x v="0"/>
    <x v="0"/>
    <x v="2"/>
    <n v="286"/>
    <n v="26"/>
    <n v="9.09"/>
    <n v="47.39"/>
    <n v="13553.54"/>
  </r>
  <r>
    <x v="0"/>
    <x v="0"/>
    <x v="0"/>
    <n v="204"/>
    <n v="13"/>
    <n v="6.37"/>
    <n v="25.31"/>
    <n v="5163.24"/>
  </r>
  <r>
    <x v="0"/>
    <x v="0"/>
    <x v="2"/>
    <n v="286"/>
    <n v="22"/>
    <n v="7.69"/>
    <n v="52.03"/>
    <n v="14880.58"/>
  </r>
  <r>
    <x v="3"/>
    <x v="0"/>
    <x v="2"/>
    <n v="138"/>
    <n v="5"/>
    <n v="3.62"/>
    <n v="47.34"/>
    <n v="6532.92"/>
  </r>
  <r>
    <x v="2"/>
    <x v="0"/>
    <x v="2"/>
    <n v="59"/>
    <n v="3"/>
    <n v="5.08"/>
    <n v="52.79"/>
    <n v="3114.61"/>
  </r>
  <r>
    <x v="0"/>
    <x v="0"/>
    <x v="2"/>
    <n v="117"/>
    <n v="11"/>
    <n v="9.4"/>
    <n v="14.45"/>
    <n v="1690.65"/>
  </r>
  <r>
    <x v="0"/>
    <x v="0"/>
    <x v="2"/>
    <n v="240"/>
    <n v="5"/>
    <n v="2.08"/>
    <n v="34.69"/>
    <n v="8325.6"/>
  </r>
  <r>
    <x v="0"/>
    <x v="0"/>
    <x v="0"/>
    <n v="248"/>
    <n v="10"/>
    <n v="4.03"/>
    <n v="16.7"/>
    <n v="4141.6000000000004"/>
  </r>
  <r>
    <x v="1"/>
    <x v="0"/>
    <x v="1"/>
    <n v="193"/>
    <n v="16"/>
    <n v="8.2899999999999991"/>
    <n v="49.57"/>
    <n v="9567.01"/>
  </r>
  <r>
    <x v="2"/>
    <x v="0"/>
    <x v="2"/>
    <n v="129"/>
    <n v="1"/>
    <n v="0.78"/>
    <n v="13.94"/>
    <n v="1798.26"/>
  </r>
  <r>
    <x v="0"/>
    <x v="0"/>
    <x v="2"/>
    <n v="215"/>
    <n v="19"/>
    <n v="8.84"/>
    <n v="41.22"/>
    <n v="8862.2999999999993"/>
  </r>
  <r>
    <x v="0"/>
    <x v="0"/>
    <x v="2"/>
    <n v="271"/>
    <n v="26"/>
    <n v="9.59"/>
    <n v="40.57"/>
    <n v="10994.47"/>
  </r>
  <r>
    <x v="0"/>
    <x v="0"/>
    <x v="2"/>
    <n v="157"/>
    <n v="1"/>
    <n v="0.64"/>
    <n v="46.33"/>
    <n v="7273.81"/>
  </r>
  <r>
    <x v="0"/>
    <x v="0"/>
    <x v="2"/>
    <n v="145"/>
    <n v="0"/>
    <n v="0"/>
    <n v="31.16"/>
    <n v="4518.2"/>
  </r>
  <r>
    <x v="1"/>
    <x v="0"/>
    <x v="2"/>
    <n v="202"/>
    <n v="2"/>
    <n v="0.99"/>
    <n v="13.31"/>
    <n v="2688.62"/>
  </r>
  <r>
    <x v="3"/>
    <x v="0"/>
    <x v="2"/>
    <n v="297"/>
    <n v="3"/>
    <n v="1.01"/>
    <n v="50.23"/>
    <n v="14918.31"/>
  </r>
  <r>
    <x v="0"/>
    <x v="0"/>
    <x v="0"/>
    <n v="91"/>
    <n v="9"/>
    <n v="9.89"/>
    <n v="69.87"/>
    <n v="6358.17"/>
  </r>
  <r>
    <x v="0"/>
    <x v="0"/>
    <x v="0"/>
    <n v="127"/>
    <n v="12"/>
    <n v="9.4499999999999993"/>
    <n v="32.01"/>
    <n v="4065.27"/>
  </r>
  <r>
    <x v="3"/>
    <x v="0"/>
    <x v="2"/>
    <n v="86"/>
    <n v="5"/>
    <n v="5.81"/>
    <n v="6.65"/>
    <n v="571.9"/>
  </r>
  <r>
    <x v="2"/>
    <x v="0"/>
    <x v="2"/>
    <n v="77"/>
    <n v="5"/>
    <n v="6.49"/>
    <n v="58.99"/>
    <n v="4542.2299999999996"/>
  </r>
  <r>
    <x v="0"/>
    <x v="0"/>
    <x v="0"/>
    <n v="239"/>
    <n v="2"/>
    <n v="0.84"/>
    <n v="37.729999999999997"/>
    <n v="9017.4699999999993"/>
  </r>
  <r>
    <x v="1"/>
    <x v="0"/>
    <x v="1"/>
    <n v="158"/>
    <n v="2"/>
    <n v="1.27"/>
    <n v="34.159999999999997"/>
    <n v="5397.28"/>
  </r>
  <r>
    <x v="2"/>
    <x v="0"/>
    <x v="2"/>
    <n v="284"/>
    <n v="12"/>
    <n v="4.2300000000000004"/>
    <n v="45.05"/>
    <n v="12794.2"/>
  </r>
  <r>
    <x v="2"/>
    <x v="0"/>
    <x v="2"/>
    <n v="228"/>
    <n v="5"/>
    <n v="2.19"/>
    <n v="20.48"/>
    <n v="4669.4399999999996"/>
  </r>
  <r>
    <x v="1"/>
    <x v="0"/>
    <x v="2"/>
    <n v="167"/>
    <n v="3"/>
    <n v="1.8"/>
    <n v="59.21"/>
    <n v="9888.07"/>
  </r>
  <r>
    <x v="0"/>
    <x v="0"/>
    <x v="2"/>
    <n v="120"/>
    <n v="0"/>
    <n v="0"/>
    <n v="48.9"/>
    <n v="5868"/>
  </r>
  <r>
    <x v="0"/>
    <x v="0"/>
    <x v="2"/>
    <n v="187"/>
    <n v="12"/>
    <n v="6.42"/>
    <n v="60.43"/>
    <n v="11300.41"/>
  </r>
  <r>
    <x v="2"/>
    <x v="0"/>
    <x v="2"/>
    <n v="58"/>
    <n v="1"/>
    <n v="1.72"/>
    <n v="64.42"/>
    <n v="3736.36"/>
  </r>
  <r>
    <x v="3"/>
    <x v="0"/>
    <x v="2"/>
    <n v="296"/>
    <n v="12"/>
    <n v="4.05"/>
    <n v="63.92"/>
    <n v="18920.32"/>
  </r>
  <r>
    <x v="1"/>
    <x v="0"/>
    <x v="2"/>
    <n v="163"/>
    <n v="16"/>
    <n v="9.82"/>
    <n v="31.56"/>
    <n v="5144.28"/>
  </r>
  <r>
    <x v="1"/>
    <x v="0"/>
    <x v="2"/>
    <n v="79"/>
    <n v="5"/>
    <n v="6.33"/>
    <n v="22.66"/>
    <n v="1790.14"/>
  </r>
  <r>
    <x v="1"/>
    <x v="0"/>
    <x v="1"/>
    <n v="281"/>
    <n v="23"/>
    <n v="8.19"/>
    <n v="41.04"/>
    <n v="11532.24"/>
  </r>
  <r>
    <x v="3"/>
    <x v="0"/>
    <x v="2"/>
    <n v="178"/>
    <n v="7"/>
    <n v="3.93"/>
    <n v="18.93"/>
    <n v="3369.54"/>
  </r>
  <r>
    <x v="3"/>
    <x v="0"/>
    <x v="2"/>
    <n v="284"/>
    <n v="4"/>
    <n v="1.41"/>
    <n v="14.12"/>
    <n v="4010.08"/>
  </r>
  <r>
    <x v="1"/>
    <x v="0"/>
    <x v="1"/>
    <n v="152"/>
    <n v="14"/>
    <n v="9.2100000000000009"/>
    <n v="55.65"/>
    <n v="8458.7999999999993"/>
  </r>
  <r>
    <x v="1"/>
    <x v="0"/>
    <x v="2"/>
    <n v="213"/>
    <n v="13"/>
    <n v="6.1"/>
    <n v="48.09"/>
    <n v="10243.17"/>
  </r>
  <r>
    <x v="0"/>
    <x v="0"/>
    <x v="0"/>
    <n v="139"/>
    <n v="6"/>
    <n v="4.32"/>
    <n v="36.619999999999997"/>
    <n v="5090.18"/>
  </r>
  <r>
    <x v="1"/>
    <x v="0"/>
    <x v="1"/>
    <n v="54"/>
    <n v="4"/>
    <n v="7.41"/>
    <n v="40.799999999999997"/>
    <n v="2203.1999999999998"/>
  </r>
  <r>
    <x v="2"/>
    <x v="0"/>
    <x v="2"/>
    <n v="287"/>
    <n v="20"/>
    <n v="6.97"/>
    <n v="14.28"/>
    <n v="4098.3599999999997"/>
  </r>
  <r>
    <x v="0"/>
    <x v="0"/>
    <x v="2"/>
    <n v="91"/>
    <n v="3"/>
    <n v="3.3"/>
    <n v="55.82"/>
    <n v="5079.62"/>
  </r>
  <r>
    <x v="1"/>
    <x v="0"/>
    <x v="1"/>
    <n v="211"/>
    <n v="5"/>
    <n v="2.37"/>
    <n v="54.6"/>
    <n v="11520.6"/>
  </r>
  <r>
    <x v="2"/>
    <x v="0"/>
    <x v="2"/>
    <n v="162"/>
    <n v="6"/>
    <n v="3.7"/>
    <n v="36.46"/>
    <n v="5906.52"/>
  </r>
  <r>
    <x v="1"/>
    <x v="0"/>
    <x v="2"/>
    <n v="198"/>
    <n v="5"/>
    <n v="2.5299999999999998"/>
    <n v="54.19"/>
    <n v="10729.62"/>
  </r>
  <r>
    <x v="1"/>
    <x v="0"/>
    <x v="1"/>
    <n v="223"/>
    <n v="0"/>
    <n v="0"/>
    <n v="65.2"/>
    <n v="14539.6"/>
  </r>
  <r>
    <x v="2"/>
    <x v="0"/>
    <x v="2"/>
    <n v="51"/>
    <n v="2"/>
    <n v="3.92"/>
    <n v="49.61"/>
    <n v="2530.11"/>
  </r>
  <r>
    <x v="0"/>
    <x v="0"/>
    <x v="0"/>
    <n v="143"/>
    <n v="12"/>
    <n v="8.39"/>
    <n v="24.38"/>
    <n v="3486.34"/>
  </r>
  <r>
    <x v="3"/>
    <x v="0"/>
    <x v="2"/>
    <n v="51"/>
    <n v="2"/>
    <n v="3.92"/>
    <n v="35.43"/>
    <n v="1806.93"/>
  </r>
  <r>
    <x v="0"/>
    <x v="0"/>
    <x v="0"/>
    <n v="87"/>
    <n v="0"/>
    <n v="0"/>
    <n v="59.82"/>
    <n v="5204.34"/>
  </r>
  <r>
    <x v="0"/>
    <x v="0"/>
    <x v="2"/>
    <n v="203"/>
    <n v="4"/>
    <n v="1.97"/>
    <n v="59.28"/>
    <n v="12033.84"/>
  </r>
  <r>
    <x v="0"/>
    <x v="0"/>
    <x v="2"/>
    <n v="97"/>
    <n v="7"/>
    <n v="7.22"/>
    <n v="20.69"/>
    <n v="2006.93"/>
  </r>
  <r>
    <x v="1"/>
    <x v="0"/>
    <x v="1"/>
    <n v="129"/>
    <n v="12"/>
    <n v="9.3000000000000007"/>
    <n v="15.33"/>
    <n v="1977.57"/>
  </r>
  <r>
    <x v="0"/>
    <x v="0"/>
    <x v="2"/>
    <n v="259"/>
    <n v="18"/>
    <n v="6.95"/>
    <n v="9.31"/>
    <n v="2411.29"/>
  </r>
  <r>
    <x v="0"/>
    <x v="0"/>
    <x v="2"/>
    <n v="62"/>
    <n v="5"/>
    <n v="8.06"/>
    <n v="48.54"/>
    <n v="3009.48"/>
  </r>
  <r>
    <x v="0"/>
    <x v="0"/>
    <x v="0"/>
    <n v="269"/>
    <n v="23"/>
    <n v="8.5500000000000007"/>
    <n v="50.14"/>
    <n v="13487.66"/>
  </r>
  <r>
    <x v="1"/>
    <x v="0"/>
    <x v="1"/>
    <n v="57"/>
    <n v="1"/>
    <n v="1.75"/>
    <n v="34.64"/>
    <n v="1974.48"/>
  </r>
  <r>
    <x v="0"/>
    <x v="0"/>
    <x v="0"/>
    <n v="218"/>
    <n v="12"/>
    <n v="5.5"/>
    <n v="9.65"/>
    <n v="2103.6999999999998"/>
  </r>
  <r>
    <x v="0"/>
    <x v="0"/>
    <x v="2"/>
    <n v="216"/>
    <n v="7"/>
    <n v="3.24"/>
    <n v="61.65"/>
    <n v="13316.4"/>
  </r>
  <r>
    <x v="1"/>
    <x v="0"/>
    <x v="1"/>
    <n v="62"/>
    <n v="4"/>
    <n v="6.45"/>
    <n v="64.47"/>
    <n v="3997.14"/>
  </r>
  <r>
    <x v="0"/>
    <x v="0"/>
    <x v="0"/>
    <n v="117"/>
    <n v="2"/>
    <n v="1.71"/>
    <n v="56.53"/>
    <n v="6614.01"/>
  </r>
  <r>
    <x v="3"/>
    <x v="0"/>
    <x v="2"/>
    <n v="202"/>
    <n v="20"/>
    <n v="9.9"/>
    <n v="7.61"/>
    <n v="1537.22"/>
  </r>
  <r>
    <x v="3"/>
    <x v="0"/>
    <x v="2"/>
    <n v="187"/>
    <n v="1"/>
    <n v="0.53"/>
    <n v="63.57"/>
    <n v="11887.59"/>
  </r>
  <r>
    <x v="3"/>
    <x v="0"/>
    <x v="2"/>
    <n v="265"/>
    <n v="20"/>
    <n v="7.55"/>
    <n v="13.71"/>
    <n v="3633.15"/>
  </r>
  <r>
    <x v="0"/>
    <x v="0"/>
    <x v="0"/>
    <n v="125"/>
    <n v="2"/>
    <n v="1.6"/>
    <n v="39.380000000000003"/>
    <n v="4922.5"/>
  </r>
  <r>
    <x v="0"/>
    <x v="0"/>
    <x v="2"/>
    <n v="277"/>
    <n v="3"/>
    <n v="1.08"/>
    <n v="27.17"/>
    <n v="7526.09"/>
  </r>
  <r>
    <x v="0"/>
    <x v="0"/>
    <x v="2"/>
    <n v="272"/>
    <n v="10"/>
    <n v="3.68"/>
    <n v="68.91"/>
    <n v="18743.52"/>
  </r>
  <r>
    <x v="1"/>
    <x v="0"/>
    <x v="1"/>
    <n v="143"/>
    <n v="6"/>
    <n v="4.2"/>
    <n v="45.02"/>
    <n v="6437.86"/>
  </r>
  <r>
    <x v="1"/>
    <x v="0"/>
    <x v="2"/>
    <n v="284"/>
    <n v="12"/>
    <n v="4.2300000000000004"/>
    <n v="50.53"/>
    <n v="14350.52"/>
  </r>
  <r>
    <x v="1"/>
    <x v="0"/>
    <x v="2"/>
    <n v="130"/>
    <n v="4"/>
    <n v="3.08"/>
    <n v="9.33"/>
    <n v="1212.9000000000001"/>
  </r>
  <r>
    <x v="0"/>
    <x v="0"/>
    <x v="0"/>
    <n v="201"/>
    <n v="16"/>
    <n v="7.96"/>
    <n v="34.520000000000003"/>
    <n v="6938.52"/>
  </r>
  <r>
    <x v="1"/>
    <x v="0"/>
    <x v="1"/>
    <n v="223"/>
    <n v="16"/>
    <n v="7.17"/>
    <n v="47.2"/>
    <n v="10525.6"/>
  </r>
  <r>
    <x v="2"/>
    <x v="0"/>
    <x v="2"/>
    <n v="248"/>
    <n v="24"/>
    <n v="9.68"/>
    <n v="6.03"/>
    <n v="1495.44"/>
  </r>
  <r>
    <x v="1"/>
    <x v="0"/>
    <x v="2"/>
    <n v="54"/>
    <n v="2"/>
    <n v="3.7"/>
    <n v="35.909999999999997"/>
    <n v="1939.14"/>
  </r>
  <r>
    <x v="3"/>
    <x v="0"/>
    <x v="2"/>
    <n v="128"/>
    <n v="2"/>
    <n v="1.56"/>
    <n v="6.96"/>
    <n v="890.88"/>
  </r>
  <r>
    <x v="0"/>
    <x v="0"/>
    <x v="2"/>
    <n v="219"/>
    <n v="10"/>
    <n v="4.57"/>
    <n v="5.62"/>
    <n v="1230.78"/>
  </r>
  <r>
    <x v="0"/>
    <x v="0"/>
    <x v="2"/>
    <n v="132"/>
    <n v="9"/>
    <n v="6.82"/>
    <n v="34.46"/>
    <n v="4548.72"/>
  </r>
  <r>
    <x v="0"/>
    <x v="0"/>
    <x v="2"/>
    <n v="251"/>
    <n v="25"/>
    <n v="9.9600000000000009"/>
    <n v="22.34"/>
    <n v="5607.34"/>
  </r>
  <r>
    <x v="3"/>
    <x v="0"/>
    <x v="2"/>
    <n v="142"/>
    <n v="9"/>
    <n v="6.34"/>
    <n v="44.1"/>
    <n v="6262.2"/>
  </r>
  <r>
    <x v="1"/>
    <x v="0"/>
    <x v="2"/>
    <n v="126"/>
    <n v="7"/>
    <n v="5.56"/>
    <n v="57.25"/>
    <n v="7213.5"/>
  </r>
  <r>
    <x v="1"/>
    <x v="0"/>
    <x v="1"/>
    <n v="145"/>
    <n v="10"/>
    <n v="6.9"/>
    <n v="16"/>
    <n v="2320"/>
  </r>
  <r>
    <x v="1"/>
    <x v="0"/>
    <x v="2"/>
    <n v="78"/>
    <n v="5"/>
    <n v="6.41"/>
    <n v="44.02"/>
    <n v="3433.56"/>
  </r>
  <r>
    <x v="0"/>
    <x v="0"/>
    <x v="0"/>
    <n v="214"/>
    <n v="9"/>
    <n v="4.21"/>
    <n v="36.43"/>
    <n v="7796.02"/>
  </r>
  <r>
    <x v="0"/>
    <x v="0"/>
    <x v="0"/>
    <n v="71"/>
    <n v="4"/>
    <n v="5.63"/>
    <n v="18.52"/>
    <n v="1314.92"/>
  </r>
  <r>
    <x v="2"/>
    <x v="0"/>
    <x v="2"/>
    <n v="71"/>
    <n v="3"/>
    <n v="4.2300000000000004"/>
    <n v="14.05"/>
    <n v="997.55"/>
  </r>
  <r>
    <x v="3"/>
    <x v="0"/>
    <x v="2"/>
    <n v="245"/>
    <n v="12"/>
    <n v="4.9000000000000004"/>
    <n v="23.95"/>
    <n v="5867.75"/>
  </r>
  <r>
    <x v="1"/>
    <x v="0"/>
    <x v="2"/>
    <n v="181"/>
    <n v="0"/>
    <n v="0"/>
    <n v="10.3"/>
    <n v="1864.3"/>
  </r>
  <r>
    <x v="2"/>
    <x v="0"/>
    <x v="2"/>
    <n v="116"/>
    <n v="2"/>
    <n v="1.72"/>
    <n v="13.36"/>
    <n v="1549.76"/>
  </r>
  <r>
    <x v="0"/>
    <x v="0"/>
    <x v="0"/>
    <n v="254"/>
    <n v="12"/>
    <n v="4.72"/>
    <n v="23.38"/>
    <n v="5938.52"/>
  </r>
  <r>
    <x v="3"/>
    <x v="0"/>
    <x v="2"/>
    <n v="110"/>
    <n v="10"/>
    <n v="9.09"/>
    <n v="53.91"/>
    <n v="5930.1"/>
  </r>
  <r>
    <x v="0"/>
    <x v="0"/>
    <x v="2"/>
    <n v="110"/>
    <n v="6"/>
    <n v="5.45"/>
    <n v="63.15"/>
    <n v="6946.5"/>
  </r>
  <r>
    <x v="3"/>
    <x v="0"/>
    <x v="2"/>
    <n v="176"/>
    <n v="17"/>
    <n v="9.66"/>
    <n v="19.45"/>
    <n v="3423.2"/>
  </r>
  <r>
    <x v="2"/>
    <x v="0"/>
    <x v="2"/>
    <n v="185"/>
    <n v="14"/>
    <n v="7.57"/>
    <n v="48.11"/>
    <n v="8900.35"/>
  </r>
  <r>
    <x v="0"/>
    <x v="0"/>
    <x v="0"/>
    <n v="191"/>
    <n v="3"/>
    <n v="1.57"/>
    <n v="22.1"/>
    <n v="4221.1000000000004"/>
  </r>
  <r>
    <x v="1"/>
    <x v="0"/>
    <x v="2"/>
    <n v="298"/>
    <n v="7"/>
    <n v="2.35"/>
    <n v="43.04"/>
    <n v="12825.92"/>
  </r>
  <r>
    <x v="1"/>
    <x v="0"/>
    <x v="2"/>
    <n v="162"/>
    <n v="9"/>
    <n v="5.56"/>
    <n v="6.43"/>
    <n v="1041.6600000000001"/>
  </r>
  <r>
    <x v="2"/>
    <x v="0"/>
    <x v="2"/>
    <n v="193"/>
    <n v="11"/>
    <n v="5.7"/>
    <n v="38.21"/>
    <n v="7374.53"/>
  </r>
  <r>
    <x v="2"/>
    <x v="0"/>
    <x v="2"/>
    <n v="82"/>
    <n v="4"/>
    <n v="4.88"/>
    <n v="62.73"/>
    <n v="5143.8599999999997"/>
  </r>
  <r>
    <x v="0"/>
    <x v="0"/>
    <x v="2"/>
    <n v="113"/>
    <n v="10"/>
    <n v="8.85"/>
    <n v="17.71"/>
    <n v="2001.23"/>
  </r>
  <r>
    <x v="1"/>
    <x v="0"/>
    <x v="2"/>
    <n v="284"/>
    <n v="19"/>
    <n v="6.69"/>
    <n v="25.09"/>
    <n v="7125.56"/>
  </r>
  <r>
    <x v="3"/>
    <x v="0"/>
    <x v="2"/>
    <n v="169"/>
    <n v="3"/>
    <n v="1.78"/>
    <n v="47.48"/>
    <n v="8024.12"/>
  </r>
  <r>
    <x v="2"/>
    <x v="0"/>
    <x v="2"/>
    <n v="250"/>
    <n v="0"/>
    <n v="0"/>
    <n v="65.47"/>
    <n v="16367.5"/>
  </r>
  <r>
    <x v="3"/>
    <x v="0"/>
    <x v="2"/>
    <n v="296"/>
    <n v="13"/>
    <n v="4.3899999999999997"/>
    <n v="69.41"/>
    <n v="20545.36"/>
  </r>
  <r>
    <x v="0"/>
    <x v="0"/>
    <x v="0"/>
    <n v="83"/>
    <n v="2"/>
    <n v="2.41"/>
    <n v="64.44"/>
    <n v="5348.52"/>
  </r>
  <r>
    <x v="2"/>
    <x v="0"/>
    <x v="2"/>
    <n v="75"/>
    <n v="1"/>
    <n v="1.33"/>
    <n v="66.989999999999995"/>
    <n v="5024.25"/>
  </r>
  <r>
    <x v="1"/>
    <x v="0"/>
    <x v="1"/>
    <n v="185"/>
    <n v="2"/>
    <n v="1.08"/>
    <n v="50.4"/>
    <n v="9324"/>
  </r>
  <r>
    <x v="2"/>
    <x v="0"/>
    <x v="2"/>
    <n v="175"/>
    <n v="10"/>
    <n v="5.71"/>
    <n v="65.53"/>
    <n v="11467.75"/>
  </r>
  <r>
    <x v="1"/>
    <x v="0"/>
    <x v="2"/>
    <n v="209"/>
    <n v="10"/>
    <n v="4.78"/>
    <n v="19.62"/>
    <n v="4100.58"/>
  </r>
  <r>
    <x v="1"/>
    <x v="0"/>
    <x v="2"/>
    <n v="126"/>
    <n v="1"/>
    <n v="0.79"/>
    <n v="9.0299999999999994"/>
    <n v="1137.78"/>
  </r>
  <r>
    <x v="3"/>
    <x v="0"/>
    <x v="2"/>
    <n v="163"/>
    <n v="14"/>
    <n v="8.59"/>
    <n v="37.24"/>
    <n v="6070.12"/>
  </r>
  <r>
    <x v="0"/>
    <x v="0"/>
    <x v="0"/>
    <n v="150"/>
    <n v="10"/>
    <n v="6.67"/>
    <n v="8.17"/>
    <n v="1225.5"/>
  </r>
  <r>
    <x v="0"/>
    <x v="0"/>
    <x v="2"/>
    <n v="179"/>
    <n v="0"/>
    <n v="0"/>
    <n v="32.54"/>
    <n v="5824.66"/>
  </r>
  <r>
    <x v="0"/>
    <x v="0"/>
    <x v="0"/>
    <n v="223"/>
    <n v="7"/>
    <n v="3.14"/>
    <n v="23.32"/>
    <n v="5200.3599999999997"/>
  </r>
  <r>
    <x v="2"/>
    <x v="0"/>
    <x v="2"/>
    <n v="236"/>
    <n v="19"/>
    <n v="8.0500000000000007"/>
    <n v="26"/>
    <n v="6136"/>
  </r>
  <r>
    <x v="0"/>
    <x v="0"/>
    <x v="2"/>
    <n v="163"/>
    <n v="0"/>
    <n v="0"/>
    <n v="68.12"/>
    <n v="11103.56"/>
  </r>
  <r>
    <x v="2"/>
    <x v="0"/>
    <x v="2"/>
    <n v="122"/>
    <n v="0"/>
    <n v="0"/>
    <n v="11.3"/>
    <n v="1378.6"/>
  </r>
  <r>
    <x v="1"/>
    <x v="0"/>
    <x v="2"/>
    <n v="205"/>
    <n v="8"/>
    <n v="3.9"/>
    <n v="21.35"/>
    <n v="4376.75"/>
  </r>
  <r>
    <x v="1"/>
    <x v="0"/>
    <x v="2"/>
    <n v="208"/>
    <n v="6"/>
    <n v="2.88"/>
    <n v="25.23"/>
    <n v="5247.84"/>
  </r>
  <r>
    <x v="0"/>
    <x v="0"/>
    <x v="2"/>
    <n v="140"/>
    <n v="14"/>
    <n v="10"/>
    <n v="41.24"/>
    <n v="5773.6"/>
  </r>
  <r>
    <x v="0"/>
    <x v="0"/>
    <x v="2"/>
    <n v="76"/>
    <n v="6"/>
    <n v="7.89"/>
    <n v="37.43"/>
    <n v="2844.68"/>
  </r>
  <r>
    <x v="3"/>
    <x v="0"/>
    <x v="2"/>
    <n v="138"/>
    <n v="1"/>
    <n v="0.72"/>
    <n v="28.33"/>
    <n v="3909.54"/>
  </r>
  <r>
    <x v="1"/>
    <x v="0"/>
    <x v="1"/>
    <n v="122"/>
    <n v="11"/>
    <n v="9.02"/>
    <n v="25.5"/>
    <n v="3111"/>
  </r>
  <r>
    <x v="0"/>
    <x v="0"/>
    <x v="0"/>
    <n v="297"/>
    <n v="14"/>
    <n v="4.71"/>
    <n v="64.34"/>
    <n v="19108.98"/>
  </r>
  <r>
    <x v="0"/>
    <x v="0"/>
    <x v="2"/>
    <n v="265"/>
    <n v="14"/>
    <n v="5.28"/>
    <n v="62.82"/>
    <n v="16647.3"/>
  </r>
  <r>
    <x v="0"/>
    <x v="0"/>
    <x v="2"/>
    <n v="56"/>
    <n v="1"/>
    <n v="1.79"/>
    <n v="26.94"/>
    <n v="1508.64"/>
  </r>
  <r>
    <x v="0"/>
    <x v="0"/>
    <x v="0"/>
    <n v="218"/>
    <n v="20"/>
    <n v="9.17"/>
    <n v="59.57"/>
    <n v="12986.26"/>
  </r>
  <r>
    <x v="0"/>
    <x v="0"/>
    <x v="2"/>
    <n v="146"/>
    <n v="8"/>
    <n v="5.48"/>
    <n v="50.03"/>
    <n v="7304.38"/>
  </r>
  <r>
    <x v="0"/>
    <x v="0"/>
    <x v="2"/>
    <n v="123"/>
    <n v="0"/>
    <n v="0"/>
    <n v="23.12"/>
    <n v="2843.76"/>
  </r>
  <r>
    <x v="0"/>
    <x v="0"/>
    <x v="2"/>
    <n v="137"/>
    <n v="7"/>
    <n v="5.1100000000000003"/>
    <n v="29.27"/>
    <n v="4009.99"/>
  </r>
  <r>
    <x v="0"/>
    <x v="0"/>
    <x v="2"/>
    <n v="77"/>
    <n v="7"/>
    <n v="9.09"/>
    <n v="23.34"/>
    <n v="1797.18"/>
  </r>
  <r>
    <x v="1"/>
    <x v="0"/>
    <x v="2"/>
    <n v="72"/>
    <n v="6"/>
    <n v="8.33"/>
    <n v="40.799999999999997"/>
    <n v="2937.6"/>
  </r>
  <r>
    <x v="0"/>
    <x v="0"/>
    <x v="0"/>
    <n v="120"/>
    <n v="2"/>
    <n v="1.67"/>
    <n v="58.63"/>
    <n v="7035.6"/>
  </r>
  <r>
    <x v="2"/>
    <x v="0"/>
    <x v="2"/>
    <n v="77"/>
    <n v="2"/>
    <n v="2.6"/>
    <n v="15.21"/>
    <n v="1171.17"/>
  </r>
  <r>
    <x v="3"/>
    <x v="0"/>
    <x v="2"/>
    <n v="280"/>
    <n v="20"/>
    <n v="7.14"/>
    <n v="25.7"/>
    <n v="7196"/>
  </r>
  <r>
    <x v="1"/>
    <x v="0"/>
    <x v="2"/>
    <n v="101"/>
    <n v="3"/>
    <n v="2.97"/>
    <n v="11.09"/>
    <n v="1120.0899999999999"/>
  </r>
  <r>
    <x v="3"/>
    <x v="0"/>
    <x v="2"/>
    <n v="256"/>
    <n v="11"/>
    <n v="4.3"/>
    <n v="35.57"/>
    <n v="9105.92"/>
  </r>
  <r>
    <x v="2"/>
    <x v="0"/>
    <x v="2"/>
    <n v="241"/>
    <n v="6"/>
    <n v="2.4900000000000002"/>
    <n v="64.48"/>
    <n v="15539.68"/>
  </r>
  <r>
    <x v="2"/>
    <x v="0"/>
    <x v="2"/>
    <n v="293"/>
    <n v="14"/>
    <n v="4.78"/>
    <n v="54.21"/>
    <n v="15883.53"/>
  </r>
  <r>
    <x v="1"/>
    <x v="0"/>
    <x v="2"/>
    <n v="84"/>
    <n v="6"/>
    <n v="7.14"/>
    <n v="27.59"/>
    <n v="2317.56"/>
  </r>
  <r>
    <x v="1"/>
    <x v="0"/>
    <x v="1"/>
    <n v="121"/>
    <n v="4"/>
    <n v="3.31"/>
    <n v="5.13"/>
    <n v="620.73"/>
  </r>
  <r>
    <x v="3"/>
    <x v="0"/>
    <x v="2"/>
    <n v="175"/>
    <n v="9"/>
    <n v="5.14"/>
    <n v="69.63"/>
    <n v="12185.25"/>
  </r>
  <r>
    <x v="0"/>
    <x v="0"/>
    <x v="2"/>
    <n v="259"/>
    <n v="23"/>
    <n v="8.8800000000000008"/>
    <n v="9.31"/>
    <n v="2411.29"/>
  </r>
  <r>
    <x v="1"/>
    <x v="0"/>
    <x v="2"/>
    <n v="155"/>
    <n v="7"/>
    <n v="4.5199999999999996"/>
    <n v="42.71"/>
    <n v="6620.05"/>
  </r>
  <r>
    <x v="1"/>
    <x v="0"/>
    <x v="1"/>
    <n v="222"/>
    <n v="10"/>
    <n v="4.5"/>
    <n v="35.479999999999997"/>
    <n v="7876.56"/>
  </r>
  <r>
    <x v="1"/>
    <x v="0"/>
    <x v="2"/>
    <n v="216"/>
    <n v="2"/>
    <n v="0.93"/>
    <n v="64.040000000000006"/>
    <n v="13832.64"/>
  </r>
  <r>
    <x v="0"/>
    <x v="0"/>
    <x v="0"/>
    <n v="133"/>
    <n v="10"/>
    <n v="7.52"/>
    <n v="27.65"/>
    <n v="3677.45"/>
  </r>
  <r>
    <x v="1"/>
    <x v="0"/>
    <x v="1"/>
    <n v="196"/>
    <n v="19"/>
    <n v="9.69"/>
    <n v="54.69"/>
    <n v="10719.24"/>
  </r>
  <r>
    <x v="1"/>
    <x v="0"/>
    <x v="2"/>
    <n v="120"/>
    <n v="10"/>
    <n v="8.33"/>
    <n v="56.84"/>
    <n v="6820.8"/>
  </r>
  <r>
    <x v="1"/>
    <x v="0"/>
    <x v="1"/>
    <n v="198"/>
    <n v="12"/>
    <n v="6.06"/>
    <n v="41.57"/>
    <n v="8230.86"/>
  </r>
  <r>
    <x v="3"/>
    <x v="0"/>
    <x v="2"/>
    <n v="113"/>
    <n v="2"/>
    <n v="1.77"/>
    <n v="54.83"/>
    <n v="6195.79"/>
  </r>
  <r>
    <x v="1"/>
    <x v="0"/>
    <x v="1"/>
    <n v="75"/>
    <n v="6"/>
    <n v="8"/>
    <n v="19.88"/>
    <n v="1491"/>
  </r>
  <r>
    <x v="0"/>
    <x v="0"/>
    <x v="2"/>
    <n v="298"/>
    <n v="24"/>
    <n v="8.0500000000000007"/>
    <n v="51.96"/>
    <n v="15484.08"/>
  </r>
  <r>
    <x v="3"/>
    <x v="0"/>
    <x v="2"/>
    <n v="123"/>
    <n v="12"/>
    <n v="9.76"/>
    <n v="46.65"/>
    <n v="5737.95"/>
  </r>
  <r>
    <x v="3"/>
    <x v="0"/>
    <x v="2"/>
    <n v="289"/>
    <n v="3"/>
    <n v="1.04"/>
    <n v="51.57"/>
    <n v="14903.73"/>
  </r>
  <r>
    <x v="1"/>
    <x v="0"/>
    <x v="2"/>
    <n v="233"/>
    <n v="2"/>
    <n v="0.86"/>
    <n v="59.6"/>
    <n v="13886.8"/>
  </r>
  <r>
    <x v="0"/>
    <x v="0"/>
    <x v="2"/>
    <n v="81"/>
    <n v="5"/>
    <n v="6.17"/>
    <n v="9.44"/>
    <n v="764.64"/>
  </r>
  <r>
    <x v="0"/>
    <x v="0"/>
    <x v="2"/>
    <n v="200"/>
    <n v="15"/>
    <n v="7.5"/>
    <n v="56.22"/>
    <n v="11244"/>
  </r>
  <r>
    <x v="0"/>
    <x v="0"/>
    <x v="0"/>
    <n v="230"/>
    <n v="22"/>
    <n v="9.57"/>
    <n v="5.51"/>
    <n v="1267.3"/>
  </r>
  <r>
    <x v="1"/>
    <x v="0"/>
    <x v="2"/>
    <n v="296"/>
    <n v="1"/>
    <n v="0.34"/>
    <n v="47.12"/>
    <n v="13947.52"/>
  </r>
  <r>
    <x v="1"/>
    <x v="0"/>
    <x v="2"/>
    <n v="185"/>
    <n v="9"/>
    <n v="4.8600000000000003"/>
    <n v="27.68"/>
    <n v="5120.8"/>
  </r>
  <r>
    <x v="3"/>
    <x v="0"/>
    <x v="2"/>
    <n v="195"/>
    <n v="11"/>
    <n v="5.64"/>
    <n v="45.93"/>
    <n v="8956.35"/>
  </r>
  <r>
    <x v="3"/>
    <x v="0"/>
    <x v="2"/>
    <n v="278"/>
    <n v="0"/>
    <n v="0"/>
    <n v="14"/>
    <n v="3892"/>
  </r>
  <r>
    <x v="1"/>
    <x v="0"/>
    <x v="1"/>
    <n v="293"/>
    <n v="1"/>
    <n v="0.34"/>
    <n v="16.53"/>
    <n v="4843.29"/>
  </r>
  <r>
    <x v="0"/>
    <x v="0"/>
    <x v="2"/>
    <n v="153"/>
    <n v="9"/>
    <n v="5.88"/>
    <n v="43.06"/>
    <n v="6588.18"/>
  </r>
  <r>
    <x v="3"/>
    <x v="0"/>
    <x v="2"/>
    <n v="295"/>
    <n v="18"/>
    <n v="6.1"/>
    <n v="27.54"/>
    <n v="8124.3"/>
  </r>
  <r>
    <x v="3"/>
    <x v="0"/>
    <x v="2"/>
    <n v="256"/>
    <n v="24"/>
    <n v="9.3800000000000008"/>
    <n v="62.03"/>
    <n v="15879.68"/>
  </r>
  <r>
    <x v="2"/>
    <x v="0"/>
    <x v="2"/>
    <n v="73"/>
    <n v="1"/>
    <n v="1.37"/>
    <n v="31.45"/>
    <n v="2295.85"/>
  </r>
  <r>
    <x v="1"/>
    <x v="0"/>
    <x v="2"/>
    <n v="196"/>
    <n v="13"/>
    <n v="6.63"/>
    <n v="38.82"/>
    <n v="7608.72"/>
  </r>
  <r>
    <x v="0"/>
    <x v="0"/>
    <x v="2"/>
    <n v="207"/>
    <n v="7"/>
    <n v="3.38"/>
    <n v="10.51"/>
    <n v="2175.5700000000002"/>
  </r>
  <r>
    <x v="1"/>
    <x v="0"/>
    <x v="1"/>
    <n v="277"/>
    <n v="2"/>
    <n v="0.72"/>
    <n v="61.3"/>
    <n v="16980.099999999999"/>
  </r>
  <r>
    <x v="1"/>
    <x v="0"/>
    <x v="1"/>
    <n v="287"/>
    <n v="19"/>
    <n v="6.62"/>
    <n v="22.99"/>
    <n v="6598.13"/>
  </r>
  <r>
    <x v="1"/>
    <x v="0"/>
    <x v="1"/>
    <n v="150"/>
    <n v="1"/>
    <n v="0.67"/>
    <n v="45.67"/>
    <n v="6850.5"/>
  </r>
  <r>
    <x v="3"/>
    <x v="0"/>
    <x v="2"/>
    <n v="298"/>
    <n v="13"/>
    <n v="4.3600000000000003"/>
    <n v="28.52"/>
    <n v="8498.9599999999991"/>
  </r>
  <r>
    <x v="1"/>
    <x v="0"/>
    <x v="1"/>
    <n v="145"/>
    <n v="11"/>
    <n v="7.59"/>
    <n v="41.55"/>
    <n v="6024.75"/>
  </r>
  <r>
    <x v="2"/>
    <x v="0"/>
    <x v="2"/>
    <n v="284"/>
    <n v="9"/>
    <n v="3.17"/>
    <n v="53.35"/>
    <n v="15151.4"/>
  </r>
  <r>
    <x v="0"/>
    <x v="0"/>
    <x v="2"/>
    <n v="181"/>
    <n v="7"/>
    <n v="3.87"/>
    <n v="17.510000000000002"/>
    <n v="3169.31"/>
  </r>
  <r>
    <x v="0"/>
    <x v="0"/>
    <x v="0"/>
    <n v="180"/>
    <n v="3"/>
    <n v="1.67"/>
    <n v="33.799999999999997"/>
    <n v="6084"/>
  </r>
  <r>
    <x v="1"/>
    <x v="0"/>
    <x v="1"/>
    <n v="102"/>
    <n v="6"/>
    <n v="5.88"/>
    <n v="48.56"/>
    <n v="4953.12"/>
  </r>
  <r>
    <x v="0"/>
    <x v="0"/>
    <x v="0"/>
    <n v="129"/>
    <n v="1"/>
    <n v="0.78"/>
    <n v="28.7"/>
    <n v="3702.3"/>
  </r>
  <r>
    <x v="0"/>
    <x v="0"/>
    <x v="2"/>
    <n v="118"/>
    <n v="8"/>
    <n v="6.78"/>
    <n v="29.56"/>
    <n v="3488.08"/>
  </r>
  <r>
    <x v="2"/>
    <x v="0"/>
    <x v="2"/>
    <n v="260"/>
    <n v="12"/>
    <n v="4.62"/>
    <n v="68.27"/>
    <n v="17750.2"/>
  </r>
  <r>
    <x v="0"/>
    <x v="0"/>
    <x v="0"/>
    <n v="88"/>
    <n v="4"/>
    <n v="4.55"/>
    <n v="20.51"/>
    <n v="1804.88"/>
  </r>
  <r>
    <x v="1"/>
    <x v="0"/>
    <x v="1"/>
    <n v="228"/>
    <n v="0"/>
    <n v="0"/>
    <n v="52.53"/>
    <n v="11976.84"/>
  </r>
  <r>
    <x v="1"/>
    <x v="0"/>
    <x v="1"/>
    <n v="112"/>
    <n v="6"/>
    <n v="5.36"/>
    <n v="31.98"/>
    <n v="3581.76"/>
  </r>
  <r>
    <x v="0"/>
    <x v="0"/>
    <x v="0"/>
    <n v="145"/>
    <n v="2"/>
    <n v="1.38"/>
    <n v="30.54"/>
    <n v="4428.3"/>
  </r>
  <r>
    <x v="1"/>
    <x v="0"/>
    <x v="1"/>
    <n v="175"/>
    <n v="16"/>
    <n v="9.14"/>
    <n v="53.54"/>
    <n v="9369.5"/>
  </r>
  <r>
    <x v="1"/>
    <x v="0"/>
    <x v="2"/>
    <n v="99"/>
    <n v="7"/>
    <n v="7.07"/>
    <n v="43.66"/>
    <n v="4322.34"/>
  </r>
  <r>
    <x v="3"/>
    <x v="0"/>
    <x v="2"/>
    <n v="266"/>
    <n v="26"/>
    <n v="9.77"/>
    <n v="69.63"/>
    <n v="18521.580000000002"/>
  </r>
  <r>
    <x v="1"/>
    <x v="0"/>
    <x v="1"/>
    <n v="195"/>
    <n v="6"/>
    <n v="3.08"/>
    <n v="52.82"/>
    <n v="10299.9"/>
  </r>
  <r>
    <x v="3"/>
    <x v="0"/>
    <x v="2"/>
    <n v="133"/>
    <n v="3"/>
    <n v="2.2599999999999998"/>
    <n v="68.45"/>
    <n v="9103.85"/>
  </r>
  <r>
    <x v="1"/>
    <x v="0"/>
    <x v="2"/>
    <n v="170"/>
    <n v="13"/>
    <n v="7.65"/>
    <n v="63.52"/>
    <n v="10798.4"/>
  </r>
  <r>
    <x v="2"/>
    <x v="0"/>
    <x v="2"/>
    <n v="88"/>
    <n v="3"/>
    <n v="3.41"/>
    <n v="6.41"/>
    <n v="564.08000000000004"/>
  </r>
  <r>
    <x v="0"/>
    <x v="0"/>
    <x v="2"/>
    <n v="215"/>
    <n v="17"/>
    <n v="7.91"/>
    <n v="16.489999999999998"/>
    <n v="3545.35"/>
  </r>
  <r>
    <x v="2"/>
    <x v="0"/>
    <x v="2"/>
    <n v="84"/>
    <n v="7"/>
    <n v="8.33"/>
    <n v="11.65"/>
    <n v="978.6"/>
  </r>
  <r>
    <x v="1"/>
    <x v="0"/>
    <x v="1"/>
    <n v="282"/>
    <n v="13"/>
    <n v="4.6100000000000003"/>
    <n v="52.69"/>
    <n v="14858.58"/>
  </r>
  <r>
    <x v="1"/>
    <x v="0"/>
    <x v="1"/>
    <n v="276"/>
    <n v="27"/>
    <n v="9.7799999999999994"/>
    <n v="25.5"/>
    <n v="7038"/>
  </r>
  <r>
    <x v="3"/>
    <x v="0"/>
    <x v="2"/>
    <n v="115"/>
    <n v="2"/>
    <n v="1.74"/>
    <n v="15.29"/>
    <n v="1758.35"/>
  </r>
  <r>
    <x v="1"/>
    <x v="0"/>
    <x v="2"/>
    <n v="156"/>
    <n v="7"/>
    <n v="4.49"/>
    <n v="11.03"/>
    <n v="1720.68"/>
  </r>
  <r>
    <x v="1"/>
    <x v="0"/>
    <x v="1"/>
    <n v="149"/>
    <n v="14"/>
    <n v="9.4"/>
    <n v="58.45"/>
    <n v="8709.0499999999993"/>
  </r>
  <r>
    <x v="0"/>
    <x v="0"/>
    <x v="2"/>
    <n v="124"/>
    <n v="5"/>
    <n v="4.03"/>
    <n v="66.66"/>
    <n v="8265.84"/>
  </r>
  <r>
    <x v="0"/>
    <x v="0"/>
    <x v="2"/>
    <n v="141"/>
    <n v="14"/>
    <n v="9.93"/>
    <n v="33.97"/>
    <n v="4789.7700000000004"/>
  </r>
  <r>
    <x v="1"/>
    <x v="0"/>
    <x v="2"/>
    <n v="70"/>
    <n v="3"/>
    <n v="4.29"/>
    <n v="57.6"/>
    <n v="4032"/>
  </r>
  <r>
    <x v="1"/>
    <x v="0"/>
    <x v="2"/>
    <n v="244"/>
    <n v="24"/>
    <n v="9.84"/>
    <n v="36.69"/>
    <n v="8952.36"/>
  </r>
  <r>
    <x v="1"/>
    <x v="0"/>
    <x v="1"/>
    <n v="58"/>
    <n v="5"/>
    <n v="8.6199999999999992"/>
    <n v="12.69"/>
    <n v="736.02"/>
  </r>
  <r>
    <x v="2"/>
    <x v="0"/>
    <x v="2"/>
    <n v="254"/>
    <n v="19"/>
    <n v="7.48"/>
    <n v="51.01"/>
    <n v="12956.54"/>
  </r>
  <r>
    <x v="1"/>
    <x v="0"/>
    <x v="2"/>
    <n v="116"/>
    <n v="9"/>
    <n v="7.76"/>
    <n v="47.19"/>
    <n v="5474.04"/>
  </r>
  <r>
    <x v="1"/>
    <x v="0"/>
    <x v="2"/>
    <n v="265"/>
    <n v="1"/>
    <n v="0.38"/>
    <n v="21.15"/>
    <n v="5604.75"/>
  </r>
  <r>
    <x v="1"/>
    <x v="0"/>
    <x v="2"/>
    <n v="251"/>
    <n v="10"/>
    <n v="3.98"/>
    <n v="16.36"/>
    <n v="4106.3599999999997"/>
  </r>
  <r>
    <x v="0"/>
    <x v="0"/>
    <x v="2"/>
    <n v="133"/>
    <n v="11"/>
    <n v="8.27"/>
    <n v="28.86"/>
    <n v="3838.38"/>
  </r>
  <r>
    <x v="1"/>
    <x v="0"/>
    <x v="2"/>
    <n v="179"/>
    <n v="8"/>
    <n v="4.47"/>
    <n v="5.36"/>
    <n v="959.44"/>
  </r>
  <r>
    <x v="1"/>
    <x v="0"/>
    <x v="1"/>
    <n v="53"/>
    <n v="2"/>
    <n v="3.77"/>
    <n v="64.900000000000006"/>
    <n v="3439.7"/>
  </r>
  <r>
    <x v="0"/>
    <x v="0"/>
    <x v="0"/>
    <n v="109"/>
    <n v="9"/>
    <n v="8.26"/>
    <n v="51.77"/>
    <n v="5642.93"/>
  </r>
  <r>
    <x v="1"/>
    <x v="0"/>
    <x v="2"/>
    <n v="143"/>
    <n v="10"/>
    <n v="6.99"/>
    <n v="34.869999999999997"/>
    <n v="4986.41"/>
  </r>
  <r>
    <x v="0"/>
    <x v="0"/>
    <x v="2"/>
    <n v="133"/>
    <n v="4"/>
    <n v="3.01"/>
    <n v="28.62"/>
    <n v="3806.46"/>
  </r>
  <r>
    <x v="0"/>
    <x v="0"/>
    <x v="2"/>
    <n v="274"/>
    <n v="9"/>
    <n v="3.28"/>
    <n v="60.9"/>
    <n v="16686.599999999999"/>
  </r>
  <r>
    <x v="1"/>
    <x v="0"/>
    <x v="1"/>
    <n v="239"/>
    <n v="13"/>
    <n v="5.44"/>
    <n v="69.16"/>
    <n v="16529.240000000002"/>
  </r>
  <r>
    <x v="0"/>
    <x v="0"/>
    <x v="0"/>
    <n v="204"/>
    <n v="10"/>
    <n v="4.9000000000000004"/>
    <n v="50.18"/>
    <n v="10236.719999999999"/>
  </r>
  <r>
    <x v="0"/>
    <x v="0"/>
    <x v="2"/>
    <n v="93"/>
    <n v="2"/>
    <n v="2.15"/>
    <n v="24.84"/>
    <n v="2310.12"/>
  </r>
  <r>
    <x v="1"/>
    <x v="0"/>
    <x v="1"/>
    <n v="195"/>
    <n v="14"/>
    <n v="7.18"/>
    <n v="18.440000000000001"/>
    <n v="3595.8"/>
  </r>
  <r>
    <x v="0"/>
    <x v="0"/>
    <x v="0"/>
    <n v="142"/>
    <n v="4"/>
    <n v="2.82"/>
    <n v="61.91"/>
    <n v="8791.2199999999993"/>
  </r>
  <r>
    <x v="0"/>
    <x v="0"/>
    <x v="2"/>
    <n v="281"/>
    <n v="9"/>
    <n v="3.2"/>
    <n v="48.79"/>
    <n v="13709.99"/>
  </r>
  <r>
    <x v="3"/>
    <x v="0"/>
    <x v="2"/>
    <n v="147"/>
    <n v="4"/>
    <n v="2.72"/>
    <n v="65.209999999999994"/>
    <n v="9585.8700000000008"/>
  </r>
  <r>
    <x v="1"/>
    <x v="0"/>
    <x v="1"/>
    <n v="186"/>
    <n v="4"/>
    <n v="2.15"/>
    <n v="5.99"/>
    <n v="1114.1400000000001"/>
  </r>
  <r>
    <x v="3"/>
    <x v="0"/>
    <x v="2"/>
    <n v="238"/>
    <n v="17"/>
    <n v="7.14"/>
    <n v="10.58"/>
    <n v="2518.04"/>
  </r>
  <r>
    <x v="0"/>
    <x v="0"/>
    <x v="0"/>
    <n v="89"/>
    <n v="0"/>
    <n v="0"/>
    <n v="17.57"/>
    <n v="1563.73"/>
  </r>
  <r>
    <x v="0"/>
    <x v="0"/>
    <x v="2"/>
    <n v="56"/>
    <n v="1"/>
    <n v="1.79"/>
    <n v="26.25"/>
    <n v="1470"/>
  </r>
  <r>
    <x v="0"/>
    <x v="0"/>
    <x v="2"/>
    <n v="230"/>
    <n v="8"/>
    <n v="3.48"/>
    <n v="22.48"/>
    <n v="5170.3999999999996"/>
  </r>
  <r>
    <x v="1"/>
    <x v="0"/>
    <x v="1"/>
    <n v="149"/>
    <n v="8"/>
    <n v="5.37"/>
    <n v="59.22"/>
    <n v="8823.7800000000007"/>
  </r>
  <r>
    <x v="2"/>
    <x v="0"/>
    <x v="2"/>
    <n v="105"/>
    <n v="2"/>
    <n v="1.9"/>
    <n v="61.8"/>
    <n v="6489"/>
  </r>
  <r>
    <x v="1"/>
    <x v="0"/>
    <x v="2"/>
    <n v="200"/>
    <n v="7"/>
    <n v="3.5"/>
    <n v="45.19"/>
    <n v="9038"/>
  </r>
  <r>
    <x v="0"/>
    <x v="0"/>
    <x v="0"/>
    <n v="155"/>
    <n v="7"/>
    <n v="4.5199999999999996"/>
    <n v="32.64"/>
    <n v="5059.2"/>
  </r>
  <r>
    <x v="3"/>
    <x v="0"/>
    <x v="2"/>
    <n v="216"/>
    <n v="17"/>
    <n v="7.87"/>
    <n v="41.53"/>
    <n v="8970.48"/>
  </r>
  <r>
    <x v="0"/>
    <x v="0"/>
    <x v="0"/>
    <n v="223"/>
    <n v="19"/>
    <n v="8.52"/>
    <n v="62.55"/>
    <n v="13948.65"/>
  </r>
  <r>
    <x v="1"/>
    <x v="0"/>
    <x v="1"/>
    <n v="155"/>
    <n v="5"/>
    <n v="3.23"/>
    <n v="52.96"/>
    <n v="8208.7999999999993"/>
  </r>
  <r>
    <x v="1"/>
    <x v="0"/>
    <x v="2"/>
    <n v="96"/>
    <n v="8"/>
    <n v="8.33"/>
    <n v="18.239999999999998"/>
    <n v="1751.04"/>
  </r>
  <r>
    <x v="3"/>
    <x v="0"/>
    <x v="2"/>
    <n v="199"/>
    <n v="3"/>
    <n v="1.51"/>
    <n v="59.48"/>
    <n v="11836.52"/>
  </r>
  <r>
    <x v="3"/>
    <x v="0"/>
    <x v="2"/>
    <n v="175"/>
    <n v="4"/>
    <n v="2.29"/>
    <n v="64.95"/>
    <n v="11366.25"/>
  </r>
  <r>
    <x v="1"/>
    <x v="0"/>
    <x v="2"/>
    <n v="87"/>
    <n v="8"/>
    <n v="9.1999999999999993"/>
    <n v="21.24"/>
    <n v="1847.88"/>
  </r>
  <r>
    <x v="3"/>
    <x v="0"/>
    <x v="2"/>
    <n v="277"/>
    <n v="26"/>
    <n v="9.39"/>
    <n v="17.45"/>
    <n v="4833.6499999999996"/>
  </r>
  <r>
    <x v="3"/>
    <x v="0"/>
    <x v="2"/>
    <n v="132"/>
    <n v="11"/>
    <n v="8.33"/>
    <n v="43.51"/>
    <n v="5743.32"/>
  </r>
  <r>
    <x v="0"/>
    <x v="0"/>
    <x v="2"/>
    <n v="267"/>
    <n v="9"/>
    <n v="3.37"/>
    <n v="23.43"/>
    <n v="6255.81"/>
  </r>
  <r>
    <x v="2"/>
    <x v="0"/>
    <x v="2"/>
    <n v="73"/>
    <n v="6"/>
    <n v="8.2200000000000006"/>
    <n v="32.6"/>
    <n v="2379.8000000000002"/>
  </r>
  <r>
    <x v="1"/>
    <x v="0"/>
    <x v="1"/>
    <n v="294"/>
    <n v="12"/>
    <n v="4.08"/>
    <n v="66.72"/>
    <n v="19615.68"/>
  </r>
  <r>
    <x v="1"/>
    <x v="0"/>
    <x v="2"/>
    <n v="122"/>
    <n v="8"/>
    <n v="6.56"/>
    <n v="48.48"/>
    <n v="5914.56"/>
  </r>
  <r>
    <x v="3"/>
    <x v="0"/>
    <x v="2"/>
    <n v="221"/>
    <n v="2"/>
    <n v="0.9"/>
    <n v="6.73"/>
    <n v="1487.33"/>
  </r>
  <r>
    <x v="0"/>
    <x v="0"/>
    <x v="2"/>
    <n v="212"/>
    <n v="17"/>
    <n v="8.02"/>
    <n v="9.3000000000000007"/>
    <n v="1971.6"/>
  </r>
  <r>
    <x v="0"/>
    <x v="0"/>
    <x v="2"/>
    <n v="113"/>
    <n v="2"/>
    <n v="1.77"/>
    <n v="25.95"/>
    <n v="2932.35"/>
  </r>
  <r>
    <x v="1"/>
    <x v="0"/>
    <x v="2"/>
    <n v="89"/>
    <n v="1"/>
    <n v="1.1200000000000001"/>
    <n v="42.62"/>
    <n v="3793.18"/>
  </r>
  <r>
    <x v="1"/>
    <x v="0"/>
    <x v="1"/>
    <n v="120"/>
    <n v="11"/>
    <n v="9.17"/>
    <n v="65.069999999999993"/>
    <n v="7808.4"/>
  </r>
  <r>
    <x v="1"/>
    <x v="0"/>
    <x v="2"/>
    <n v="261"/>
    <n v="24"/>
    <n v="9.1999999999999993"/>
    <n v="46.19"/>
    <n v="12055.59"/>
  </r>
  <r>
    <x v="1"/>
    <x v="0"/>
    <x v="1"/>
    <n v="195"/>
    <n v="1"/>
    <n v="0.51"/>
    <n v="20.95"/>
    <n v="4085.25"/>
  </r>
  <r>
    <x v="1"/>
    <x v="0"/>
    <x v="1"/>
    <n v="131"/>
    <n v="1"/>
    <n v="0.76"/>
    <n v="54.72"/>
    <n v="7168.32"/>
  </r>
  <r>
    <x v="3"/>
    <x v="0"/>
    <x v="2"/>
    <n v="250"/>
    <n v="5"/>
    <n v="2"/>
    <n v="38.1"/>
    <n v="9525"/>
  </r>
  <r>
    <x v="1"/>
    <x v="0"/>
    <x v="2"/>
    <n v="196"/>
    <n v="4"/>
    <n v="2.04"/>
    <n v="37.29"/>
    <n v="7308.84"/>
  </r>
  <r>
    <x v="3"/>
    <x v="0"/>
    <x v="2"/>
    <n v="300"/>
    <n v="27"/>
    <n v="9"/>
    <n v="32.81"/>
    <n v="9843"/>
  </r>
  <r>
    <x v="2"/>
    <x v="0"/>
    <x v="2"/>
    <n v="253"/>
    <n v="24"/>
    <n v="9.49"/>
    <n v="21.45"/>
    <n v="5426.85"/>
  </r>
  <r>
    <x v="0"/>
    <x v="0"/>
    <x v="2"/>
    <n v="263"/>
    <n v="2"/>
    <n v="0.76"/>
    <n v="9.7899999999999991"/>
    <n v="2574.77"/>
  </r>
  <r>
    <x v="2"/>
    <x v="0"/>
    <x v="2"/>
    <n v="115"/>
    <n v="3"/>
    <n v="2.61"/>
    <n v="69.41"/>
    <n v="7982.15"/>
  </r>
  <r>
    <x v="2"/>
    <x v="0"/>
    <x v="2"/>
    <n v="108"/>
    <n v="9"/>
    <n v="8.33"/>
    <n v="13.33"/>
    <n v="1439.64"/>
  </r>
  <r>
    <x v="0"/>
    <x v="0"/>
    <x v="2"/>
    <n v="270"/>
    <n v="15"/>
    <n v="5.56"/>
    <n v="30.27"/>
    <n v="8172.9"/>
  </r>
  <r>
    <x v="2"/>
    <x v="0"/>
    <x v="2"/>
    <n v="57"/>
    <n v="5"/>
    <n v="8.77"/>
    <n v="38.68"/>
    <n v="2204.7600000000002"/>
  </r>
  <r>
    <x v="0"/>
    <x v="0"/>
    <x v="0"/>
    <n v="50"/>
    <n v="3"/>
    <n v="6"/>
    <n v="47.58"/>
    <n v="2379"/>
  </r>
  <r>
    <x v="2"/>
    <x v="0"/>
    <x v="2"/>
    <n v="145"/>
    <n v="4"/>
    <n v="2.76"/>
    <n v="19.21"/>
    <n v="2785.45"/>
  </r>
  <r>
    <x v="2"/>
    <x v="0"/>
    <x v="2"/>
    <n v="64"/>
    <n v="4"/>
    <n v="6.25"/>
    <n v="35.76"/>
    <n v="2288.64"/>
  </r>
  <r>
    <x v="0"/>
    <x v="0"/>
    <x v="0"/>
    <n v="91"/>
    <n v="4"/>
    <n v="4.4000000000000004"/>
    <n v="17.11"/>
    <n v="1557.01"/>
  </r>
  <r>
    <x v="1"/>
    <x v="0"/>
    <x v="1"/>
    <n v="233"/>
    <n v="1"/>
    <n v="0.43"/>
    <n v="44.95"/>
    <n v="10473.35"/>
  </r>
  <r>
    <x v="2"/>
    <x v="0"/>
    <x v="2"/>
    <n v="208"/>
    <n v="4"/>
    <n v="1.92"/>
    <n v="42.97"/>
    <n v="8937.76"/>
  </r>
  <r>
    <x v="1"/>
    <x v="0"/>
    <x v="2"/>
    <n v="256"/>
    <n v="20"/>
    <n v="7.81"/>
    <n v="23.81"/>
    <n v="6095.36"/>
  </r>
  <r>
    <x v="3"/>
    <x v="0"/>
    <x v="2"/>
    <n v="286"/>
    <n v="16"/>
    <n v="5.59"/>
    <n v="30.55"/>
    <n v="8737.2999999999993"/>
  </r>
  <r>
    <x v="0"/>
    <x v="0"/>
    <x v="2"/>
    <n v="244"/>
    <n v="16"/>
    <n v="6.56"/>
    <n v="40.61"/>
    <n v="9908.84"/>
  </r>
  <r>
    <x v="0"/>
    <x v="0"/>
    <x v="0"/>
    <n v="204"/>
    <n v="7"/>
    <n v="3.43"/>
    <n v="54.55"/>
    <n v="11128.2"/>
  </r>
  <r>
    <x v="2"/>
    <x v="0"/>
    <x v="2"/>
    <n v="296"/>
    <n v="5"/>
    <n v="1.69"/>
    <n v="15.37"/>
    <n v="4549.5200000000004"/>
  </r>
  <r>
    <x v="3"/>
    <x v="0"/>
    <x v="2"/>
    <n v="134"/>
    <n v="9"/>
    <n v="6.72"/>
    <n v="69.790000000000006"/>
    <n v="9351.86"/>
  </r>
  <r>
    <x v="0"/>
    <x v="0"/>
    <x v="0"/>
    <n v="72"/>
    <n v="5"/>
    <n v="6.94"/>
    <n v="56.39"/>
    <n v="4060.08"/>
  </r>
  <r>
    <x v="1"/>
    <x v="0"/>
    <x v="2"/>
    <n v="98"/>
    <n v="9"/>
    <n v="9.18"/>
    <n v="6.03"/>
    <n v="590.94000000000005"/>
  </r>
  <r>
    <x v="1"/>
    <x v="0"/>
    <x v="1"/>
    <n v="93"/>
    <n v="0"/>
    <n v="0"/>
    <n v="21.42"/>
    <n v="1992.06"/>
  </r>
  <r>
    <x v="0"/>
    <x v="0"/>
    <x v="2"/>
    <n v="123"/>
    <n v="11"/>
    <n v="8.94"/>
    <n v="21.54"/>
    <n v="2649.42"/>
  </r>
  <r>
    <x v="0"/>
    <x v="0"/>
    <x v="2"/>
    <n v="85"/>
    <n v="0"/>
    <n v="0"/>
    <n v="38.75"/>
    <n v="3293.75"/>
  </r>
  <r>
    <x v="0"/>
    <x v="0"/>
    <x v="0"/>
    <n v="140"/>
    <n v="9"/>
    <n v="6.43"/>
    <n v="19.16"/>
    <n v="2682.4"/>
  </r>
  <r>
    <x v="0"/>
    <x v="0"/>
    <x v="2"/>
    <n v="71"/>
    <n v="0"/>
    <n v="0"/>
    <n v="13.03"/>
    <n v="925.13"/>
  </r>
  <r>
    <x v="1"/>
    <x v="0"/>
    <x v="1"/>
    <n v="204"/>
    <n v="14"/>
    <n v="6.86"/>
    <n v="18.940000000000001"/>
    <n v="3863.76"/>
  </r>
  <r>
    <x v="1"/>
    <x v="0"/>
    <x v="2"/>
    <n v="88"/>
    <n v="3"/>
    <n v="3.41"/>
    <n v="38.01"/>
    <n v="3344.88"/>
  </r>
  <r>
    <x v="2"/>
    <x v="0"/>
    <x v="2"/>
    <n v="128"/>
    <n v="12"/>
    <n v="9.3800000000000008"/>
    <n v="33.119999999999997"/>
    <n v="4239.3599999999997"/>
  </r>
  <r>
    <x v="0"/>
    <x v="0"/>
    <x v="0"/>
    <n v="266"/>
    <n v="16"/>
    <n v="6.02"/>
    <n v="67.33"/>
    <n v="17909.78"/>
  </r>
  <r>
    <x v="2"/>
    <x v="0"/>
    <x v="2"/>
    <n v="159"/>
    <n v="12"/>
    <n v="7.55"/>
    <n v="41.02"/>
    <n v="6522.18"/>
  </r>
  <r>
    <x v="0"/>
    <x v="0"/>
    <x v="2"/>
    <n v="238"/>
    <n v="0"/>
    <n v="0"/>
    <n v="58.92"/>
    <n v="14022.96"/>
  </r>
  <r>
    <x v="3"/>
    <x v="0"/>
    <x v="2"/>
    <n v="283"/>
    <n v="21"/>
    <n v="7.42"/>
    <n v="39.340000000000003"/>
    <n v="11133.22"/>
  </r>
  <r>
    <x v="2"/>
    <x v="0"/>
    <x v="2"/>
    <n v="279"/>
    <n v="4"/>
    <n v="1.43"/>
    <n v="8.74"/>
    <n v="2438.46"/>
  </r>
  <r>
    <x v="0"/>
    <x v="0"/>
    <x v="0"/>
    <n v="58"/>
    <n v="5"/>
    <n v="8.6199999999999992"/>
    <n v="31.64"/>
    <n v="1835.12"/>
  </r>
  <r>
    <x v="0"/>
    <x v="0"/>
    <x v="0"/>
    <n v="293"/>
    <n v="21"/>
    <n v="7.17"/>
    <n v="12.3"/>
    <n v="3603.9"/>
  </r>
  <r>
    <x v="1"/>
    <x v="0"/>
    <x v="2"/>
    <n v="58"/>
    <n v="5"/>
    <n v="8.6199999999999992"/>
    <n v="7.04"/>
    <n v="408.32"/>
  </r>
  <r>
    <x v="3"/>
    <x v="0"/>
    <x v="2"/>
    <n v="220"/>
    <n v="4"/>
    <n v="1.82"/>
    <n v="48.81"/>
    <n v="10738.2"/>
  </r>
  <r>
    <x v="0"/>
    <x v="0"/>
    <x v="0"/>
    <n v="116"/>
    <n v="3"/>
    <n v="2.59"/>
    <n v="30.42"/>
    <n v="3528.72"/>
  </r>
  <r>
    <x v="2"/>
    <x v="0"/>
    <x v="2"/>
    <n v="234"/>
    <n v="3"/>
    <n v="1.28"/>
    <n v="24.77"/>
    <n v="5796.18"/>
  </r>
  <r>
    <x v="1"/>
    <x v="0"/>
    <x v="1"/>
    <n v="62"/>
    <n v="6"/>
    <n v="9.68"/>
    <n v="25.79"/>
    <n v="1598.98"/>
  </r>
  <r>
    <x v="1"/>
    <x v="0"/>
    <x v="2"/>
    <n v="106"/>
    <n v="7"/>
    <n v="6.6"/>
    <n v="41.91"/>
    <n v="4442.46"/>
  </r>
  <r>
    <x v="0"/>
    <x v="0"/>
    <x v="0"/>
    <n v="295"/>
    <n v="4"/>
    <n v="1.36"/>
    <n v="37.58"/>
    <n v="11086.1"/>
  </r>
  <r>
    <x v="1"/>
    <x v="0"/>
    <x v="1"/>
    <n v="88"/>
    <n v="4"/>
    <n v="4.55"/>
    <n v="34.35"/>
    <n v="3022.8"/>
  </r>
  <r>
    <x v="2"/>
    <x v="0"/>
    <x v="2"/>
    <n v="84"/>
    <n v="7"/>
    <n v="8.33"/>
    <n v="50.62"/>
    <n v="4252.08"/>
  </r>
  <r>
    <x v="3"/>
    <x v="0"/>
    <x v="2"/>
    <n v="172"/>
    <n v="9"/>
    <n v="5.23"/>
    <n v="37.590000000000003"/>
    <n v="6465.48"/>
  </r>
  <r>
    <x v="2"/>
    <x v="0"/>
    <x v="2"/>
    <n v="143"/>
    <n v="14"/>
    <n v="9.7899999999999991"/>
    <n v="20.74"/>
    <n v="2965.82"/>
  </r>
  <r>
    <x v="1"/>
    <x v="0"/>
    <x v="1"/>
    <n v="89"/>
    <n v="5"/>
    <n v="5.62"/>
    <n v="35.11"/>
    <n v="3124.79"/>
  </r>
  <r>
    <x v="1"/>
    <x v="0"/>
    <x v="1"/>
    <n v="104"/>
    <n v="5"/>
    <n v="4.8099999999999996"/>
    <n v="31.57"/>
    <n v="3283.28"/>
  </r>
  <r>
    <x v="0"/>
    <x v="0"/>
    <x v="0"/>
    <n v="90"/>
    <n v="8"/>
    <n v="8.89"/>
    <n v="31.02"/>
    <n v="2791.8"/>
  </r>
  <r>
    <x v="1"/>
    <x v="0"/>
    <x v="2"/>
    <n v="268"/>
    <n v="16"/>
    <n v="5.97"/>
    <n v="12.6"/>
    <n v="3376.8"/>
  </r>
  <r>
    <x v="3"/>
    <x v="0"/>
    <x v="2"/>
    <n v="190"/>
    <n v="8"/>
    <n v="4.21"/>
    <n v="40.590000000000003"/>
    <n v="7712.1"/>
  </r>
  <r>
    <x v="2"/>
    <x v="0"/>
    <x v="2"/>
    <n v="299"/>
    <n v="19"/>
    <n v="6.35"/>
    <n v="45.89"/>
    <n v="13721.11"/>
  </r>
  <r>
    <x v="1"/>
    <x v="0"/>
    <x v="1"/>
    <n v="165"/>
    <n v="1"/>
    <n v="0.61"/>
    <n v="39.94"/>
    <n v="6590.1"/>
  </r>
  <r>
    <x v="0"/>
    <x v="0"/>
    <x v="0"/>
    <n v="183"/>
    <n v="3"/>
    <n v="1.64"/>
    <n v="35.72"/>
    <n v="6536.76"/>
  </r>
  <r>
    <x v="1"/>
    <x v="0"/>
    <x v="1"/>
    <n v="223"/>
    <n v="4"/>
    <n v="1.79"/>
    <n v="32.69"/>
    <n v="7289.87"/>
  </r>
  <r>
    <x v="1"/>
    <x v="0"/>
    <x v="1"/>
    <n v="191"/>
    <n v="3"/>
    <n v="1.57"/>
    <n v="42.28"/>
    <n v="8075.48"/>
  </r>
  <r>
    <x v="0"/>
    <x v="0"/>
    <x v="2"/>
    <n v="113"/>
    <n v="7"/>
    <n v="6.19"/>
    <n v="59.35"/>
    <n v="6706.55"/>
  </r>
  <r>
    <x v="2"/>
    <x v="0"/>
    <x v="2"/>
    <n v="266"/>
    <n v="10"/>
    <n v="3.76"/>
    <n v="46.3"/>
    <n v="12315.8"/>
  </r>
  <r>
    <x v="1"/>
    <x v="0"/>
    <x v="2"/>
    <n v="189"/>
    <n v="7"/>
    <n v="3.7"/>
    <n v="54.03"/>
    <n v="10211.67"/>
  </r>
  <r>
    <x v="2"/>
    <x v="0"/>
    <x v="2"/>
    <n v="150"/>
    <n v="5"/>
    <n v="3.33"/>
    <n v="42.69"/>
    <n v="6403.5"/>
  </r>
  <r>
    <x v="2"/>
    <x v="0"/>
    <x v="2"/>
    <n v="236"/>
    <n v="19"/>
    <n v="8.0500000000000007"/>
    <n v="31.64"/>
    <n v="7467.04"/>
  </r>
  <r>
    <x v="1"/>
    <x v="0"/>
    <x v="2"/>
    <n v="112"/>
    <n v="10"/>
    <n v="8.93"/>
    <n v="43.58"/>
    <n v="4880.96"/>
  </r>
  <r>
    <x v="0"/>
    <x v="0"/>
    <x v="2"/>
    <n v="138"/>
    <n v="11"/>
    <n v="7.97"/>
    <n v="12.93"/>
    <n v="1784.34"/>
  </r>
  <r>
    <x v="1"/>
    <x v="0"/>
    <x v="2"/>
    <n v="159"/>
    <n v="6"/>
    <n v="3.77"/>
    <n v="53.7"/>
    <n v="8538.2999999999993"/>
  </r>
  <r>
    <x v="0"/>
    <x v="0"/>
    <x v="0"/>
    <n v="211"/>
    <n v="18"/>
    <n v="8.5299999999999994"/>
    <n v="10.81"/>
    <n v="2280.91"/>
  </r>
  <r>
    <x v="3"/>
    <x v="0"/>
    <x v="2"/>
    <n v="248"/>
    <n v="4"/>
    <n v="1.61"/>
    <n v="52.69"/>
    <n v="13067.12"/>
  </r>
  <r>
    <x v="0"/>
    <x v="0"/>
    <x v="0"/>
    <n v="214"/>
    <n v="17"/>
    <n v="7.94"/>
    <n v="5.72"/>
    <n v="1224.08"/>
  </r>
  <r>
    <x v="3"/>
    <x v="0"/>
    <x v="2"/>
    <n v="126"/>
    <n v="3"/>
    <n v="2.38"/>
    <n v="66.61"/>
    <n v="8392.86"/>
  </r>
  <r>
    <x v="1"/>
    <x v="0"/>
    <x v="1"/>
    <n v="69"/>
    <n v="1"/>
    <n v="1.45"/>
    <n v="42.6"/>
    <n v="2939.4"/>
  </r>
  <r>
    <x v="2"/>
    <x v="0"/>
    <x v="2"/>
    <n v="245"/>
    <n v="21"/>
    <n v="8.57"/>
    <n v="44.31"/>
    <n v="10855.95"/>
  </r>
  <r>
    <x v="2"/>
    <x v="0"/>
    <x v="2"/>
    <n v="91"/>
    <n v="4"/>
    <n v="4.4000000000000004"/>
    <n v="47.72"/>
    <n v="4342.5200000000004"/>
  </r>
  <r>
    <x v="2"/>
    <x v="0"/>
    <x v="2"/>
    <n v="54"/>
    <n v="5"/>
    <n v="9.26"/>
    <n v="39.979999999999997"/>
    <n v="2158.92"/>
  </r>
  <r>
    <x v="2"/>
    <x v="0"/>
    <x v="2"/>
    <n v="125"/>
    <n v="1"/>
    <n v="0.8"/>
    <n v="37.54"/>
    <n v="4692.5"/>
  </r>
  <r>
    <x v="1"/>
    <x v="0"/>
    <x v="1"/>
    <n v="72"/>
    <n v="2"/>
    <n v="2.78"/>
    <n v="29.14"/>
    <n v="2098.08"/>
  </r>
  <r>
    <x v="2"/>
    <x v="0"/>
    <x v="2"/>
    <n v="280"/>
    <n v="2"/>
    <n v="0.71"/>
    <n v="54.21"/>
    <n v="15178.8"/>
  </r>
  <r>
    <x v="1"/>
    <x v="0"/>
    <x v="1"/>
    <n v="265"/>
    <n v="11"/>
    <n v="4.1500000000000004"/>
    <n v="43.79"/>
    <n v="11604.35"/>
  </r>
  <r>
    <x v="1"/>
    <x v="0"/>
    <x v="2"/>
    <n v="194"/>
    <n v="5"/>
    <n v="2.58"/>
    <n v="34.22"/>
    <n v="6638.68"/>
  </r>
  <r>
    <x v="3"/>
    <x v="0"/>
    <x v="2"/>
    <n v="173"/>
    <n v="10"/>
    <n v="5.78"/>
    <n v="39.29"/>
    <n v="6797.17"/>
  </r>
  <r>
    <x v="1"/>
    <x v="0"/>
    <x v="1"/>
    <n v="157"/>
    <n v="2"/>
    <n v="1.27"/>
    <n v="36.15"/>
    <n v="5675.55"/>
  </r>
  <r>
    <x v="3"/>
    <x v="0"/>
    <x v="2"/>
    <n v="212"/>
    <n v="20"/>
    <n v="9.43"/>
    <n v="45.55"/>
    <n v="9656.6"/>
  </r>
  <r>
    <x v="2"/>
    <x v="0"/>
    <x v="2"/>
    <n v="220"/>
    <n v="17"/>
    <n v="7.73"/>
    <n v="62.57"/>
    <n v="13765.4"/>
  </r>
  <r>
    <x v="1"/>
    <x v="0"/>
    <x v="1"/>
    <n v="189"/>
    <n v="11"/>
    <n v="5.82"/>
    <n v="19.32"/>
    <n v="3651.48"/>
  </r>
  <r>
    <x v="0"/>
    <x v="0"/>
    <x v="2"/>
    <n v="107"/>
    <n v="0"/>
    <n v="0"/>
    <n v="49.16"/>
    <n v="5260.12"/>
  </r>
  <r>
    <x v="1"/>
    <x v="0"/>
    <x v="2"/>
    <n v="62"/>
    <n v="0"/>
    <n v="0"/>
    <n v="37.71"/>
    <n v="2338.02"/>
  </r>
  <r>
    <x v="0"/>
    <x v="0"/>
    <x v="0"/>
    <n v="298"/>
    <n v="13"/>
    <n v="4.3600000000000003"/>
    <n v="44.33"/>
    <n v="13210.34"/>
  </r>
  <r>
    <x v="0"/>
    <x v="0"/>
    <x v="2"/>
    <n v="82"/>
    <n v="1"/>
    <n v="1.22"/>
    <n v="23.01"/>
    <n v="1886.82"/>
  </r>
  <r>
    <x v="0"/>
    <x v="0"/>
    <x v="0"/>
    <n v="257"/>
    <n v="20"/>
    <n v="7.78"/>
    <n v="19.690000000000001"/>
    <n v="5060.33"/>
  </r>
  <r>
    <x v="1"/>
    <x v="0"/>
    <x v="1"/>
    <n v="217"/>
    <n v="19"/>
    <n v="8.76"/>
    <n v="47.45"/>
    <n v="10296.65"/>
  </r>
  <r>
    <x v="1"/>
    <x v="0"/>
    <x v="1"/>
    <n v="206"/>
    <n v="4"/>
    <n v="1.94"/>
    <n v="26.62"/>
    <n v="5483.72"/>
  </r>
  <r>
    <x v="1"/>
    <x v="0"/>
    <x v="1"/>
    <n v="93"/>
    <n v="1"/>
    <n v="1.08"/>
    <n v="22.2"/>
    <n v="2064.6"/>
  </r>
  <r>
    <x v="1"/>
    <x v="0"/>
    <x v="2"/>
    <n v="251"/>
    <n v="16"/>
    <n v="6.37"/>
    <n v="8.86"/>
    <n v="2223.86"/>
  </r>
  <r>
    <x v="3"/>
    <x v="0"/>
    <x v="2"/>
    <n v="211"/>
    <n v="16"/>
    <n v="7.58"/>
    <n v="37.049999999999997"/>
    <n v="7817.55"/>
  </r>
  <r>
    <x v="0"/>
    <x v="0"/>
    <x v="2"/>
    <n v="275"/>
    <n v="9"/>
    <n v="3.27"/>
    <n v="60.08"/>
    <n v="16522"/>
  </r>
  <r>
    <x v="3"/>
    <x v="0"/>
    <x v="2"/>
    <n v="121"/>
    <n v="2"/>
    <n v="1.65"/>
    <n v="5.12"/>
    <n v="619.52"/>
  </r>
  <r>
    <x v="0"/>
    <x v="0"/>
    <x v="0"/>
    <n v="167"/>
    <n v="13"/>
    <n v="7.78"/>
    <n v="49.14"/>
    <n v="8206.3799999999992"/>
  </r>
  <r>
    <x v="0"/>
    <x v="0"/>
    <x v="0"/>
    <n v="254"/>
    <n v="17"/>
    <n v="6.69"/>
    <n v="18.29"/>
    <n v="4645.66"/>
  </r>
  <r>
    <x v="0"/>
    <x v="0"/>
    <x v="0"/>
    <n v="166"/>
    <n v="12"/>
    <n v="7.23"/>
    <n v="10.9"/>
    <n v="1809.4"/>
  </r>
  <r>
    <x v="1"/>
    <x v="0"/>
    <x v="1"/>
    <n v="258"/>
    <n v="22"/>
    <n v="8.5299999999999994"/>
    <n v="38.61"/>
    <n v="9961.3799999999992"/>
  </r>
  <r>
    <x v="1"/>
    <x v="0"/>
    <x v="1"/>
    <n v="199"/>
    <n v="14"/>
    <n v="7.04"/>
    <n v="34.03"/>
    <n v="6771.97"/>
  </r>
  <r>
    <x v="0"/>
    <x v="0"/>
    <x v="0"/>
    <n v="122"/>
    <n v="5"/>
    <n v="4.0999999999999996"/>
    <n v="14.15"/>
    <n v="1726.3"/>
  </r>
  <r>
    <x v="1"/>
    <x v="0"/>
    <x v="1"/>
    <n v="146"/>
    <n v="5"/>
    <n v="3.42"/>
    <n v="14.24"/>
    <n v="2079.04"/>
  </r>
  <r>
    <x v="0"/>
    <x v="0"/>
    <x v="2"/>
    <n v="216"/>
    <n v="1"/>
    <n v="0.46"/>
    <n v="52.16"/>
    <n v="11266.56"/>
  </r>
  <r>
    <x v="1"/>
    <x v="0"/>
    <x v="2"/>
    <n v="137"/>
    <n v="5"/>
    <n v="3.65"/>
    <n v="27.53"/>
    <n v="3771.61"/>
  </r>
  <r>
    <x v="1"/>
    <x v="0"/>
    <x v="2"/>
    <n v="145"/>
    <n v="9"/>
    <n v="6.21"/>
    <n v="44.77"/>
    <n v="6491.65"/>
  </r>
  <r>
    <x v="3"/>
    <x v="0"/>
    <x v="2"/>
    <n v="226"/>
    <n v="12"/>
    <n v="5.31"/>
    <n v="25.59"/>
    <n v="5783.34"/>
  </r>
  <r>
    <x v="1"/>
    <x v="0"/>
    <x v="2"/>
    <n v="261"/>
    <n v="19"/>
    <n v="7.28"/>
    <n v="15.49"/>
    <n v="4042.89"/>
  </r>
  <r>
    <x v="3"/>
    <x v="0"/>
    <x v="2"/>
    <n v="84"/>
    <n v="5"/>
    <n v="5.95"/>
    <n v="36.17"/>
    <n v="3038.28"/>
  </r>
  <r>
    <x v="0"/>
    <x v="0"/>
    <x v="2"/>
    <n v="191"/>
    <n v="19"/>
    <n v="9.9499999999999993"/>
    <n v="26.67"/>
    <n v="5093.97"/>
  </r>
  <r>
    <x v="0"/>
    <x v="0"/>
    <x v="2"/>
    <n v="239"/>
    <n v="0"/>
    <n v="0"/>
    <n v="16.559999999999999"/>
    <n v="3957.84"/>
  </r>
  <r>
    <x v="3"/>
    <x v="0"/>
    <x v="2"/>
    <n v="81"/>
    <n v="7"/>
    <n v="8.64"/>
    <n v="59.35"/>
    <n v="4807.3500000000004"/>
  </r>
  <r>
    <x v="3"/>
    <x v="0"/>
    <x v="2"/>
    <n v="173"/>
    <n v="7"/>
    <n v="4.05"/>
    <n v="50.08"/>
    <n v="8663.84"/>
  </r>
  <r>
    <x v="2"/>
    <x v="0"/>
    <x v="2"/>
    <n v="140"/>
    <n v="6"/>
    <n v="4.29"/>
    <n v="19.86"/>
    <n v="2780.4"/>
  </r>
  <r>
    <x v="3"/>
    <x v="0"/>
    <x v="2"/>
    <n v="286"/>
    <n v="19"/>
    <n v="6.64"/>
    <n v="53.62"/>
    <n v="15335.32"/>
  </r>
  <r>
    <x v="0"/>
    <x v="0"/>
    <x v="2"/>
    <n v="287"/>
    <n v="15"/>
    <n v="5.23"/>
    <n v="35.17"/>
    <n v="10093.790000000001"/>
  </r>
  <r>
    <x v="1"/>
    <x v="0"/>
    <x v="2"/>
    <n v="227"/>
    <n v="21"/>
    <n v="9.25"/>
    <n v="60.16"/>
    <n v="13656.32"/>
  </r>
  <r>
    <x v="2"/>
    <x v="0"/>
    <x v="2"/>
    <n v="274"/>
    <n v="10"/>
    <n v="3.65"/>
    <n v="27.66"/>
    <n v="7578.84"/>
  </r>
  <r>
    <x v="2"/>
    <x v="0"/>
    <x v="2"/>
    <n v="170"/>
    <n v="16"/>
    <n v="9.41"/>
    <n v="31.46"/>
    <n v="5348.2"/>
  </r>
  <r>
    <x v="0"/>
    <x v="0"/>
    <x v="2"/>
    <n v="55"/>
    <n v="1"/>
    <n v="1.82"/>
    <n v="47.5"/>
    <n v="2612.5"/>
  </r>
  <r>
    <x v="2"/>
    <x v="0"/>
    <x v="2"/>
    <n v="53"/>
    <n v="4"/>
    <n v="7.55"/>
    <n v="28.25"/>
    <n v="1497.25"/>
  </r>
  <r>
    <x v="0"/>
    <x v="0"/>
    <x v="0"/>
    <n v="264"/>
    <n v="15"/>
    <n v="5.68"/>
    <n v="23.52"/>
    <n v="6209.28"/>
  </r>
  <r>
    <x v="3"/>
    <x v="0"/>
    <x v="2"/>
    <n v="271"/>
    <n v="26"/>
    <n v="9.59"/>
    <n v="37.909999999999997"/>
    <n v="10273.61"/>
  </r>
  <r>
    <x v="2"/>
    <x v="0"/>
    <x v="2"/>
    <n v="275"/>
    <n v="20"/>
    <n v="7.27"/>
    <n v="64.56"/>
    <n v="17754"/>
  </r>
  <r>
    <x v="0"/>
    <x v="0"/>
    <x v="2"/>
    <n v="119"/>
    <n v="6"/>
    <n v="5.04"/>
    <n v="24.96"/>
    <n v="2970.24"/>
  </r>
  <r>
    <x v="0"/>
    <x v="0"/>
    <x v="2"/>
    <n v="205"/>
    <n v="6"/>
    <n v="2.93"/>
    <n v="42.1"/>
    <n v="8630.5"/>
  </r>
  <r>
    <x v="1"/>
    <x v="0"/>
    <x v="2"/>
    <n v="187"/>
    <n v="17"/>
    <n v="9.09"/>
    <n v="5.82"/>
    <n v="1088.3399999999999"/>
  </r>
  <r>
    <x v="1"/>
    <x v="0"/>
    <x v="2"/>
    <n v="177"/>
    <n v="6"/>
    <n v="3.39"/>
    <n v="62.79"/>
    <n v="11113.83"/>
  </r>
  <r>
    <x v="0"/>
    <x v="0"/>
    <x v="2"/>
    <n v="113"/>
    <n v="10"/>
    <n v="8.85"/>
    <n v="56.15"/>
    <n v="6344.95"/>
  </r>
  <r>
    <x v="3"/>
    <x v="0"/>
    <x v="2"/>
    <n v="193"/>
    <n v="12"/>
    <n v="6.22"/>
    <n v="36.4"/>
    <n v="7025.2"/>
  </r>
  <r>
    <x v="3"/>
    <x v="0"/>
    <x v="2"/>
    <n v="190"/>
    <n v="14"/>
    <n v="7.37"/>
    <n v="43.6"/>
    <n v="8284"/>
  </r>
  <r>
    <x v="3"/>
    <x v="0"/>
    <x v="2"/>
    <n v="210"/>
    <n v="16"/>
    <n v="7.62"/>
    <n v="53.47"/>
    <n v="11228.7"/>
  </r>
  <r>
    <x v="3"/>
    <x v="0"/>
    <x v="2"/>
    <n v="233"/>
    <n v="14"/>
    <n v="6.01"/>
    <n v="41.11"/>
    <n v="9578.6299999999992"/>
  </r>
  <r>
    <x v="0"/>
    <x v="0"/>
    <x v="0"/>
    <n v="252"/>
    <n v="0"/>
    <n v="0"/>
    <n v="46.92"/>
    <n v="11823.84"/>
  </r>
  <r>
    <x v="0"/>
    <x v="0"/>
    <x v="2"/>
    <n v="278"/>
    <n v="19"/>
    <n v="6.83"/>
    <n v="13.44"/>
    <n v="3736.32"/>
  </r>
  <r>
    <x v="2"/>
    <x v="0"/>
    <x v="2"/>
    <n v="120"/>
    <n v="5"/>
    <n v="4.17"/>
    <n v="52.14"/>
    <n v="6256.8"/>
  </r>
  <r>
    <x v="0"/>
    <x v="0"/>
    <x v="2"/>
    <n v="257"/>
    <n v="16"/>
    <n v="6.23"/>
    <n v="12.61"/>
    <n v="3240.77"/>
  </r>
  <r>
    <x v="0"/>
    <x v="0"/>
    <x v="2"/>
    <n v="247"/>
    <n v="5"/>
    <n v="2.02"/>
    <n v="51.67"/>
    <n v="12762.49"/>
  </r>
  <r>
    <x v="1"/>
    <x v="0"/>
    <x v="2"/>
    <n v="93"/>
    <n v="6"/>
    <n v="6.45"/>
    <n v="28.95"/>
    <n v="2692.35"/>
  </r>
  <r>
    <x v="0"/>
    <x v="0"/>
    <x v="2"/>
    <n v="166"/>
    <n v="7"/>
    <n v="4.22"/>
    <n v="49.5"/>
    <n v="8217"/>
  </r>
  <r>
    <x v="0"/>
    <x v="0"/>
    <x v="2"/>
    <n v="278"/>
    <n v="2"/>
    <n v="0.72"/>
    <n v="57.33"/>
    <n v="15937.74"/>
  </r>
  <r>
    <x v="3"/>
    <x v="0"/>
    <x v="2"/>
    <n v="173"/>
    <n v="8"/>
    <n v="4.62"/>
    <n v="23.3"/>
    <n v="4030.9"/>
  </r>
  <r>
    <x v="3"/>
    <x v="0"/>
    <x v="2"/>
    <n v="121"/>
    <n v="3"/>
    <n v="2.48"/>
    <n v="16.78"/>
    <n v="2030.38"/>
  </r>
  <r>
    <x v="0"/>
    <x v="0"/>
    <x v="2"/>
    <n v="112"/>
    <n v="8"/>
    <n v="7.14"/>
    <n v="26.06"/>
    <n v="2918.72"/>
  </r>
  <r>
    <x v="2"/>
    <x v="0"/>
    <x v="2"/>
    <n v="168"/>
    <n v="11"/>
    <n v="6.55"/>
    <n v="50.08"/>
    <n v="8413.44"/>
  </r>
  <r>
    <x v="0"/>
    <x v="0"/>
    <x v="2"/>
    <n v="83"/>
    <n v="0"/>
    <n v="0"/>
    <n v="43.5"/>
    <n v="3610.5"/>
  </r>
  <r>
    <x v="1"/>
    <x v="0"/>
    <x v="1"/>
    <n v="226"/>
    <n v="22"/>
    <n v="9.73"/>
    <n v="65.36"/>
    <n v="14771.36"/>
  </r>
  <r>
    <x v="0"/>
    <x v="0"/>
    <x v="0"/>
    <n v="291"/>
    <n v="7"/>
    <n v="2.41"/>
    <n v="29.57"/>
    <n v="8604.8700000000008"/>
  </r>
  <r>
    <x v="0"/>
    <x v="0"/>
    <x v="0"/>
    <n v="251"/>
    <n v="21"/>
    <n v="8.3699999999999992"/>
    <n v="31.15"/>
    <n v="7818.65"/>
  </r>
  <r>
    <x v="0"/>
    <x v="0"/>
    <x v="0"/>
    <n v="211"/>
    <n v="3"/>
    <n v="1.42"/>
    <n v="29.31"/>
    <n v="6184.41"/>
  </r>
  <r>
    <x v="2"/>
    <x v="0"/>
    <x v="2"/>
    <n v="222"/>
    <n v="3"/>
    <n v="1.35"/>
    <n v="6.52"/>
    <n v="1447.44"/>
  </r>
  <r>
    <x v="0"/>
    <x v="0"/>
    <x v="2"/>
    <n v="108"/>
    <n v="1"/>
    <n v="0.93"/>
    <n v="21.64"/>
    <n v="2337.12"/>
  </r>
  <r>
    <x v="0"/>
    <x v="0"/>
    <x v="0"/>
    <n v="188"/>
    <n v="15"/>
    <n v="7.98"/>
    <n v="61.78"/>
    <n v="11614.64"/>
  </r>
  <r>
    <x v="2"/>
    <x v="0"/>
    <x v="2"/>
    <n v="93"/>
    <n v="1"/>
    <n v="1.08"/>
    <n v="11.79"/>
    <n v="1096.47"/>
  </r>
  <r>
    <x v="1"/>
    <x v="0"/>
    <x v="1"/>
    <n v="151"/>
    <n v="3"/>
    <n v="1.99"/>
    <n v="44.28"/>
    <n v="6686.28"/>
  </r>
  <r>
    <x v="1"/>
    <x v="0"/>
    <x v="1"/>
    <n v="243"/>
    <n v="3"/>
    <n v="1.23"/>
    <n v="7.55"/>
    <n v="1834.65"/>
  </r>
  <r>
    <x v="2"/>
    <x v="0"/>
    <x v="2"/>
    <n v="263"/>
    <n v="18"/>
    <n v="6.84"/>
    <n v="36.49"/>
    <n v="9596.8700000000008"/>
  </r>
  <r>
    <x v="0"/>
    <x v="0"/>
    <x v="0"/>
    <n v="205"/>
    <n v="1"/>
    <n v="0.49"/>
    <n v="61.87"/>
    <n v="12683.35"/>
  </r>
  <r>
    <x v="1"/>
    <x v="0"/>
    <x v="1"/>
    <n v="249"/>
    <n v="1"/>
    <n v="0.4"/>
    <n v="47.66"/>
    <n v="11867.34"/>
  </r>
  <r>
    <x v="1"/>
    <x v="0"/>
    <x v="2"/>
    <n v="71"/>
    <n v="2"/>
    <n v="2.82"/>
    <n v="53.4"/>
    <n v="3791.4"/>
  </r>
  <r>
    <x v="3"/>
    <x v="0"/>
    <x v="2"/>
    <n v="184"/>
    <n v="16"/>
    <n v="8.6999999999999993"/>
    <n v="19.489999999999998"/>
    <n v="3586.16"/>
  </r>
  <r>
    <x v="1"/>
    <x v="0"/>
    <x v="2"/>
    <n v="216"/>
    <n v="16"/>
    <n v="7.41"/>
    <n v="64.260000000000005"/>
    <n v="13880.16"/>
  </r>
  <r>
    <x v="3"/>
    <x v="0"/>
    <x v="2"/>
    <n v="244"/>
    <n v="3"/>
    <n v="1.23"/>
    <n v="57.76"/>
    <n v="14093.44"/>
  </r>
  <r>
    <x v="0"/>
    <x v="0"/>
    <x v="0"/>
    <n v="231"/>
    <n v="12"/>
    <n v="5.19"/>
    <n v="37.869999999999997"/>
    <n v="8747.9699999999993"/>
  </r>
  <r>
    <x v="1"/>
    <x v="0"/>
    <x v="1"/>
    <n v="74"/>
    <n v="1"/>
    <n v="1.35"/>
    <n v="40.67"/>
    <n v="3009.58"/>
  </r>
  <r>
    <x v="0"/>
    <x v="0"/>
    <x v="2"/>
    <n v="261"/>
    <n v="2"/>
    <n v="0.77"/>
    <n v="50.81"/>
    <n v="13261.41"/>
  </r>
  <r>
    <x v="2"/>
    <x v="0"/>
    <x v="2"/>
    <n v="92"/>
    <n v="6"/>
    <n v="6.52"/>
    <n v="44.32"/>
    <n v="4077.44"/>
  </r>
  <r>
    <x v="3"/>
    <x v="0"/>
    <x v="2"/>
    <n v="154"/>
    <n v="11"/>
    <n v="7.14"/>
    <n v="36.44"/>
    <n v="5611.76"/>
  </r>
  <r>
    <x v="1"/>
    <x v="0"/>
    <x v="1"/>
    <n v="108"/>
    <n v="7"/>
    <n v="6.48"/>
    <n v="24.08"/>
    <n v="2600.64"/>
  </r>
  <r>
    <x v="3"/>
    <x v="0"/>
    <x v="2"/>
    <n v="78"/>
    <n v="0"/>
    <n v="0"/>
    <n v="45.48"/>
    <n v="3547.44"/>
  </r>
  <r>
    <x v="1"/>
    <x v="0"/>
    <x v="1"/>
    <n v="63"/>
    <n v="2"/>
    <n v="3.17"/>
    <n v="18.940000000000001"/>
    <n v="1193.22"/>
  </r>
  <r>
    <x v="1"/>
    <x v="0"/>
    <x v="1"/>
    <n v="188"/>
    <n v="5"/>
    <n v="2.66"/>
    <n v="20.53"/>
    <n v="3859.64"/>
  </r>
  <r>
    <x v="2"/>
    <x v="0"/>
    <x v="2"/>
    <n v="111"/>
    <n v="8"/>
    <n v="7.21"/>
    <n v="24.94"/>
    <n v="2768.34"/>
  </r>
  <r>
    <x v="0"/>
    <x v="0"/>
    <x v="0"/>
    <n v="177"/>
    <n v="4"/>
    <n v="2.2599999999999998"/>
    <n v="48.38"/>
    <n v="8563.26"/>
  </r>
  <r>
    <x v="1"/>
    <x v="0"/>
    <x v="1"/>
    <n v="245"/>
    <n v="15"/>
    <n v="6.12"/>
    <n v="57.51"/>
    <n v="14089.95"/>
  </r>
  <r>
    <x v="3"/>
    <x v="0"/>
    <x v="2"/>
    <n v="68"/>
    <n v="5"/>
    <n v="7.35"/>
    <n v="52.25"/>
    <n v="3553"/>
  </r>
  <r>
    <x v="3"/>
    <x v="0"/>
    <x v="2"/>
    <n v="163"/>
    <n v="2"/>
    <n v="1.23"/>
    <n v="21.58"/>
    <n v="3517.54"/>
  </r>
  <r>
    <x v="1"/>
    <x v="0"/>
    <x v="2"/>
    <n v="232"/>
    <n v="8"/>
    <n v="3.45"/>
    <n v="23.84"/>
    <n v="5530.88"/>
  </r>
  <r>
    <x v="0"/>
    <x v="0"/>
    <x v="0"/>
    <n v="89"/>
    <n v="4"/>
    <n v="4.49"/>
    <n v="48.02"/>
    <n v="4273.78"/>
  </r>
  <r>
    <x v="0"/>
    <x v="0"/>
    <x v="2"/>
    <n v="185"/>
    <n v="17"/>
    <n v="9.19"/>
    <n v="68.319999999999993"/>
    <n v="12639.2"/>
  </r>
  <r>
    <x v="1"/>
    <x v="0"/>
    <x v="2"/>
    <n v="81"/>
    <n v="2"/>
    <n v="2.4700000000000002"/>
    <n v="24.08"/>
    <n v="1950.48"/>
  </r>
  <r>
    <x v="3"/>
    <x v="0"/>
    <x v="2"/>
    <n v="203"/>
    <n v="12"/>
    <n v="5.91"/>
    <n v="17.579999999999998"/>
    <n v="3568.74"/>
  </r>
  <r>
    <x v="0"/>
    <x v="0"/>
    <x v="2"/>
    <n v="103"/>
    <n v="10"/>
    <n v="9.7100000000000009"/>
    <n v="9.7100000000000009"/>
    <n v="1000.13"/>
  </r>
  <r>
    <x v="2"/>
    <x v="0"/>
    <x v="2"/>
    <n v="196"/>
    <n v="12"/>
    <n v="6.12"/>
    <n v="18.22"/>
    <n v="3571.12"/>
  </r>
  <r>
    <x v="1"/>
    <x v="0"/>
    <x v="2"/>
    <n v="87"/>
    <n v="2"/>
    <n v="2.2999999999999998"/>
    <n v="20.98"/>
    <n v="1825.26"/>
  </r>
  <r>
    <x v="0"/>
    <x v="0"/>
    <x v="0"/>
    <n v="264"/>
    <n v="1"/>
    <n v="0.38"/>
    <n v="42.44"/>
    <n v="11204.16"/>
  </r>
  <r>
    <x v="0"/>
    <x v="0"/>
    <x v="0"/>
    <n v="96"/>
    <n v="0"/>
    <n v="0"/>
    <n v="50.02"/>
    <n v="4801.92"/>
  </r>
  <r>
    <x v="0"/>
    <x v="0"/>
    <x v="2"/>
    <n v="131"/>
    <n v="6"/>
    <n v="4.58"/>
    <n v="43.33"/>
    <n v="5676.23"/>
  </r>
  <r>
    <x v="0"/>
    <x v="0"/>
    <x v="2"/>
    <n v="142"/>
    <n v="12"/>
    <n v="8.4499999999999993"/>
    <n v="49.31"/>
    <n v="7002.02"/>
  </r>
  <r>
    <x v="1"/>
    <x v="0"/>
    <x v="2"/>
    <n v="50"/>
    <n v="2"/>
    <n v="4"/>
    <n v="11.35"/>
    <n v="567.5"/>
  </r>
  <r>
    <x v="0"/>
    <x v="0"/>
    <x v="0"/>
    <n v="54"/>
    <n v="2"/>
    <n v="3.7"/>
    <n v="64.36"/>
    <n v="3475.44"/>
  </r>
  <r>
    <x v="3"/>
    <x v="0"/>
    <x v="2"/>
    <n v="201"/>
    <n v="11"/>
    <n v="5.47"/>
    <n v="48.94"/>
    <n v="9836.94"/>
  </r>
  <r>
    <x v="2"/>
    <x v="0"/>
    <x v="2"/>
    <n v="131"/>
    <n v="3"/>
    <n v="2.29"/>
    <n v="64.73"/>
    <n v="8479.6299999999992"/>
  </r>
  <r>
    <x v="1"/>
    <x v="0"/>
    <x v="2"/>
    <n v="119"/>
    <n v="8"/>
    <n v="6.72"/>
    <n v="52.1"/>
    <n v="6199.9"/>
  </r>
  <r>
    <x v="3"/>
    <x v="0"/>
    <x v="2"/>
    <n v="155"/>
    <n v="5"/>
    <n v="3.23"/>
    <n v="27.27"/>
    <n v="4226.8500000000004"/>
  </r>
  <r>
    <x v="0"/>
    <x v="0"/>
    <x v="2"/>
    <n v="294"/>
    <n v="29"/>
    <n v="9.86"/>
    <n v="39.53"/>
    <n v="11621.82"/>
  </r>
  <r>
    <x v="0"/>
    <x v="0"/>
    <x v="0"/>
    <n v="187"/>
    <n v="10"/>
    <n v="5.35"/>
    <n v="47.89"/>
    <n v="8955.43"/>
  </r>
  <r>
    <x v="1"/>
    <x v="0"/>
    <x v="2"/>
    <n v="85"/>
    <n v="3"/>
    <n v="3.53"/>
    <n v="29.51"/>
    <n v="2508.35"/>
  </r>
  <r>
    <x v="3"/>
    <x v="0"/>
    <x v="2"/>
    <n v="73"/>
    <n v="4"/>
    <n v="5.48"/>
    <n v="52.02"/>
    <n v="3797.46"/>
  </r>
  <r>
    <x v="2"/>
    <x v="0"/>
    <x v="2"/>
    <n v="176"/>
    <n v="3"/>
    <n v="1.7"/>
    <n v="64.290000000000006"/>
    <n v="11315.04"/>
  </r>
  <r>
    <x v="1"/>
    <x v="0"/>
    <x v="1"/>
    <n v="112"/>
    <n v="8"/>
    <n v="7.14"/>
    <n v="56.87"/>
    <n v="6369.44"/>
  </r>
  <r>
    <x v="1"/>
    <x v="0"/>
    <x v="1"/>
    <n v="175"/>
    <n v="12"/>
    <n v="6.86"/>
    <n v="22.21"/>
    <n v="3886.75"/>
  </r>
  <r>
    <x v="1"/>
    <x v="0"/>
    <x v="1"/>
    <n v="211"/>
    <n v="6"/>
    <n v="2.84"/>
    <n v="38.840000000000003"/>
    <n v="8195.24"/>
  </r>
  <r>
    <x v="1"/>
    <x v="0"/>
    <x v="1"/>
    <n v="235"/>
    <n v="21"/>
    <n v="8.94"/>
    <n v="16.8"/>
    <n v="3948"/>
  </r>
  <r>
    <x v="0"/>
    <x v="0"/>
    <x v="2"/>
    <n v="225"/>
    <n v="20"/>
    <n v="8.89"/>
    <n v="20.89"/>
    <n v="4700.25"/>
  </r>
  <r>
    <x v="3"/>
    <x v="0"/>
    <x v="2"/>
    <n v="217"/>
    <n v="0"/>
    <n v="0"/>
    <n v="21.95"/>
    <n v="4763.1499999999996"/>
  </r>
  <r>
    <x v="0"/>
    <x v="0"/>
    <x v="2"/>
    <n v="290"/>
    <n v="27"/>
    <n v="9.31"/>
    <n v="34.81"/>
    <n v="10094.9"/>
  </r>
  <r>
    <x v="2"/>
    <x v="0"/>
    <x v="2"/>
    <n v="253"/>
    <n v="13"/>
    <n v="5.14"/>
    <n v="16.239999999999998"/>
    <n v="4108.72"/>
  </r>
  <r>
    <x v="1"/>
    <x v="0"/>
    <x v="1"/>
    <n v="186"/>
    <n v="9"/>
    <n v="4.84"/>
    <n v="28.44"/>
    <n v="5289.84"/>
  </r>
  <r>
    <x v="0"/>
    <x v="0"/>
    <x v="2"/>
    <n v="269"/>
    <n v="25"/>
    <n v="9.2899999999999991"/>
    <n v="25.97"/>
    <n v="6985.93"/>
  </r>
  <r>
    <x v="0"/>
    <x v="0"/>
    <x v="2"/>
    <n v="52"/>
    <n v="1"/>
    <n v="1.92"/>
    <n v="43.17"/>
    <n v="2244.84"/>
  </r>
  <r>
    <x v="2"/>
    <x v="0"/>
    <x v="2"/>
    <n v="105"/>
    <n v="4"/>
    <n v="3.81"/>
    <n v="10.95"/>
    <n v="1149.75"/>
  </r>
  <r>
    <x v="2"/>
    <x v="0"/>
    <x v="2"/>
    <n v="213"/>
    <n v="10"/>
    <n v="4.6900000000000004"/>
    <n v="31.95"/>
    <n v="6805.35"/>
  </r>
  <r>
    <x v="0"/>
    <x v="0"/>
    <x v="2"/>
    <n v="94"/>
    <n v="6"/>
    <n v="6.38"/>
    <n v="49.81"/>
    <n v="4682.1400000000003"/>
  </r>
  <r>
    <x v="0"/>
    <x v="0"/>
    <x v="2"/>
    <n v="82"/>
    <n v="4"/>
    <n v="4.88"/>
    <n v="46.43"/>
    <n v="3807.26"/>
  </r>
  <r>
    <x v="2"/>
    <x v="0"/>
    <x v="2"/>
    <n v="85"/>
    <n v="8"/>
    <n v="9.41"/>
    <n v="54.15"/>
    <n v="4602.75"/>
  </r>
  <r>
    <x v="1"/>
    <x v="0"/>
    <x v="2"/>
    <n v="133"/>
    <n v="10"/>
    <n v="7.52"/>
    <n v="50.23"/>
    <n v="6680.59"/>
  </r>
  <r>
    <x v="1"/>
    <x v="0"/>
    <x v="2"/>
    <n v="50"/>
    <n v="0"/>
    <n v="0"/>
    <n v="61.47"/>
    <n v="3073.5"/>
  </r>
  <r>
    <x v="2"/>
    <x v="0"/>
    <x v="2"/>
    <n v="150"/>
    <n v="1"/>
    <n v="0.67"/>
    <n v="64.81"/>
    <n v="9721.5"/>
  </r>
  <r>
    <x v="3"/>
    <x v="0"/>
    <x v="2"/>
    <n v="209"/>
    <n v="16"/>
    <n v="7.66"/>
    <n v="42.96"/>
    <n v="8978.64"/>
  </r>
  <r>
    <x v="3"/>
    <x v="0"/>
    <x v="2"/>
    <n v="209"/>
    <n v="11"/>
    <n v="5.26"/>
    <n v="45.61"/>
    <n v="9532.49"/>
  </r>
  <r>
    <x v="1"/>
    <x v="0"/>
    <x v="1"/>
    <n v="111"/>
    <n v="9"/>
    <n v="8.11"/>
    <n v="41.25"/>
    <n v="4578.75"/>
  </r>
  <r>
    <x v="3"/>
    <x v="0"/>
    <x v="2"/>
    <n v="104"/>
    <n v="1"/>
    <n v="0.96"/>
    <n v="6.9"/>
    <n v="717.6"/>
  </r>
  <r>
    <x v="0"/>
    <x v="0"/>
    <x v="2"/>
    <n v="156"/>
    <n v="10"/>
    <n v="6.41"/>
    <n v="23.39"/>
    <n v="3648.84"/>
  </r>
  <r>
    <x v="0"/>
    <x v="0"/>
    <x v="2"/>
    <n v="60"/>
    <n v="4"/>
    <n v="6.67"/>
    <n v="10.76"/>
    <n v="645.6"/>
  </r>
  <r>
    <x v="0"/>
    <x v="0"/>
    <x v="2"/>
    <n v="220"/>
    <n v="12"/>
    <n v="5.45"/>
    <n v="49.04"/>
    <n v="10788.8"/>
  </r>
  <r>
    <x v="2"/>
    <x v="0"/>
    <x v="2"/>
    <n v="121"/>
    <n v="6"/>
    <n v="4.96"/>
    <n v="16.350000000000001"/>
    <n v="1978.35"/>
  </r>
  <r>
    <x v="0"/>
    <x v="0"/>
    <x v="0"/>
    <n v="181"/>
    <n v="10"/>
    <n v="5.52"/>
    <n v="39.840000000000003"/>
    <n v="7211.04"/>
  </r>
  <r>
    <x v="1"/>
    <x v="0"/>
    <x v="2"/>
    <n v="200"/>
    <n v="16"/>
    <n v="8"/>
    <n v="40.06"/>
    <n v="8012"/>
  </r>
  <r>
    <x v="1"/>
    <x v="0"/>
    <x v="2"/>
    <n v="236"/>
    <n v="3"/>
    <n v="1.27"/>
    <n v="40.64"/>
    <n v="9591.0400000000009"/>
  </r>
  <r>
    <x v="1"/>
    <x v="0"/>
    <x v="1"/>
    <n v="73"/>
    <n v="7"/>
    <n v="9.59"/>
    <n v="47.35"/>
    <n v="3456.55"/>
  </r>
  <r>
    <x v="2"/>
    <x v="0"/>
    <x v="2"/>
    <n v="68"/>
    <n v="4"/>
    <n v="5.88"/>
    <n v="66.97"/>
    <n v="4553.96"/>
  </r>
  <r>
    <x v="1"/>
    <x v="0"/>
    <x v="2"/>
    <n v="258"/>
    <n v="21"/>
    <n v="8.14"/>
    <n v="9.2100000000000009"/>
    <n v="2376.1799999999998"/>
  </r>
  <r>
    <x v="0"/>
    <x v="0"/>
    <x v="2"/>
    <n v="194"/>
    <n v="8"/>
    <n v="4.12"/>
    <n v="50.23"/>
    <n v="9744.6200000000008"/>
  </r>
  <r>
    <x v="2"/>
    <x v="0"/>
    <x v="2"/>
    <n v="112"/>
    <n v="9"/>
    <n v="8.0399999999999991"/>
    <n v="16.22"/>
    <n v="1816.64"/>
  </r>
  <r>
    <x v="3"/>
    <x v="0"/>
    <x v="2"/>
    <n v="61"/>
    <n v="2"/>
    <n v="3.28"/>
    <n v="47.09"/>
    <n v="2872.49"/>
  </r>
  <r>
    <x v="1"/>
    <x v="0"/>
    <x v="2"/>
    <n v="175"/>
    <n v="6"/>
    <n v="3.43"/>
    <n v="40.33"/>
    <n v="7057.75"/>
  </r>
  <r>
    <x v="1"/>
    <x v="0"/>
    <x v="1"/>
    <n v="131"/>
    <n v="10"/>
    <n v="7.63"/>
    <n v="30.99"/>
    <n v="4059.69"/>
  </r>
  <r>
    <x v="2"/>
    <x v="0"/>
    <x v="2"/>
    <n v="168"/>
    <n v="7"/>
    <n v="4.17"/>
    <n v="18.079999999999998"/>
    <n v="3037.44"/>
  </r>
  <r>
    <x v="1"/>
    <x v="0"/>
    <x v="1"/>
    <n v="241"/>
    <n v="10"/>
    <n v="4.1500000000000004"/>
    <n v="11.54"/>
    <n v="2781.14"/>
  </r>
  <r>
    <x v="0"/>
    <x v="0"/>
    <x v="2"/>
    <n v="127"/>
    <n v="0"/>
    <n v="0"/>
    <n v="64.14"/>
    <n v="8145.78"/>
  </r>
  <r>
    <x v="1"/>
    <x v="0"/>
    <x v="2"/>
    <n v="225"/>
    <n v="22"/>
    <n v="9.7799999999999994"/>
    <n v="28.47"/>
    <n v="6405.75"/>
  </r>
  <r>
    <x v="1"/>
    <x v="0"/>
    <x v="2"/>
    <n v="67"/>
    <n v="3"/>
    <n v="4.4800000000000004"/>
    <n v="12.67"/>
    <n v="848.89"/>
  </r>
  <r>
    <x v="3"/>
    <x v="0"/>
    <x v="2"/>
    <n v="138"/>
    <n v="6"/>
    <n v="4.3499999999999996"/>
    <n v="38.67"/>
    <n v="5336.46"/>
  </r>
  <r>
    <x v="1"/>
    <x v="0"/>
    <x v="1"/>
    <n v="214"/>
    <n v="19"/>
    <n v="8.8800000000000008"/>
    <n v="34.630000000000003"/>
    <n v="7410.82"/>
  </r>
  <r>
    <x v="1"/>
    <x v="0"/>
    <x v="1"/>
    <n v="134"/>
    <n v="13"/>
    <n v="9.6999999999999993"/>
    <n v="45.89"/>
    <n v="6149.26"/>
  </r>
  <r>
    <x v="0"/>
    <x v="0"/>
    <x v="2"/>
    <n v="196"/>
    <n v="19"/>
    <n v="9.69"/>
    <n v="39.159999999999997"/>
    <n v="7675.36"/>
  </r>
  <r>
    <x v="0"/>
    <x v="0"/>
    <x v="2"/>
    <n v="116"/>
    <n v="9"/>
    <n v="7.76"/>
    <n v="28.29"/>
    <n v="3281.64"/>
  </r>
  <r>
    <x v="0"/>
    <x v="0"/>
    <x v="0"/>
    <n v="291"/>
    <n v="3"/>
    <n v="1.03"/>
    <n v="29.54"/>
    <n v="8596.14"/>
  </r>
  <r>
    <x v="2"/>
    <x v="0"/>
    <x v="2"/>
    <n v="280"/>
    <n v="14"/>
    <n v="5"/>
    <n v="31.15"/>
    <n v="8722"/>
  </r>
  <r>
    <x v="0"/>
    <x v="0"/>
    <x v="0"/>
    <n v="229"/>
    <n v="17"/>
    <n v="7.42"/>
    <n v="37.67"/>
    <n v="8626.43"/>
  </r>
  <r>
    <x v="3"/>
    <x v="0"/>
    <x v="2"/>
    <n v="128"/>
    <n v="4"/>
    <n v="3.12"/>
    <n v="28.37"/>
    <n v="3631.36"/>
  </r>
  <r>
    <x v="1"/>
    <x v="0"/>
    <x v="2"/>
    <n v="180"/>
    <n v="6"/>
    <n v="3.33"/>
    <n v="13.55"/>
    <n v="2439"/>
  </r>
  <r>
    <x v="2"/>
    <x v="0"/>
    <x v="2"/>
    <n v="238"/>
    <n v="6"/>
    <n v="2.52"/>
    <n v="29.13"/>
    <n v="6932.94"/>
  </r>
  <r>
    <x v="3"/>
    <x v="0"/>
    <x v="2"/>
    <n v="250"/>
    <n v="17"/>
    <n v="6.8"/>
    <n v="22.07"/>
    <n v="5517.5"/>
  </r>
  <r>
    <x v="2"/>
    <x v="0"/>
    <x v="2"/>
    <n v="147"/>
    <n v="13"/>
    <n v="8.84"/>
    <n v="58.22"/>
    <n v="8558.34"/>
  </r>
  <r>
    <x v="3"/>
    <x v="0"/>
    <x v="2"/>
    <n v="197"/>
    <n v="5"/>
    <n v="2.54"/>
    <n v="46.62"/>
    <n v="9184.14"/>
  </r>
  <r>
    <x v="0"/>
    <x v="0"/>
    <x v="0"/>
    <n v="145"/>
    <n v="8"/>
    <n v="5.52"/>
    <n v="23.92"/>
    <n v="3468.4"/>
  </r>
  <r>
    <x v="3"/>
    <x v="0"/>
    <x v="2"/>
    <n v="126"/>
    <n v="3"/>
    <n v="2.38"/>
    <n v="27.29"/>
    <n v="3438.54"/>
  </r>
  <r>
    <x v="0"/>
    <x v="0"/>
    <x v="2"/>
    <n v="73"/>
    <n v="2"/>
    <n v="2.74"/>
    <n v="40.07"/>
    <n v="2925.11"/>
  </r>
  <r>
    <x v="0"/>
    <x v="0"/>
    <x v="2"/>
    <n v="230"/>
    <n v="12"/>
    <n v="5.22"/>
    <n v="43.57"/>
    <n v="10021.1"/>
  </r>
  <r>
    <x v="1"/>
    <x v="0"/>
    <x v="1"/>
    <n v="130"/>
    <n v="7"/>
    <n v="5.38"/>
    <n v="19.89"/>
    <n v="2585.6999999999998"/>
  </r>
  <r>
    <x v="1"/>
    <x v="0"/>
    <x v="2"/>
    <n v="66"/>
    <n v="1"/>
    <n v="1.52"/>
    <n v="49.88"/>
    <n v="3292.08"/>
  </r>
  <r>
    <x v="0"/>
    <x v="0"/>
    <x v="0"/>
    <n v="65"/>
    <n v="5"/>
    <n v="7.69"/>
    <n v="28.8"/>
    <n v="1872"/>
  </r>
  <r>
    <x v="2"/>
    <x v="0"/>
    <x v="2"/>
    <n v="153"/>
    <n v="10"/>
    <n v="6.54"/>
    <n v="26.47"/>
    <n v="4049.91"/>
  </r>
  <r>
    <x v="1"/>
    <x v="0"/>
    <x v="2"/>
    <n v="196"/>
    <n v="14"/>
    <n v="7.14"/>
    <n v="42.4"/>
    <n v="8310.4"/>
  </r>
  <r>
    <x v="0"/>
    <x v="0"/>
    <x v="2"/>
    <n v="139"/>
    <n v="3"/>
    <n v="2.16"/>
    <n v="47.03"/>
    <n v="6537.17"/>
  </r>
  <r>
    <x v="0"/>
    <x v="0"/>
    <x v="0"/>
    <n v="211"/>
    <n v="16"/>
    <n v="7.58"/>
    <n v="16.62"/>
    <n v="3506.82"/>
  </r>
  <r>
    <x v="0"/>
    <x v="0"/>
    <x v="0"/>
    <n v="255"/>
    <n v="23"/>
    <n v="9.02"/>
    <n v="24.01"/>
    <n v="6122.55"/>
  </r>
  <r>
    <x v="3"/>
    <x v="0"/>
    <x v="2"/>
    <n v="245"/>
    <n v="4"/>
    <n v="1.63"/>
    <n v="40.86"/>
    <n v="10010.700000000001"/>
  </r>
  <r>
    <x v="1"/>
    <x v="0"/>
    <x v="1"/>
    <n v="194"/>
    <n v="7"/>
    <n v="3.61"/>
    <n v="7.67"/>
    <n v="1487.98"/>
  </r>
  <r>
    <x v="0"/>
    <x v="0"/>
    <x v="0"/>
    <n v="134"/>
    <n v="5"/>
    <n v="3.73"/>
    <n v="21.83"/>
    <n v="2925.22"/>
  </r>
  <r>
    <x v="3"/>
    <x v="0"/>
    <x v="2"/>
    <n v="281"/>
    <n v="14"/>
    <n v="4.9800000000000004"/>
    <n v="9.4499999999999993"/>
    <n v="2655.45"/>
  </r>
  <r>
    <x v="0"/>
    <x v="0"/>
    <x v="2"/>
    <n v="86"/>
    <n v="0"/>
    <n v="0"/>
    <n v="9.43"/>
    <n v="810.98"/>
  </r>
  <r>
    <x v="0"/>
    <x v="0"/>
    <x v="0"/>
    <n v="113"/>
    <n v="8"/>
    <n v="7.08"/>
    <n v="58.11"/>
    <n v="6566.43"/>
  </r>
  <r>
    <x v="2"/>
    <x v="0"/>
    <x v="2"/>
    <n v="224"/>
    <n v="2"/>
    <n v="0.89"/>
    <n v="49.7"/>
    <n v="11132.8"/>
  </r>
  <r>
    <x v="0"/>
    <x v="0"/>
    <x v="2"/>
    <n v="181"/>
    <n v="12"/>
    <n v="6.63"/>
    <n v="19.22"/>
    <n v="3478.82"/>
  </r>
  <r>
    <x v="1"/>
    <x v="0"/>
    <x v="2"/>
    <n v="292"/>
    <n v="15"/>
    <n v="5.14"/>
    <n v="48.3"/>
    <n v="14103.6"/>
  </r>
  <r>
    <x v="1"/>
    <x v="0"/>
    <x v="1"/>
    <n v="238"/>
    <n v="15"/>
    <n v="6.3"/>
    <n v="5.01"/>
    <n v="1192.3800000000001"/>
  </r>
  <r>
    <x v="2"/>
    <x v="0"/>
    <x v="2"/>
    <n v="66"/>
    <n v="0"/>
    <n v="0"/>
    <n v="52.4"/>
    <n v="3458.4"/>
  </r>
  <r>
    <x v="1"/>
    <x v="0"/>
    <x v="2"/>
    <n v="261"/>
    <n v="12"/>
    <n v="4.5999999999999996"/>
    <n v="52.39"/>
    <n v="13673.79"/>
  </r>
  <r>
    <x v="0"/>
    <x v="0"/>
    <x v="2"/>
    <n v="177"/>
    <n v="16"/>
    <n v="9.0399999999999991"/>
    <n v="19.010000000000002"/>
    <n v="3364.77"/>
  </r>
  <r>
    <x v="0"/>
    <x v="0"/>
    <x v="0"/>
    <n v="58"/>
    <n v="5"/>
    <n v="8.6199999999999992"/>
    <n v="43.05"/>
    <n v="2496.9"/>
  </r>
  <r>
    <x v="0"/>
    <x v="0"/>
    <x v="0"/>
    <n v="105"/>
    <n v="6"/>
    <n v="5.71"/>
    <n v="52.07"/>
    <n v="5467.35"/>
  </r>
  <r>
    <x v="3"/>
    <x v="0"/>
    <x v="2"/>
    <n v="289"/>
    <n v="26"/>
    <n v="9"/>
    <n v="12.32"/>
    <n v="3560.48"/>
  </r>
  <r>
    <x v="2"/>
    <x v="0"/>
    <x v="2"/>
    <n v="221"/>
    <n v="7"/>
    <n v="3.17"/>
    <n v="55.16"/>
    <n v="12190.36"/>
  </r>
  <r>
    <x v="0"/>
    <x v="0"/>
    <x v="0"/>
    <n v="135"/>
    <n v="10"/>
    <n v="7.41"/>
    <n v="64.55"/>
    <n v="8714.25"/>
  </r>
  <r>
    <x v="1"/>
    <x v="0"/>
    <x v="1"/>
    <n v="107"/>
    <n v="1"/>
    <n v="0.93"/>
    <n v="55.95"/>
    <n v="5986.65"/>
  </r>
  <r>
    <x v="0"/>
    <x v="0"/>
    <x v="2"/>
    <n v="100"/>
    <n v="7"/>
    <n v="7"/>
    <n v="35.99"/>
    <n v="3599"/>
  </r>
  <r>
    <x v="0"/>
    <x v="0"/>
    <x v="2"/>
    <n v="268"/>
    <n v="21"/>
    <n v="7.84"/>
    <n v="15.13"/>
    <n v="4054.84"/>
  </r>
  <r>
    <x v="0"/>
    <x v="0"/>
    <x v="2"/>
    <n v="287"/>
    <n v="26"/>
    <n v="9.06"/>
    <n v="69.36"/>
    <n v="19906.32"/>
  </r>
  <r>
    <x v="0"/>
    <x v="0"/>
    <x v="0"/>
    <n v="292"/>
    <n v="6"/>
    <n v="2.0499999999999998"/>
    <n v="9.14"/>
    <n v="2668.88"/>
  </r>
  <r>
    <x v="1"/>
    <x v="0"/>
    <x v="2"/>
    <n v="232"/>
    <n v="16"/>
    <n v="6.9"/>
    <n v="67.900000000000006"/>
    <n v="15752.8"/>
  </r>
  <r>
    <x v="2"/>
    <x v="0"/>
    <x v="2"/>
    <n v="212"/>
    <n v="12"/>
    <n v="5.66"/>
    <n v="23.79"/>
    <n v="5043.4799999999996"/>
  </r>
  <r>
    <x v="1"/>
    <x v="0"/>
    <x v="2"/>
    <n v="151"/>
    <n v="10"/>
    <n v="6.62"/>
    <n v="27.58"/>
    <n v="4164.58"/>
  </r>
  <r>
    <x v="2"/>
    <x v="0"/>
    <x v="2"/>
    <n v="121"/>
    <n v="11"/>
    <n v="9.09"/>
    <n v="59"/>
    <n v="7139"/>
  </r>
  <r>
    <x v="1"/>
    <x v="0"/>
    <x v="1"/>
    <n v="223"/>
    <n v="10"/>
    <n v="4.4800000000000004"/>
    <n v="44.89"/>
    <n v="10010.469999999999"/>
  </r>
  <r>
    <x v="3"/>
    <x v="0"/>
    <x v="2"/>
    <n v="270"/>
    <n v="26"/>
    <n v="9.6300000000000008"/>
    <n v="37.17"/>
    <n v="10035.9"/>
  </r>
  <r>
    <x v="2"/>
    <x v="0"/>
    <x v="2"/>
    <n v="201"/>
    <n v="2"/>
    <n v="1"/>
    <n v="11.98"/>
    <n v="2407.98"/>
  </r>
  <r>
    <x v="2"/>
    <x v="0"/>
    <x v="2"/>
    <n v="224"/>
    <n v="14"/>
    <n v="6.25"/>
    <n v="13.44"/>
    <n v="3010.56"/>
  </r>
  <r>
    <x v="0"/>
    <x v="0"/>
    <x v="0"/>
    <n v="202"/>
    <n v="14"/>
    <n v="6.93"/>
    <n v="37.049999999999997"/>
    <n v="7484.1"/>
  </r>
  <r>
    <x v="0"/>
    <x v="0"/>
    <x v="0"/>
    <n v="84"/>
    <n v="1"/>
    <n v="1.19"/>
    <n v="62.97"/>
    <n v="5289.48"/>
  </r>
  <r>
    <x v="1"/>
    <x v="0"/>
    <x v="1"/>
    <n v="126"/>
    <n v="0"/>
    <n v="0"/>
    <n v="64.66"/>
    <n v="8147.16"/>
  </r>
  <r>
    <x v="0"/>
    <x v="0"/>
    <x v="0"/>
    <n v="161"/>
    <n v="14"/>
    <n v="8.6999999999999993"/>
    <n v="37.47"/>
    <n v="6032.67"/>
  </r>
  <r>
    <x v="1"/>
    <x v="0"/>
    <x v="2"/>
    <n v="253"/>
    <n v="2"/>
    <n v="0.79"/>
    <n v="14.34"/>
    <n v="3628.02"/>
  </r>
  <r>
    <x v="1"/>
    <x v="0"/>
    <x v="1"/>
    <n v="53"/>
    <n v="1"/>
    <n v="1.89"/>
    <n v="6.92"/>
    <n v="366.76"/>
  </r>
  <r>
    <x v="3"/>
    <x v="0"/>
    <x v="2"/>
    <n v="187"/>
    <n v="2"/>
    <n v="1.07"/>
    <n v="10.69"/>
    <n v="1999.03"/>
  </r>
  <r>
    <x v="1"/>
    <x v="0"/>
    <x v="2"/>
    <n v="197"/>
    <n v="16"/>
    <n v="8.1199999999999992"/>
    <n v="48.65"/>
    <n v="9584.0499999999993"/>
  </r>
  <r>
    <x v="0"/>
    <x v="0"/>
    <x v="2"/>
    <n v="180"/>
    <n v="13"/>
    <n v="7.22"/>
    <n v="6.5"/>
    <n v="1170"/>
  </r>
  <r>
    <x v="1"/>
    <x v="0"/>
    <x v="1"/>
    <n v="176"/>
    <n v="10"/>
    <n v="5.68"/>
    <n v="55.26"/>
    <n v="9725.76"/>
  </r>
  <r>
    <x v="3"/>
    <x v="0"/>
    <x v="2"/>
    <n v="52"/>
    <n v="1"/>
    <n v="1.92"/>
    <n v="29.93"/>
    <n v="1556.36"/>
  </r>
  <r>
    <x v="2"/>
    <x v="0"/>
    <x v="2"/>
    <n v="274"/>
    <n v="10"/>
    <n v="3.65"/>
    <n v="24.83"/>
    <n v="6803.42"/>
  </r>
  <r>
    <x v="0"/>
    <x v="0"/>
    <x v="2"/>
    <n v="132"/>
    <n v="5"/>
    <n v="3.79"/>
    <n v="42.19"/>
    <n v="5569.08"/>
  </r>
  <r>
    <x v="3"/>
    <x v="0"/>
    <x v="2"/>
    <n v="147"/>
    <n v="1"/>
    <n v="0.68"/>
    <n v="52.63"/>
    <n v="7736.61"/>
  </r>
  <r>
    <x v="0"/>
    <x v="0"/>
    <x v="2"/>
    <n v="252"/>
    <n v="6"/>
    <n v="2.38"/>
    <n v="5.72"/>
    <n v="1441.44"/>
  </r>
  <r>
    <x v="0"/>
    <x v="0"/>
    <x v="2"/>
    <n v="211"/>
    <n v="1"/>
    <n v="0.47"/>
    <n v="28.23"/>
    <n v="5956.53"/>
  </r>
  <r>
    <x v="2"/>
    <x v="0"/>
    <x v="2"/>
    <n v="271"/>
    <n v="9"/>
    <n v="3.32"/>
    <n v="26.34"/>
    <n v="7138.14"/>
  </r>
  <r>
    <x v="1"/>
    <x v="0"/>
    <x v="1"/>
    <n v="183"/>
    <n v="0"/>
    <n v="0"/>
    <n v="67.209999999999994"/>
    <n v="12299.43"/>
  </r>
  <r>
    <x v="1"/>
    <x v="0"/>
    <x v="1"/>
    <n v="58"/>
    <n v="1"/>
    <n v="1.72"/>
    <n v="41.84"/>
    <n v="2426.7199999999998"/>
  </r>
  <r>
    <x v="2"/>
    <x v="0"/>
    <x v="2"/>
    <n v="220"/>
    <n v="16"/>
    <n v="7.27"/>
    <n v="6.58"/>
    <n v="1447.6"/>
  </r>
  <r>
    <x v="3"/>
    <x v="0"/>
    <x v="2"/>
    <n v="100"/>
    <n v="0"/>
    <n v="0"/>
    <n v="18.670000000000002"/>
    <n v="1867"/>
  </r>
  <r>
    <x v="0"/>
    <x v="0"/>
    <x v="2"/>
    <n v="223"/>
    <n v="17"/>
    <n v="7.62"/>
    <n v="42.62"/>
    <n v="9504.26"/>
  </r>
  <r>
    <x v="3"/>
    <x v="0"/>
    <x v="2"/>
    <n v="159"/>
    <n v="1"/>
    <n v="0.63"/>
    <n v="36.619999999999997"/>
    <n v="5822.58"/>
  </r>
  <r>
    <x v="1"/>
    <x v="0"/>
    <x v="1"/>
    <n v="187"/>
    <n v="0"/>
    <n v="0"/>
    <n v="34.590000000000003"/>
    <n v="6468.33"/>
  </r>
  <r>
    <x v="2"/>
    <x v="0"/>
    <x v="2"/>
    <n v="265"/>
    <n v="0"/>
    <n v="0"/>
    <n v="35.119999999999997"/>
    <n v="9306.7999999999993"/>
  </r>
  <r>
    <x v="1"/>
    <x v="0"/>
    <x v="2"/>
    <n v="233"/>
    <n v="13"/>
    <n v="5.58"/>
    <n v="19.420000000000002"/>
    <n v="4524.8599999999997"/>
  </r>
  <r>
    <x v="1"/>
    <x v="0"/>
    <x v="2"/>
    <n v="120"/>
    <n v="5"/>
    <n v="4.17"/>
    <n v="43.84"/>
    <n v="5260.8"/>
  </r>
  <r>
    <x v="3"/>
    <x v="0"/>
    <x v="2"/>
    <n v="142"/>
    <n v="13"/>
    <n v="9.15"/>
    <n v="9.56"/>
    <n v="1357.52"/>
  </r>
  <r>
    <x v="1"/>
    <x v="0"/>
    <x v="1"/>
    <n v="57"/>
    <n v="0"/>
    <n v="0"/>
    <n v="56.72"/>
    <n v="3233.04"/>
  </r>
  <r>
    <x v="3"/>
    <x v="0"/>
    <x v="2"/>
    <n v="229"/>
    <n v="18"/>
    <n v="7.86"/>
    <n v="30.47"/>
    <n v="6977.63"/>
  </r>
  <r>
    <x v="3"/>
    <x v="0"/>
    <x v="2"/>
    <n v="289"/>
    <n v="20"/>
    <n v="6.92"/>
    <n v="11.94"/>
    <n v="3450.66"/>
  </r>
  <r>
    <x v="1"/>
    <x v="0"/>
    <x v="1"/>
    <n v="122"/>
    <n v="0"/>
    <n v="0"/>
    <n v="30.91"/>
    <n v="3771.02"/>
  </r>
  <r>
    <x v="1"/>
    <x v="0"/>
    <x v="1"/>
    <n v="299"/>
    <n v="7"/>
    <n v="2.34"/>
    <n v="37.36"/>
    <n v="11170.64"/>
  </r>
  <r>
    <x v="0"/>
    <x v="0"/>
    <x v="0"/>
    <n v="157"/>
    <n v="7"/>
    <n v="4.46"/>
    <n v="9.36"/>
    <n v="1469.52"/>
  </r>
  <r>
    <x v="0"/>
    <x v="0"/>
    <x v="0"/>
    <n v="206"/>
    <n v="14"/>
    <n v="6.8"/>
    <n v="34.58"/>
    <n v="7123.48"/>
  </r>
  <r>
    <x v="1"/>
    <x v="0"/>
    <x v="2"/>
    <n v="60"/>
    <n v="0"/>
    <n v="0"/>
    <n v="25.17"/>
    <n v="1510.2"/>
  </r>
  <r>
    <x v="1"/>
    <x v="0"/>
    <x v="2"/>
    <n v="221"/>
    <n v="7"/>
    <n v="3.17"/>
    <n v="51.94"/>
    <n v="11478.74"/>
  </r>
  <r>
    <x v="0"/>
    <x v="0"/>
    <x v="0"/>
    <n v="107"/>
    <n v="9"/>
    <n v="8.41"/>
    <n v="16.73"/>
    <n v="1790.11"/>
  </r>
  <r>
    <x v="2"/>
    <x v="0"/>
    <x v="2"/>
    <n v="246"/>
    <n v="5"/>
    <n v="2.0299999999999998"/>
    <n v="29.65"/>
    <n v="7293.9"/>
  </r>
  <r>
    <x v="3"/>
    <x v="0"/>
    <x v="2"/>
    <n v="110"/>
    <n v="9"/>
    <n v="8.18"/>
    <n v="7.67"/>
    <n v="843.7"/>
  </r>
  <r>
    <x v="1"/>
    <x v="0"/>
    <x v="1"/>
    <n v="239"/>
    <n v="2"/>
    <n v="0.84"/>
    <n v="41.4"/>
    <n v="9894.6"/>
  </r>
  <r>
    <x v="0"/>
    <x v="0"/>
    <x v="0"/>
    <n v="80"/>
    <n v="1"/>
    <n v="1.25"/>
    <n v="48.36"/>
    <n v="3868.8"/>
  </r>
  <r>
    <x v="1"/>
    <x v="0"/>
    <x v="2"/>
    <n v="212"/>
    <n v="0"/>
    <n v="0"/>
    <n v="47.47"/>
    <n v="10063.64"/>
  </r>
  <r>
    <x v="0"/>
    <x v="0"/>
    <x v="0"/>
    <n v="180"/>
    <n v="15"/>
    <n v="8.33"/>
    <n v="68.28"/>
    <n v="12290.4"/>
  </r>
  <r>
    <x v="0"/>
    <x v="0"/>
    <x v="0"/>
    <n v="206"/>
    <n v="14"/>
    <n v="6.8"/>
    <n v="62.11"/>
    <n v="12794.66"/>
  </r>
  <r>
    <x v="0"/>
    <x v="0"/>
    <x v="2"/>
    <n v="59"/>
    <n v="0"/>
    <n v="0"/>
    <n v="13.6"/>
    <n v="802.4"/>
  </r>
  <r>
    <x v="2"/>
    <x v="0"/>
    <x v="2"/>
    <n v="222"/>
    <n v="3"/>
    <n v="1.35"/>
    <n v="36.32"/>
    <n v="8063.04"/>
  </r>
  <r>
    <x v="0"/>
    <x v="0"/>
    <x v="2"/>
    <n v="127"/>
    <n v="6"/>
    <n v="4.72"/>
    <n v="49.27"/>
    <n v="6257.29"/>
  </r>
  <r>
    <x v="1"/>
    <x v="0"/>
    <x v="2"/>
    <n v="72"/>
    <n v="0"/>
    <n v="0"/>
    <n v="61.53"/>
    <n v="4430.16"/>
  </r>
  <r>
    <x v="1"/>
    <x v="0"/>
    <x v="1"/>
    <n v="196"/>
    <n v="9"/>
    <n v="4.59"/>
    <n v="46.72"/>
    <n v="9157.1200000000008"/>
  </r>
  <r>
    <x v="1"/>
    <x v="0"/>
    <x v="1"/>
    <n v="104"/>
    <n v="5"/>
    <n v="4.8099999999999996"/>
    <n v="27.1"/>
    <n v="2818.4"/>
  </r>
  <r>
    <x v="3"/>
    <x v="0"/>
    <x v="2"/>
    <n v="63"/>
    <n v="5"/>
    <n v="7.94"/>
    <n v="10.36"/>
    <n v="652.67999999999995"/>
  </r>
  <r>
    <x v="1"/>
    <x v="0"/>
    <x v="1"/>
    <n v="269"/>
    <n v="7"/>
    <n v="2.6"/>
    <n v="20.99"/>
    <n v="5646.31"/>
  </r>
  <r>
    <x v="1"/>
    <x v="0"/>
    <x v="2"/>
    <n v="152"/>
    <n v="12"/>
    <n v="7.89"/>
    <n v="12.36"/>
    <n v="1878.72"/>
  </r>
  <r>
    <x v="0"/>
    <x v="0"/>
    <x v="0"/>
    <n v="139"/>
    <n v="6"/>
    <n v="4.32"/>
    <n v="68.2"/>
    <n v="9479.7999999999993"/>
  </r>
  <r>
    <x v="0"/>
    <x v="0"/>
    <x v="0"/>
    <n v="269"/>
    <n v="9"/>
    <n v="3.35"/>
    <n v="27.09"/>
    <n v="7287.21"/>
  </r>
  <r>
    <x v="3"/>
    <x v="0"/>
    <x v="2"/>
    <n v="241"/>
    <n v="11"/>
    <n v="4.5599999999999996"/>
    <n v="39.82"/>
    <n v="9596.6200000000008"/>
  </r>
  <r>
    <x v="2"/>
    <x v="0"/>
    <x v="2"/>
    <n v="184"/>
    <n v="13"/>
    <n v="7.07"/>
    <n v="49.07"/>
    <n v="9028.8799999999992"/>
  </r>
  <r>
    <x v="1"/>
    <x v="0"/>
    <x v="1"/>
    <n v="106"/>
    <n v="6"/>
    <n v="5.66"/>
    <n v="52"/>
    <n v="5512"/>
  </r>
  <r>
    <x v="1"/>
    <x v="0"/>
    <x v="2"/>
    <n v="233"/>
    <n v="20"/>
    <n v="8.58"/>
    <n v="41.06"/>
    <n v="9566.98"/>
  </r>
  <r>
    <x v="2"/>
    <x v="0"/>
    <x v="2"/>
    <n v="146"/>
    <n v="8"/>
    <n v="5.48"/>
    <n v="11.6"/>
    <n v="1693.6"/>
  </r>
  <r>
    <x v="0"/>
    <x v="0"/>
    <x v="2"/>
    <n v="263"/>
    <n v="7"/>
    <n v="2.66"/>
    <n v="62.08"/>
    <n v="16327.04"/>
  </r>
  <r>
    <x v="1"/>
    <x v="0"/>
    <x v="2"/>
    <n v="224"/>
    <n v="20"/>
    <n v="8.93"/>
    <n v="55.01"/>
    <n v="12322.24"/>
  </r>
  <r>
    <x v="1"/>
    <x v="0"/>
    <x v="2"/>
    <n v="51"/>
    <n v="3"/>
    <n v="5.88"/>
    <n v="62.51"/>
    <n v="3188.01"/>
  </r>
  <r>
    <x v="1"/>
    <x v="0"/>
    <x v="2"/>
    <n v="240"/>
    <n v="10"/>
    <n v="4.17"/>
    <n v="17.61"/>
    <n v="4226.3999999999996"/>
  </r>
  <r>
    <x v="2"/>
    <x v="0"/>
    <x v="2"/>
    <n v="166"/>
    <n v="7"/>
    <n v="4.22"/>
    <n v="10.34"/>
    <n v="1716.44"/>
  </r>
  <r>
    <x v="2"/>
    <x v="0"/>
    <x v="2"/>
    <n v="55"/>
    <n v="2"/>
    <n v="3.64"/>
    <n v="51.95"/>
    <n v="2857.25"/>
  </r>
  <r>
    <x v="1"/>
    <x v="0"/>
    <x v="1"/>
    <n v="74"/>
    <n v="4"/>
    <n v="5.41"/>
    <n v="44.9"/>
    <n v="3322.6"/>
  </r>
  <r>
    <x v="1"/>
    <x v="0"/>
    <x v="1"/>
    <n v="131"/>
    <n v="12"/>
    <n v="9.16"/>
    <n v="33.53"/>
    <n v="4392.43"/>
  </r>
  <r>
    <x v="1"/>
    <x v="0"/>
    <x v="1"/>
    <n v="236"/>
    <n v="20"/>
    <n v="8.4700000000000006"/>
    <n v="30.54"/>
    <n v="7207.44"/>
  </r>
  <r>
    <x v="1"/>
    <x v="0"/>
    <x v="2"/>
    <n v="100"/>
    <n v="9"/>
    <n v="9"/>
    <n v="69.94"/>
    <n v="6994"/>
  </r>
  <r>
    <x v="1"/>
    <x v="0"/>
    <x v="1"/>
    <n v="219"/>
    <n v="12"/>
    <n v="5.48"/>
    <n v="17.28"/>
    <n v="3784.32"/>
  </r>
  <r>
    <x v="2"/>
    <x v="0"/>
    <x v="2"/>
    <n v="114"/>
    <n v="10"/>
    <n v="8.77"/>
    <n v="42.38"/>
    <n v="4831.32"/>
  </r>
  <r>
    <x v="0"/>
    <x v="0"/>
    <x v="2"/>
    <n v="207"/>
    <n v="8"/>
    <n v="3.86"/>
    <n v="54.1"/>
    <n v="11198.7"/>
  </r>
  <r>
    <x v="0"/>
    <x v="0"/>
    <x v="0"/>
    <n v="132"/>
    <n v="4"/>
    <n v="3.03"/>
    <n v="33"/>
    <n v="4356"/>
  </r>
  <r>
    <x v="2"/>
    <x v="0"/>
    <x v="2"/>
    <n v="256"/>
    <n v="22"/>
    <n v="8.59"/>
    <n v="33.5"/>
    <n v="8576"/>
  </r>
  <r>
    <x v="3"/>
    <x v="0"/>
    <x v="2"/>
    <n v="240"/>
    <n v="0"/>
    <n v="0"/>
    <n v="9.26"/>
    <n v="2222.4"/>
  </r>
  <r>
    <x v="3"/>
    <x v="0"/>
    <x v="2"/>
    <n v="69"/>
    <n v="6"/>
    <n v="8.6999999999999993"/>
    <n v="48.13"/>
    <n v="3320.97"/>
  </r>
  <r>
    <x v="0"/>
    <x v="0"/>
    <x v="0"/>
    <n v="163"/>
    <n v="15"/>
    <n v="9.1999999999999993"/>
    <n v="26"/>
    <n v="4238"/>
  </r>
  <r>
    <x v="2"/>
    <x v="0"/>
    <x v="2"/>
    <n v="217"/>
    <n v="1"/>
    <n v="0.46"/>
    <n v="35.299999999999997"/>
    <n v="7660.1"/>
  </r>
  <r>
    <x v="3"/>
    <x v="0"/>
    <x v="2"/>
    <n v="77"/>
    <n v="3"/>
    <n v="3.9"/>
    <n v="21.83"/>
    <n v="1680.91"/>
  </r>
  <r>
    <x v="3"/>
    <x v="0"/>
    <x v="2"/>
    <n v="164"/>
    <n v="2"/>
    <n v="1.22"/>
    <n v="15.16"/>
    <n v="2486.2399999999998"/>
  </r>
  <r>
    <x v="2"/>
    <x v="0"/>
    <x v="2"/>
    <n v="298"/>
    <n v="15"/>
    <n v="5.03"/>
    <n v="31.73"/>
    <n v="9455.5400000000009"/>
  </r>
  <r>
    <x v="2"/>
    <x v="0"/>
    <x v="2"/>
    <n v="137"/>
    <n v="6"/>
    <n v="4.38"/>
    <n v="62.79"/>
    <n v="8602.23"/>
  </r>
  <r>
    <x v="1"/>
    <x v="0"/>
    <x v="2"/>
    <n v="255"/>
    <n v="6"/>
    <n v="2.35"/>
    <n v="15.86"/>
    <n v="4044.3"/>
  </r>
  <r>
    <x v="0"/>
    <x v="0"/>
    <x v="2"/>
    <n v="235"/>
    <n v="5"/>
    <n v="2.13"/>
    <n v="23.51"/>
    <n v="5524.85"/>
  </r>
  <r>
    <x v="2"/>
    <x v="0"/>
    <x v="2"/>
    <n v="220"/>
    <n v="16"/>
    <n v="7.27"/>
    <n v="35.96"/>
    <n v="7911.2"/>
  </r>
  <r>
    <x v="0"/>
    <x v="0"/>
    <x v="0"/>
    <n v="145"/>
    <n v="10"/>
    <n v="6.9"/>
    <n v="7.76"/>
    <n v="1125.2"/>
  </r>
  <r>
    <x v="2"/>
    <x v="0"/>
    <x v="2"/>
    <n v="293"/>
    <n v="3"/>
    <n v="1.02"/>
    <n v="33.36"/>
    <n v="9774.48"/>
  </r>
  <r>
    <x v="0"/>
    <x v="0"/>
    <x v="2"/>
    <n v="153"/>
    <n v="15"/>
    <n v="9.8000000000000007"/>
    <n v="38.409999999999997"/>
    <n v="5876.73"/>
  </r>
  <r>
    <x v="2"/>
    <x v="0"/>
    <x v="2"/>
    <n v="196"/>
    <n v="5"/>
    <n v="2.5499999999999998"/>
    <n v="66.760000000000005"/>
    <n v="13084.96"/>
  </r>
  <r>
    <x v="0"/>
    <x v="0"/>
    <x v="0"/>
    <n v="252"/>
    <n v="23"/>
    <n v="9.1300000000000008"/>
    <n v="65.290000000000006"/>
    <n v="16453.080000000002"/>
  </r>
  <r>
    <x v="1"/>
    <x v="0"/>
    <x v="2"/>
    <n v="240"/>
    <n v="16"/>
    <n v="6.67"/>
    <n v="19.71"/>
    <n v="4730.3999999999996"/>
  </r>
  <r>
    <x v="0"/>
    <x v="0"/>
    <x v="2"/>
    <n v="299"/>
    <n v="3"/>
    <n v="1"/>
    <n v="69.77"/>
    <n v="20861.23"/>
  </r>
  <r>
    <x v="0"/>
    <x v="0"/>
    <x v="2"/>
    <n v="90"/>
    <n v="1"/>
    <n v="1.1100000000000001"/>
    <n v="52.46"/>
    <n v="4721.3999999999996"/>
  </r>
  <r>
    <x v="2"/>
    <x v="0"/>
    <x v="2"/>
    <n v="118"/>
    <n v="3"/>
    <n v="2.54"/>
    <n v="20.66"/>
    <n v="2437.88"/>
  </r>
  <r>
    <x v="1"/>
    <x v="0"/>
    <x v="1"/>
    <n v="223"/>
    <n v="15"/>
    <n v="6.73"/>
    <n v="46.04"/>
    <n v="10266.92"/>
  </r>
  <r>
    <x v="1"/>
    <x v="0"/>
    <x v="1"/>
    <n v="54"/>
    <n v="1"/>
    <n v="1.85"/>
    <n v="14.43"/>
    <n v="779.22"/>
  </r>
  <r>
    <x v="0"/>
    <x v="0"/>
    <x v="2"/>
    <n v="151"/>
    <n v="3"/>
    <n v="1.99"/>
    <n v="69.92"/>
    <n v="10557.92"/>
  </r>
  <r>
    <x v="1"/>
    <x v="0"/>
    <x v="2"/>
    <n v="54"/>
    <n v="1"/>
    <n v="1.85"/>
    <n v="29.46"/>
    <n v="1590.84"/>
  </r>
  <r>
    <x v="1"/>
    <x v="0"/>
    <x v="1"/>
    <n v="65"/>
    <n v="2"/>
    <n v="3.08"/>
    <n v="33.07"/>
    <n v="2149.5500000000002"/>
  </r>
  <r>
    <x v="0"/>
    <x v="0"/>
    <x v="2"/>
    <n v="203"/>
    <n v="18"/>
    <n v="8.8699999999999992"/>
    <n v="55.27"/>
    <n v="11219.81"/>
  </r>
  <r>
    <x v="1"/>
    <x v="0"/>
    <x v="1"/>
    <n v="231"/>
    <n v="11"/>
    <n v="4.76"/>
    <n v="50.61"/>
    <n v="11690.91"/>
  </r>
  <r>
    <x v="1"/>
    <x v="0"/>
    <x v="1"/>
    <n v="158"/>
    <n v="4"/>
    <n v="2.5299999999999998"/>
    <n v="49.86"/>
    <n v="7877.88"/>
  </r>
  <r>
    <x v="0"/>
    <x v="0"/>
    <x v="2"/>
    <n v="121"/>
    <n v="8"/>
    <n v="6.61"/>
    <n v="56.72"/>
    <n v="6863.12"/>
  </r>
  <r>
    <x v="0"/>
    <x v="0"/>
    <x v="0"/>
    <n v="147"/>
    <n v="4"/>
    <n v="2.72"/>
    <n v="56.36"/>
    <n v="8284.92"/>
  </r>
  <r>
    <x v="0"/>
    <x v="0"/>
    <x v="2"/>
    <n v="196"/>
    <n v="11"/>
    <n v="5.61"/>
    <n v="53.86"/>
    <n v="10556.56"/>
  </r>
  <r>
    <x v="1"/>
    <x v="0"/>
    <x v="2"/>
    <n v="63"/>
    <n v="0"/>
    <n v="0"/>
    <n v="28.34"/>
    <n v="1785.42"/>
  </r>
  <r>
    <x v="1"/>
    <x v="0"/>
    <x v="1"/>
    <n v="233"/>
    <n v="19"/>
    <n v="8.15"/>
    <n v="59.98"/>
    <n v="13975.34"/>
  </r>
  <r>
    <x v="1"/>
    <x v="0"/>
    <x v="2"/>
    <n v="280"/>
    <n v="26"/>
    <n v="9.2899999999999991"/>
    <n v="15.69"/>
    <n v="4393.2"/>
  </r>
  <r>
    <x v="0"/>
    <x v="0"/>
    <x v="0"/>
    <n v="214"/>
    <n v="0"/>
    <n v="0"/>
    <n v="5.5"/>
    <n v="1177"/>
  </r>
  <r>
    <x v="3"/>
    <x v="0"/>
    <x v="2"/>
    <n v="161"/>
    <n v="14"/>
    <n v="8.6999999999999993"/>
    <n v="36.03"/>
    <n v="5800.83"/>
  </r>
  <r>
    <x v="1"/>
    <x v="0"/>
    <x v="2"/>
    <n v="280"/>
    <n v="7"/>
    <n v="2.5"/>
    <n v="7.48"/>
    <n v="2094.4"/>
  </r>
  <r>
    <x v="1"/>
    <x v="0"/>
    <x v="1"/>
    <n v="220"/>
    <n v="4"/>
    <n v="1.82"/>
    <n v="12.22"/>
    <n v="2688.4"/>
  </r>
  <r>
    <x v="1"/>
    <x v="0"/>
    <x v="1"/>
    <n v="267"/>
    <n v="23"/>
    <n v="8.61"/>
    <n v="62.28"/>
    <n v="16628.759999999998"/>
  </r>
  <r>
    <x v="1"/>
    <x v="0"/>
    <x v="2"/>
    <n v="198"/>
    <n v="13"/>
    <n v="6.57"/>
    <n v="46.96"/>
    <n v="9298.08"/>
  </r>
  <r>
    <x v="2"/>
    <x v="0"/>
    <x v="2"/>
    <n v="131"/>
    <n v="6"/>
    <n v="4.58"/>
    <n v="11.52"/>
    <n v="1509.12"/>
  </r>
  <r>
    <x v="0"/>
    <x v="0"/>
    <x v="0"/>
    <n v="272"/>
    <n v="18"/>
    <n v="6.62"/>
    <n v="65.459999999999994"/>
    <n v="17805.12"/>
  </r>
  <r>
    <x v="2"/>
    <x v="0"/>
    <x v="2"/>
    <n v="109"/>
    <n v="7"/>
    <n v="6.42"/>
    <n v="26.07"/>
    <n v="2841.63"/>
  </r>
  <r>
    <x v="0"/>
    <x v="0"/>
    <x v="2"/>
    <n v="142"/>
    <n v="7"/>
    <n v="4.93"/>
    <n v="51.3"/>
    <n v="7284.6"/>
  </r>
  <r>
    <x v="3"/>
    <x v="0"/>
    <x v="2"/>
    <n v="101"/>
    <n v="0"/>
    <n v="0"/>
    <n v="49.79"/>
    <n v="5028.79"/>
  </r>
  <r>
    <x v="3"/>
    <x v="0"/>
    <x v="2"/>
    <n v="98"/>
    <n v="1"/>
    <n v="1.02"/>
    <n v="48.15"/>
    <n v="4718.7"/>
  </r>
  <r>
    <x v="3"/>
    <x v="0"/>
    <x v="2"/>
    <n v="65"/>
    <n v="2"/>
    <n v="3.08"/>
    <n v="24.35"/>
    <n v="1582.75"/>
  </r>
  <r>
    <x v="2"/>
    <x v="0"/>
    <x v="2"/>
    <n v="254"/>
    <n v="11"/>
    <n v="4.33"/>
    <n v="61.66"/>
    <n v="15661.64"/>
  </r>
  <r>
    <x v="2"/>
    <x v="0"/>
    <x v="2"/>
    <n v="259"/>
    <n v="7"/>
    <n v="2.7"/>
    <n v="28.25"/>
    <n v="7316.75"/>
  </r>
  <r>
    <x v="1"/>
    <x v="0"/>
    <x v="2"/>
    <n v="181"/>
    <n v="3"/>
    <n v="1.66"/>
    <n v="63.99"/>
    <n v="11582.19"/>
  </r>
  <r>
    <x v="1"/>
    <x v="0"/>
    <x v="2"/>
    <n v="108"/>
    <n v="7"/>
    <n v="6.48"/>
    <n v="69.05"/>
    <n v="7457.4"/>
  </r>
  <r>
    <x v="2"/>
    <x v="0"/>
    <x v="2"/>
    <n v="119"/>
    <n v="4"/>
    <n v="3.36"/>
    <n v="35.119999999999997"/>
    <n v="4179.28"/>
  </r>
  <r>
    <x v="1"/>
    <x v="0"/>
    <x v="2"/>
    <n v="56"/>
    <n v="2"/>
    <n v="3.57"/>
    <n v="28.4"/>
    <n v="1590.4"/>
  </r>
  <r>
    <x v="0"/>
    <x v="0"/>
    <x v="2"/>
    <n v="293"/>
    <n v="16"/>
    <n v="5.46"/>
    <n v="64.89"/>
    <n v="19012.77"/>
  </r>
  <r>
    <x v="0"/>
    <x v="0"/>
    <x v="0"/>
    <n v="92"/>
    <n v="3"/>
    <n v="3.26"/>
    <n v="28.52"/>
    <n v="2623.84"/>
  </r>
  <r>
    <x v="2"/>
    <x v="0"/>
    <x v="2"/>
    <n v="88"/>
    <n v="0"/>
    <n v="0"/>
    <n v="42.1"/>
    <n v="3704.8"/>
  </r>
  <r>
    <x v="3"/>
    <x v="0"/>
    <x v="2"/>
    <n v="207"/>
    <n v="16"/>
    <n v="7.73"/>
    <n v="49.38"/>
    <n v="10221.66"/>
  </r>
  <r>
    <x v="1"/>
    <x v="0"/>
    <x v="1"/>
    <n v="292"/>
    <n v="6"/>
    <n v="2.0499999999999998"/>
    <n v="25.03"/>
    <n v="7308.76"/>
  </r>
  <r>
    <x v="3"/>
    <x v="0"/>
    <x v="2"/>
    <n v="250"/>
    <n v="4"/>
    <n v="1.6"/>
    <n v="15.41"/>
    <n v="3852.5"/>
  </r>
  <r>
    <x v="0"/>
    <x v="0"/>
    <x v="2"/>
    <n v="52"/>
    <n v="5"/>
    <n v="9.6199999999999992"/>
    <n v="42.25"/>
    <n v="2197"/>
  </r>
  <r>
    <x v="0"/>
    <x v="0"/>
    <x v="0"/>
    <n v="184"/>
    <n v="14"/>
    <n v="7.61"/>
    <n v="32.380000000000003"/>
    <n v="5957.92"/>
  </r>
  <r>
    <x v="0"/>
    <x v="0"/>
    <x v="0"/>
    <n v="131"/>
    <n v="4"/>
    <n v="3.05"/>
    <n v="50.11"/>
    <n v="6564.41"/>
  </r>
  <r>
    <x v="0"/>
    <x v="0"/>
    <x v="2"/>
    <n v="164"/>
    <n v="12"/>
    <n v="7.32"/>
    <n v="45.99"/>
    <n v="7542.36"/>
  </r>
  <r>
    <x v="1"/>
    <x v="0"/>
    <x v="1"/>
    <n v="181"/>
    <n v="9"/>
    <n v="4.97"/>
    <n v="47.28"/>
    <n v="8557.68"/>
  </r>
  <r>
    <x v="1"/>
    <x v="0"/>
    <x v="1"/>
    <n v="123"/>
    <n v="8"/>
    <n v="6.5"/>
    <n v="66.150000000000006"/>
    <n v="8136.45"/>
  </r>
  <r>
    <x v="1"/>
    <x v="0"/>
    <x v="1"/>
    <n v="162"/>
    <n v="15"/>
    <n v="9.26"/>
    <n v="46.83"/>
    <n v="7586.46"/>
  </r>
  <r>
    <x v="0"/>
    <x v="0"/>
    <x v="2"/>
    <n v="67"/>
    <n v="3"/>
    <n v="4.4800000000000004"/>
    <n v="32.49"/>
    <n v="2176.83"/>
  </r>
  <r>
    <x v="1"/>
    <x v="0"/>
    <x v="2"/>
    <n v="254"/>
    <n v="13"/>
    <n v="5.12"/>
    <n v="32.04"/>
    <n v="8138.16"/>
  </r>
  <r>
    <x v="0"/>
    <x v="0"/>
    <x v="2"/>
    <n v="116"/>
    <n v="4"/>
    <n v="3.45"/>
    <n v="49.8"/>
    <n v="5776.8"/>
  </r>
  <r>
    <x v="1"/>
    <x v="0"/>
    <x v="2"/>
    <n v="199"/>
    <n v="7"/>
    <n v="3.52"/>
    <n v="46.54"/>
    <n v="9261.4599999999991"/>
  </r>
  <r>
    <x v="0"/>
    <x v="0"/>
    <x v="0"/>
    <n v="297"/>
    <n v="12"/>
    <n v="4.04"/>
    <n v="13.55"/>
    <n v="4024.35"/>
  </r>
  <r>
    <x v="0"/>
    <x v="0"/>
    <x v="0"/>
    <n v="52"/>
    <n v="0"/>
    <n v="0"/>
    <n v="66.849999999999994"/>
    <n v="3476.2"/>
  </r>
  <r>
    <x v="0"/>
    <x v="0"/>
    <x v="0"/>
    <n v="60"/>
    <n v="3"/>
    <n v="5"/>
    <n v="32.31"/>
    <n v="1938.6"/>
  </r>
  <r>
    <x v="3"/>
    <x v="0"/>
    <x v="2"/>
    <n v="299"/>
    <n v="15"/>
    <n v="5.0199999999999996"/>
    <n v="62.87"/>
    <n v="18798.13"/>
  </r>
  <r>
    <x v="0"/>
    <x v="0"/>
    <x v="0"/>
    <n v="121"/>
    <n v="3"/>
    <n v="2.48"/>
    <n v="5.39"/>
    <n v="652.19000000000005"/>
  </r>
  <r>
    <x v="0"/>
    <x v="0"/>
    <x v="2"/>
    <n v="203"/>
    <n v="6"/>
    <n v="2.96"/>
    <n v="21.23"/>
    <n v="4309.6899999999996"/>
  </r>
  <r>
    <x v="3"/>
    <x v="0"/>
    <x v="2"/>
    <n v="241"/>
    <n v="20"/>
    <n v="8.3000000000000007"/>
    <n v="43.6"/>
    <n v="10507.6"/>
  </r>
  <r>
    <x v="1"/>
    <x v="0"/>
    <x v="2"/>
    <n v="293"/>
    <n v="22"/>
    <n v="7.51"/>
    <n v="38.89"/>
    <n v="11394.77"/>
  </r>
  <r>
    <x v="0"/>
    <x v="0"/>
    <x v="0"/>
    <n v="245"/>
    <n v="24"/>
    <n v="9.8000000000000007"/>
    <n v="18.61"/>
    <n v="4559.45"/>
  </r>
  <r>
    <x v="2"/>
    <x v="0"/>
    <x v="2"/>
    <n v="77"/>
    <n v="7"/>
    <n v="9.09"/>
    <n v="46.54"/>
    <n v="3583.58"/>
  </r>
  <r>
    <x v="1"/>
    <x v="0"/>
    <x v="2"/>
    <n v="188"/>
    <n v="4"/>
    <n v="2.13"/>
    <n v="43.27"/>
    <n v="8134.76"/>
  </r>
  <r>
    <x v="2"/>
    <x v="0"/>
    <x v="2"/>
    <n v="249"/>
    <n v="20"/>
    <n v="8.0299999999999994"/>
    <n v="16.53"/>
    <n v="4115.97"/>
  </r>
  <r>
    <x v="3"/>
    <x v="0"/>
    <x v="2"/>
    <n v="268"/>
    <n v="1"/>
    <n v="0.37"/>
    <n v="12.16"/>
    <n v="3258.88"/>
  </r>
  <r>
    <x v="0"/>
    <x v="0"/>
    <x v="2"/>
    <n v="181"/>
    <n v="16"/>
    <n v="8.84"/>
    <n v="34.53"/>
    <n v="6249.93"/>
  </r>
  <r>
    <x v="1"/>
    <x v="0"/>
    <x v="2"/>
    <n v="105"/>
    <n v="9"/>
    <n v="8.57"/>
    <n v="26.92"/>
    <n v="2826.6"/>
  </r>
  <r>
    <x v="0"/>
    <x v="0"/>
    <x v="2"/>
    <n v="209"/>
    <n v="9"/>
    <n v="4.3099999999999996"/>
    <n v="35.6"/>
    <n v="7440.4"/>
  </r>
  <r>
    <x v="1"/>
    <x v="0"/>
    <x v="1"/>
    <n v="151"/>
    <n v="15"/>
    <n v="9.93"/>
    <n v="34.9"/>
    <n v="5269.9"/>
  </r>
  <r>
    <x v="2"/>
    <x v="0"/>
    <x v="2"/>
    <n v="176"/>
    <n v="14"/>
    <n v="7.95"/>
    <n v="8.07"/>
    <n v="1420.32"/>
  </r>
  <r>
    <x v="0"/>
    <x v="0"/>
    <x v="2"/>
    <n v="165"/>
    <n v="6"/>
    <n v="3.64"/>
    <n v="13.1"/>
    <n v="2161.5"/>
  </r>
  <r>
    <x v="2"/>
    <x v="0"/>
    <x v="2"/>
    <n v="297"/>
    <n v="28"/>
    <n v="9.43"/>
    <n v="6.54"/>
    <n v="1942.38"/>
  </r>
  <r>
    <x v="1"/>
    <x v="0"/>
    <x v="1"/>
    <n v="280"/>
    <n v="4"/>
    <n v="1.43"/>
    <n v="55.48"/>
    <n v="15534.4"/>
  </r>
  <r>
    <x v="1"/>
    <x v="0"/>
    <x v="1"/>
    <n v="117"/>
    <n v="9"/>
    <n v="7.69"/>
    <n v="60.55"/>
    <n v="7084.35"/>
  </r>
  <r>
    <x v="3"/>
    <x v="0"/>
    <x v="2"/>
    <n v="289"/>
    <n v="21"/>
    <n v="7.27"/>
    <n v="43.68"/>
    <n v="12623.52"/>
  </r>
  <r>
    <x v="0"/>
    <x v="0"/>
    <x v="0"/>
    <n v="297"/>
    <n v="27"/>
    <n v="9.09"/>
    <n v="24.37"/>
    <n v="7237.89"/>
  </r>
  <r>
    <x v="0"/>
    <x v="0"/>
    <x v="0"/>
    <n v="219"/>
    <n v="3"/>
    <n v="1.37"/>
    <n v="40.590000000000003"/>
    <n v="8889.2099999999991"/>
  </r>
  <r>
    <x v="1"/>
    <x v="0"/>
    <x v="1"/>
    <n v="88"/>
    <n v="4"/>
    <n v="4.55"/>
    <n v="54.71"/>
    <n v="4814.4799999999996"/>
  </r>
  <r>
    <x v="0"/>
    <x v="0"/>
    <x v="0"/>
    <n v="141"/>
    <n v="12"/>
    <n v="8.51"/>
    <n v="32.49"/>
    <n v="4581.09"/>
  </r>
  <r>
    <x v="1"/>
    <x v="0"/>
    <x v="1"/>
    <n v="234"/>
    <n v="3"/>
    <n v="1.28"/>
    <n v="15.09"/>
    <n v="3531.06"/>
  </r>
  <r>
    <x v="1"/>
    <x v="0"/>
    <x v="1"/>
    <n v="106"/>
    <n v="9"/>
    <n v="8.49"/>
    <n v="37.479999999999997"/>
    <n v="3972.88"/>
  </r>
  <r>
    <x v="0"/>
    <x v="0"/>
    <x v="0"/>
    <n v="129"/>
    <n v="3"/>
    <n v="2.33"/>
    <n v="46.1"/>
    <n v="5946.9"/>
  </r>
  <r>
    <x v="0"/>
    <x v="0"/>
    <x v="2"/>
    <n v="276"/>
    <n v="27"/>
    <n v="9.7799999999999994"/>
    <n v="46"/>
    <n v="12696"/>
  </r>
  <r>
    <x v="1"/>
    <x v="0"/>
    <x v="1"/>
    <n v="197"/>
    <n v="8"/>
    <n v="4.0599999999999996"/>
    <n v="16.27"/>
    <n v="3205.19"/>
  </r>
  <r>
    <x v="1"/>
    <x v="0"/>
    <x v="1"/>
    <n v="154"/>
    <n v="0"/>
    <n v="0"/>
    <n v="33.090000000000003"/>
    <n v="5095.8599999999997"/>
  </r>
  <r>
    <x v="1"/>
    <x v="0"/>
    <x v="1"/>
    <n v="274"/>
    <n v="8"/>
    <n v="2.92"/>
    <n v="38.19"/>
    <n v="10464.06"/>
  </r>
  <r>
    <x v="3"/>
    <x v="0"/>
    <x v="2"/>
    <n v="234"/>
    <n v="9"/>
    <n v="3.85"/>
    <n v="28.95"/>
    <n v="6774.3"/>
  </r>
  <r>
    <x v="3"/>
    <x v="0"/>
    <x v="2"/>
    <n v="182"/>
    <n v="3"/>
    <n v="1.65"/>
    <n v="65.540000000000006"/>
    <n v="11928.28"/>
  </r>
  <r>
    <x v="0"/>
    <x v="0"/>
    <x v="0"/>
    <n v="51"/>
    <n v="0"/>
    <n v="0"/>
    <n v="25.66"/>
    <n v="1308.6600000000001"/>
  </r>
  <r>
    <x v="1"/>
    <x v="0"/>
    <x v="1"/>
    <n v="177"/>
    <n v="3"/>
    <n v="1.69"/>
    <n v="41.5"/>
    <n v="7345.5"/>
  </r>
  <r>
    <x v="1"/>
    <x v="0"/>
    <x v="2"/>
    <n v="211"/>
    <n v="15"/>
    <n v="7.11"/>
    <n v="32.26"/>
    <n v="6806.86"/>
  </r>
  <r>
    <x v="2"/>
    <x v="0"/>
    <x v="2"/>
    <n v="194"/>
    <n v="0"/>
    <n v="0"/>
    <n v="13.23"/>
    <n v="2566.62"/>
  </r>
  <r>
    <x v="1"/>
    <x v="0"/>
    <x v="1"/>
    <n v="255"/>
    <n v="0"/>
    <n v="0"/>
    <n v="54.26"/>
    <n v="13836.3"/>
  </r>
  <r>
    <x v="0"/>
    <x v="0"/>
    <x v="0"/>
    <n v="288"/>
    <n v="3"/>
    <n v="1.04"/>
    <n v="47.41"/>
    <n v="13654.08"/>
  </r>
  <r>
    <x v="3"/>
    <x v="0"/>
    <x v="2"/>
    <n v="159"/>
    <n v="0"/>
    <n v="0"/>
    <n v="44.82"/>
    <n v="7126.38"/>
  </r>
  <r>
    <x v="3"/>
    <x v="0"/>
    <x v="2"/>
    <n v="210"/>
    <n v="21"/>
    <n v="10"/>
    <n v="36.549999999999997"/>
    <n v="7675.5"/>
  </r>
  <r>
    <x v="0"/>
    <x v="0"/>
    <x v="0"/>
    <n v="157"/>
    <n v="2"/>
    <n v="1.27"/>
    <n v="40.270000000000003"/>
    <n v="6322.39"/>
  </r>
  <r>
    <x v="0"/>
    <x v="0"/>
    <x v="0"/>
    <n v="146"/>
    <n v="11"/>
    <n v="7.53"/>
    <n v="6.75"/>
    <n v="985.5"/>
  </r>
  <r>
    <x v="1"/>
    <x v="0"/>
    <x v="1"/>
    <n v="155"/>
    <n v="3"/>
    <n v="1.94"/>
    <n v="50.56"/>
    <n v="7836.8"/>
  </r>
  <r>
    <x v="1"/>
    <x v="0"/>
    <x v="1"/>
    <n v="98"/>
    <n v="1"/>
    <n v="1.02"/>
    <n v="17.54"/>
    <n v="1718.92"/>
  </r>
  <r>
    <x v="1"/>
    <x v="0"/>
    <x v="1"/>
    <n v="75"/>
    <n v="5"/>
    <n v="6.67"/>
    <n v="35.39"/>
    <n v="2654.25"/>
  </r>
  <r>
    <x v="1"/>
    <x v="0"/>
    <x v="2"/>
    <n v="114"/>
    <n v="1"/>
    <n v="0.88"/>
    <n v="7.16"/>
    <n v="816.24"/>
  </r>
  <r>
    <x v="1"/>
    <x v="0"/>
    <x v="1"/>
    <n v="195"/>
    <n v="1"/>
    <n v="0.51"/>
    <n v="62.85"/>
    <n v="12255.75"/>
  </r>
  <r>
    <x v="2"/>
    <x v="0"/>
    <x v="2"/>
    <n v="69"/>
    <n v="4"/>
    <n v="5.8"/>
    <n v="49.25"/>
    <n v="3398.25"/>
  </r>
  <r>
    <x v="0"/>
    <x v="0"/>
    <x v="0"/>
    <n v="93"/>
    <n v="9"/>
    <n v="9.68"/>
    <n v="53.25"/>
    <n v="4952.25"/>
  </r>
  <r>
    <x v="2"/>
    <x v="0"/>
    <x v="2"/>
    <n v="97"/>
    <n v="2"/>
    <n v="2.06"/>
    <n v="69.06"/>
    <n v="6698.82"/>
  </r>
  <r>
    <x v="2"/>
    <x v="0"/>
    <x v="2"/>
    <n v="212"/>
    <n v="6"/>
    <n v="2.83"/>
    <n v="32.909999999999997"/>
    <n v="6976.92"/>
  </r>
  <r>
    <x v="1"/>
    <x v="0"/>
    <x v="1"/>
    <n v="88"/>
    <n v="5"/>
    <n v="5.68"/>
    <n v="37.28"/>
    <n v="3280.64"/>
  </r>
  <r>
    <x v="1"/>
    <x v="0"/>
    <x v="1"/>
    <n v="174"/>
    <n v="4"/>
    <n v="2.2999999999999998"/>
    <n v="37.630000000000003"/>
    <n v="6547.62"/>
  </r>
  <r>
    <x v="2"/>
    <x v="0"/>
    <x v="2"/>
    <n v="77"/>
    <n v="7"/>
    <n v="9.09"/>
    <n v="40.17"/>
    <n v="3093.09"/>
  </r>
  <r>
    <x v="0"/>
    <x v="0"/>
    <x v="2"/>
    <n v="255"/>
    <n v="6"/>
    <n v="2.35"/>
    <n v="50.16"/>
    <n v="12790.8"/>
  </r>
  <r>
    <x v="3"/>
    <x v="0"/>
    <x v="2"/>
    <n v="250"/>
    <n v="13"/>
    <n v="5.2"/>
    <n v="6.56"/>
    <n v="1640"/>
  </r>
  <r>
    <x v="2"/>
    <x v="0"/>
    <x v="2"/>
    <n v="247"/>
    <n v="1"/>
    <n v="0.4"/>
    <n v="8.39"/>
    <n v="2072.33"/>
  </r>
  <r>
    <x v="1"/>
    <x v="0"/>
    <x v="2"/>
    <n v="279"/>
    <n v="5"/>
    <n v="1.79"/>
    <n v="29.75"/>
    <n v="8300.25"/>
  </r>
  <r>
    <x v="0"/>
    <x v="0"/>
    <x v="2"/>
    <n v="58"/>
    <n v="1"/>
    <n v="1.72"/>
    <n v="65.290000000000006"/>
    <n v="3786.82"/>
  </r>
  <r>
    <x v="0"/>
    <x v="0"/>
    <x v="0"/>
    <n v="221"/>
    <n v="11"/>
    <n v="4.9800000000000004"/>
    <n v="36.04"/>
    <n v="7964.84"/>
  </r>
  <r>
    <x v="0"/>
    <x v="0"/>
    <x v="2"/>
    <n v="198"/>
    <n v="7"/>
    <n v="3.54"/>
    <n v="42.26"/>
    <n v="8367.48"/>
  </r>
  <r>
    <x v="0"/>
    <x v="0"/>
    <x v="0"/>
    <n v="288"/>
    <n v="3"/>
    <n v="1.04"/>
    <n v="40.619999999999997"/>
    <n v="11698.56"/>
  </r>
  <r>
    <x v="3"/>
    <x v="0"/>
    <x v="2"/>
    <n v="120"/>
    <n v="1"/>
    <n v="0.83"/>
    <n v="56.09"/>
    <n v="6730.8"/>
  </r>
  <r>
    <x v="1"/>
    <x v="0"/>
    <x v="1"/>
    <n v="148"/>
    <n v="4"/>
    <n v="2.7"/>
    <n v="47.27"/>
    <n v="6995.96"/>
  </r>
  <r>
    <x v="1"/>
    <x v="0"/>
    <x v="1"/>
    <n v="59"/>
    <n v="2"/>
    <n v="3.39"/>
    <n v="41.58"/>
    <n v="2453.2199999999998"/>
  </r>
  <r>
    <x v="0"/>
    <x v="0"/>
    <x v="2"/>
    <n v="190"/>
    <n v="5"/>
    <n v="2.63"/>
    <n v="25.11"/>
    <n v="4770.8999999999996"/>
  </r>
  <r>
    <x v="1"/>
    <x v="0"/>
    <x v="2"/>
    <n v="287"/>
    <n v="0"/>
    <n v="0"/>
    <n v="65.28"/>
    <n v="18735.36"/>
  </r>
  <r>
    <x v="0"/>
    <x v="0"/>
    <x v="2"/>
    <n v="282"/>
    <n v="6"/>
    <n v="2.13"/>
    <n v="38.32"/>
    <n v="10806.24"/>
  </r>
  <r>
    <x v="3"/>
    <x v="0"/>
    <x v="2"/>
    <n v="77"/>
    <n v="5"/>
    <n v="6.49"/>
    <n v="29.06"/>
    <n v="2237.62"/>
  </r>
  <r>
    <x v="2"/>
    <x v="0"/>
    <x v="2"/>
    <n v="63"/>
    <n v="2"/>
    <n v="3.17"/>
    <n v="30.64"/>
    <n v="1930.32"/>
  </r>
  <r>
    <x v="2"/>
    <x v="0"/>
    <x v="2"/>
    <n v="183"/>
    <n v="9"/>
    <n v="4.92"/>
    <n v="15.57"/>
    <n v="2849.31"/>
  </r>
  <r>
    <x v="3"/>
    <x v="0"/>
    <x v="2"/>
    <n v="52"/>
    <n v="5"/>
    <n v="9.6199999999999992"/>
    <n v="58.74"/>
    <n v="3054.48"/>
  </r>
  <r>
    <x v="2"/>
    <x v="0"/>
    <x v="2"/>
    <n v="172"/>
    <n v="6"/>
    <n v="3.49"/>
    <n v="15.02"/>
    <n v="2583.44"/>
  </r>
  <r>
    <x v="1"/>
    <x v="0"/>
    <x v="1"/>
    <n v="106"/>
    <n v="2"/>
    <n v="1.89"/>
    <n v="11.44"/>
    <n v="1212.6400000000001"/>
  </r>
  <r>
    <x v="0"/>
    <x v="0"/>
    <x v="2"/>
    <n v="174"/>
    <n v="7"/>
    <n v="4.0199999999999996"/>
    <n v="43.56"/>
    <n v="7579.44"/>
  </r>
  <r>
    <x v="1"/>
    <x v="0"/>
    <x v="2"/>
    <n v="108"/>
    <n v="2"/>
    <n v="1.85"/>
    <n v="26.52"/>
    <n v="2864.16"/>
  </r>
  <r>
    <x v="1"/>
    <x v="0"/>
    <x v="1"/>
    <n v="186"/>
    <n v="1"/>
    <n v="0.54"/>
    <n v="24.92"/>
    <n v="4635.12"/>
  </r>
  <r>
    <x v="1"/>
    <x v="0"/>
    <x v="2"/>
    <n v="142"/>
    <n v="3"/>
    <n v="2.11"/>
    <n v="36.36"/>
    <n v="5163.12"/>
  </r>
  <r>
    <x v="1"/>
    <x v="0"/>
    <x v="2"/>
    <n v="93"/>
    <n v="4"/>
    <n v="4.3"/>
    <n v="50.03"/>
    <n v="4652.79"/>
  </r>
  <r>
    <x v="1"/>
    <x v="0"/>
    <x v="2"/>
    <n v="189"/>
    <n v="8"/>
    <n v="4.2300000000000004"/>
    <n v="16.91"/>
    <n v="3195.99"/>
  </r>
  <r>
    <x v="2"/>
    <x v="0"/>
    <x v="2"/>
    <n v="130"/>
    <n v="12"/>
    <n v="9.23"/>
    <n v="44.77"/>
    <n v="5820.1"/>
  </r>
  <r>
    <x v="3"/>
    <x v="0"/>
    <x v="2"/>
    <n v="170"/>
    <n v="14"/>
    <n v="8.24"/>
    <n v="61.95"/>
    <n v="10531.5"/>
  </r>
  <r>
    <x v="0"/>
    <x v="0"/>
    <x v="2"/>
    <n v="88"/>
    <n v="2"/>
    <n v="2.27"/>
    <n v="39.65"/>
    <n v="3489.2"/>
  </r>
  <r>
    <x v="0"/>
    <x v="0"/>
    <x v="2"/>
    <n v="201"/>
    <n v="3"/>
    <n v="1.49"/>
    <n v="63.55"/>
    <n v="12773.55"/>
  </r>
  <r>
    <x v="0"/>
    <x v="0"/>
    <x v="0"/>
    <n v="69"/>
    <n v="0"/>
    <n v="0"/>
    <n v="66.28"/>
    <n v="4573.32"/>
  </r>
  <r>
    <x v="0"/>
    <x v="0"/>
    <x v="0"/>
    <n v="77"/>
    <n v="1"/>
    <n v="1.3"/>
    <n v="69.36"/>
    <n v="5340.72"/>
  </r>
  <r>
    <x v="3"/>
    <x v="0"/>
    <x v="2"/>
    <n v="118"/>
    <n v="5"/>
    <n v="4.24"/>
    <n v="59.76"/>
    <n v="7051.68"/>
  </r>
  <r>
    <x v="1"/>
    <x v="0"/>
    <x v="1"/>
    <n v="256"/>
    <n v="22"/>
    <n v="8.59"/>
    <n v="63.41"/>
    <n v="16232.96"/>
  </r>
  <r>
    <x v="0"/>
    <x v="0"/>
    <x v="2"/>
    <n v="185"/>
    <n v="14"/>
    <n v="7.57"/>
    <n v="10.69"/>
    <n v="1977.65"/>
  </r>
  <r>
    <x v="1"/>
    <x v="0"/>
    <x v="1"/>
    <n v="130"/>
    <n v="10"/>
    <n v="7.69"/>
    <n v="25"/>
    <n v="3250"/>
  </r>
  <r>
    <x v="3"/>
    <x v="0"/>
    <x v="2"/>
    <n v="58"/>
    <n v="4"/>
    <n v="6.9"/>
    <n v="59.59"/>
    <n v="3456.22"/>
  </r>
  <r>
    <x v="0"/>
    <x v="0"/>
    <x v="2"/>
    <n v="108"/>
    <n v="6"/>
    <n v="5.56"/>
    <n v="21.12"/>
    <n v="2280.96"/>
  </r>
  <r>
    <x v="1"/>
    <x v="0"/>
    <x v="1"/>
    <n v="273"/>
    <n v="5"/>
    <n v="1.83"/>
    <n v="18.8"/>
    <n v="5132.3999999999996"/>
  </r>
  <r>
    <x v="1"/>
    <x v="0"/>
    <x v="2"/>
    <n v="226"/>
    <n v="14"/>
    <n v="6.19"/>
    <n v="38.51"/>
    <n v="8703.26"/>
  </r>
  <r>
    <x v="1"/>
    <x v="0"/>
    <x v="2"/>
    <n v="238"/>
    <n v="21"/>
    <n v="8.82"/>
    <n v="43.43"/>
    <n v="10336.34"/>
  </r>
  <r>
    <x v="0"/>
    <x v="0"/>
    <x v="2"/>
    <n v="284"/>
    <n v="24"/>
    <n v="8.4499999999999993"/>
    <n v="10.85"/>
    <n v="3081.4"/>
  </r>
  <r>
    <x v="1"/>
    <x v="0"/>
    <x v="1"/>
    <n v="128"/>
    <n v="8"/>
    <n v="6.25"/>
    <n v="56.38"/>
    <n v="7216.64"/>
  </r>
  <r>
    <x v="0"/>
    <x v="0"/>
    <x v="2"/>
    <n v="139"/>
    <n v="7"/>
    <n v="5.04"/>
    <n v="40.22"/>
    <n v="5590.58"/>
  </r>
  <r>
    <x v="0"/>
    <x v="0"/>
    <x v="0"/>
    <n v="121"/>
    <n v="10"/>
    <n v="8.26"/>
    <n v="39.94"/>
    <n v="4832.74"/>
  </r>
  <r>
    <x v="3"/>
    <x v="0"/>
    <x v="2"/>
    <n v="67"/>
    <n v="5"/>
    <n v="7.46"/>
    <n v="35.72"/>
    <n v="2393.2399999999998"/>
  </r>
  <r>
    <x v="2"/>
    <x v="0"/>
    <x v="2"/>
    <n v="102"/>
    <n v="7"/>
    <n v="6.86"/>
    <n v="49.34"/>
    <n v="5032.68"/>
  </r>
  <r>
    <x v="0"/>
    <x v="0"/>
    <x v="2"/>
    <n v="153"/>
    <n v="14"/>
    <n v="9.15"/>
    <n v="7.43"/>
    <n v="1136.79"/>
  </r>
  <r>
    <x v="1"/>
    <x v="0"/>
    <x v="1"/>
    <n v="176"/>
    <n v="11"/>
    <n v="6.25"/>
    <n v="42.55"/>
    <n v="7488.8"/>
  </r>
  <r>
    <x v="0"/>
    <x v="0"/>
    <x v="2"/>
    <n v="244"/>
    <n v="24"/>
    <n v="9.84"/>
    <n v="51.41"/>
    <n v="12544.04"/>
  </r>
  <r>
    <x v="0"/>
    <x v="0"/>
    <x v="0"/>
    <n v="247"/>
    <n v="23"/>
    <n v="9.31"/>
    <n v="34.630000000000003"/>
    <n v="8553.61"/>
  </r>
  <r>
    <x v="0"/>
    <x v="0"/>
    <x v="2"/>
    <n v="129"/>
    <n v="9"/>
    <n v="6.98"/>
    <n v="7.12"/>
    <n v="918.48"/>
  </r>
  <r>
    <x v="2"/>
    <x v="0"/>
    <x v="2"/>
    <n v="284"/>
    <n v="10"/>
    <n v="3.52"/>
    <n v="61.69"/>
    <n v="17519.96"/>
  </r>
  <r>
    <x v="1"/>
    <x v="0"/>
    <x v="2"/>
    <n v="129"/>
    <n v="11"/>
    <n v="8.5299999999999994"/>
    <n v="42.23"/>
    <n v="5447.67"/>
  </r>
  <r>
    <x v="0"/>
    <x v="0"/>
    <x v="2"/>
    <n v="259"/>
    <n v="9"/>
    <n v="3.47"/>
    <n v="34.51"/>
    <n v="8938.09"/>
  </r>
  <r>
    <x v="3"/>
    <x v="0"/>
    <x v="2"/>
    <n v="106"/>
    <n v="7"/>
    <n v="6.6"/>
    <n v="28.09"/>
    <n v="2977.54"/>
  </r>
  <r>
    <x v="1"/>
    <x v="0"/>
    <x v="1"/>
    <n v="80"/>
    <n v="0"/>
    <n v="0"/>
    <n v="13.52"/>
    <n v="1081.5999999999999"/>
  </r>
  <r>
    <x v="3"/>
    <x v="0"/>
    <x v="2"/>
    <n v="279"/>
    <n v="19"/>
    <n v="6.81"/>
    <n v="62.91"/>
    <n v="17551.89"/>
  </r>
  <r>
    <x v="1"/>
    <x v="0"/>
    <x v="1"/>
    <n v="243"/>
    <n v="21"/>
    <n v="8.64"/>
    <n v="63.88"/>
    <n v="15522.84"/>
  </r>
  <r>
    <x v="1"/>
    <x v="0"/>
    <x v="2"/>
    <n v="218"/>
    <n v="16"/>
    <n v="7.34"/>
    <n v="33.380000000000003"/>
    <n v="7276.84"/>
  </r>
  <r>
    <x v="2"/>
    <x v="0"/>
    <x v="2"/>
    <n v="208"/>
    <n v="17"/>
    <n v="8.17"/>
    <n v="9.42"/>
    <n v="1959.36"/>
  </r>
  <r>
    <x v="3"/>
    <x v="0"/>
    <x v="2"/>
    <n v="264"/>
    <n v="18"/>
    <n v="6.82"/>
    <n v="17.350000000000001"/>
    <n v="4580.3999999999996"/>
  </r>
  <r>
    <x v="1"/>
    <x v="0"/>
    <x v="2"/>
    <n v="270"/>
    <n v="7"/>
    <n v="2.59"/>
    <n v="47.35"/>
    <n v="12784.5"/>
  </r>
  <r>
    <x v="2"/>
    <x v="0"/>
    <x v="2"/>
    <n v="155"/>
    <n v="13"/>
    <n v="8.39"/>
    <n v="36.950000000000003"/>
    <n v="5727.25"/>
  </r>
  <r>
    <x v="0"/>
    <x v="0"/>
    <x v="2"/>
    <n v="244"/>
    <n v="14"/>
    <n v="5.74"/>
    <n v="36.79"/>
    <n v="8976.76"/>
  </r>
  <r>
    <x v="1"/>
    <x v="0"/>
    <x v="1"/>
    <n v="118"/>
    <n v="6"/>
    <n v="5.08"/>
    <n v="6.87"/>
    <n v="810.66"/>
  </r>
  <r>
    <x v="0"/>
    <x v="0"/>
    <x v="2"/>
    <n v="192"/>
    <n v="8"/>
    <n v="4.17"/>
    <n v="52.4"/>
    <n v="10060.799999999999"/>
  </r>
  <r>
    <x v="0"/>
    <x v="0"/>
    <x v="2"/>
    <n v="145"/>
    <n v="12"/>
    <n v="8.2799999999999994"/>
    <n v="14.52"/>
    <n v="2105.4"/>
  </r>
  <r>
    <x v="0"/>
    <x v="0"/>
    <x v="2"/>
    <n v="156"/>
    <n v="13"/>
    <n v="8.33"/>
    <n v="37.53"/>
    <n v="5854.68"/>
  </r>
  <r>
    <x v="1"/>
    <x v="0"/>
    <x v="2"/>
    <n v="83"/>
    <n v="5"/>
    <n v="6.02"/>
    <n v="37.18"/>
    <n v="3085.94"/>
  </r>
  <r>
    <x v="1"/>
    <x v="0"/>
    <x v="1"/>
    <n v="217"/>
    <n v="5"/>
    <n v="2.2999999999999998"/>
    <n v="15.52"/>
    <n v="3367.84"/>
  </r>
  <r>
    <x v="0"/>
    <x v="0"/>
    <x v="0"/>
    <n v="257"/>
    <n v="8"/>
    <n v="3.11"/>
    <n v="31.68"/>
    <n v="8141.76"/>
  </r>
  <r>
    <x v="0"/>
    <x v="0"/>
    <x v="0"/>
    <n v="210"/>
    <n v="2"/>
    <n v="0.95"/>
    <n v="48.59"/>
    <n v="10203.9"/>
  </r>
  <r>
    <x v="0"/>
    <x v="0"/>
    <x v="0"/>
    <n v="218"/>
    <n v="7"/>
    <n v="3.21"/>
    <n v="10.28"/>
    <n v="2241.04"/>
  </r>
  <r>
    <x v="0"/>
    <x v="0"/>
    <x v="2"/>
    <n v="239"/>
    <n v="4"/>
    <n v="1.67"/>
    <n v="16.11"/>
    <n v="3850.29"/>
  </r>
  <r>
    <x v="1"/>
    <x v="0"/>
    <x v="1"/>
    <n v="255"/>
    <n v="16"/>
    <n v="6.27"/>
    <n v="20.420000000000002"/>
    <n v="5207.1000000000004"/>
  </r>
  <r>
    <x v="0"/>
    <x v="0"/>
    <x v="2"/>
    <n v="275"/>
    <n v="17"/>
    <n v="6.18"/>
    <n v="40.08"/>
    <n v="11022"/>
  </r>
  <r>
    <x v="1"/>
    <x v="0"/>
    <x v="2"/>
    <n v="174"/>
    <n v="14"/>
    <n v="8.0500000000000007"/>
    <n v="35.19"/>
    <n v="6123.06"/>
  </r>
  <r>
    <x v="3"/>
    <x v="0"/>
    <x v="2"/>
    <n v="234"/>
    <n v="3"/>
    <n v="1.28"/>
    <n v="14.25"/>
    <n v="3334.5"/>
  </r>
  <r>
    <x v="2"/>
    <x v="0"/>
    <x v="2"/>
    <n v="182"/>
    <n v="9"/>
    <n v="4.95"/>
    <n v="65.69"/>
    <n v="11955.58"/>
  </r>
  <r>
    <x v="1"/>
    <x v="0"/>
    <x v="2"/>
    <n v="279"/>
    <n v="7"/>
    <n v="2.5099999999999998"/>
    <n v="8.9"/>
    <n v="2483.1"/>
  </r>
  <r>
    <x v="0"/>
    <x v="0"/>
    <x v="0"/>
    <n v="93"/>
    <n v="9"/>
    <n v="9.68"/>
    <n v="37.909999999999997"/>
    <n v="3525.63"/>
  </r>
  <r>
    <x v="0"/>
    <x v="0"/>
    <x v="2"/>
    <n v="268"/>
    <n v="22"/>
    <n v="8.2100000000000009"/>
    <n v="45.28"/>
    <n v="12135.04"/>
  </r>
  <r>
    <x v="0"/>
    <x v="0"/>
    <x v="2"/>
    <n v="225"/>
    <n v="16"/>
    <n v="7.11"/>
    <n v="54.93"/>
    <n v="12359.25"/>
  </r>
  <r>
    <x v="1"/>
    <x v="0"/>
    <x v="1"/>
    <n v="261"/>
    <n v="16"/>
    <n v="6.13"/>
    <n v="30.24"/>
    <n v="7892.64"/>
  </r>
  <r>
    <x v="0"/>
    <x v="0"/>
    <x v="0"/>
    <n v="203"/>
    <n v="6"/>
    <n v="2.96"/>
    <n v="64.77"/>
    <n v="13148.31"/>
  </r>
  <r>
    <x v="0"/>
    <x v="0"/>
    <x v="2"/>
    <n v="58"/>
    <n v="1"/>
    <n v="1.72"/>
    <n v="60.01"/>
    <n v="3480.58"/>
  </r>
  <r>
    <x v="0"/>
    <x v="0"/>
    <x v="2"/>
    <n v="222"/>
    <n v="14"/>
    <n v="6.31"/>
    <n v="52.05"/>
    <n v="11555.1"/>
  </r>
  <r>
    <x v="1"/>
    <x v="0"/>
    <x v="2"/>
    <n v="186"/>
    <n v="3"/>
    <n v="1.61"/>
    <n v="66.88"/>
    <n v="12439.68"/>
  </r>
  <r>
    <x v="2"/>
    <x v="0"/>
    <x v="2"/>
    <n v="95"/>
    <n v="3"/>
    <n v="3.16"/>
    <n v="67.760000000000005"/>
    <n v="6437.2"/>
  </r>
  <r>
    <x v="2"/>
    <x v="0"/>
    <x v="2"/>
    <n v="151"/>
    <n v="13"/>
    <n v="8.61"/>
    <n v="55.22"/>
    <n v="8338.2199999999993"/>
  </r>
  <r>
    <x v="3"/>
    <x v="0"/>
    <x v="2"/>
    <n v="96"/>
    <n v="0"/>
    <n v="0"/>
    <n v="59.18"/>
    <n v="5681.28"/>
  </r>
  <r>
    <x v="1"/>
    <x v="0"/>
    <x v="1"/>
    <n v="104"/>
    <n v="1"/>
    <n v="0.96"/>
    <n v="68.400000000000006"/>
    <n v="7113.6"/>
  </r>
  <r>
    <x v="3"/>
    <x v="0"/>
    <x v="2"/>
    <n v="213"/>
    <n v="11"/>
    <n v="5.16"/>
    <n v="24.87"/>
    <n v="5297.31"/>
  </r>
  <r>
    <x v="1"/>
    <x v="0"/>
    <x v="2"/>
    <n v="137"/>
    <n v="9"/>
    <n v="6.57"/>
    <n v="12.68"/>
    <n v="1737.16"/>
  </r>
  <r>
    <x v="1"/>
    <x v="0"/>
    <x v="2"/>
    <n v="92"/>
    <n v="9"/>
    <n v="9.7799999999999994"/>
    <n v="47.41"/>
    <n v="4361.72"/>
  </r>
  <r>
    <x v="3"/>
    <x v="0"/>
    <x v="2"/>
    <n v="72"/>
    <n v="0"/>
    <n v="0"/>
    <n v="15.15"/>
    <n v="1090.8"/>
  </r>
  <r>
    <x v="0"/>
    <x v="0"/>
    <x v="2"/>
    <n v="146"/>
    <n v="10"/>
    <n v="6.85"/>
    <n v="35.909999999999997"/>
    <n v="5242.8599999999997"/>
  </r>
  <r>
    <x v="2"/>
    <x v="0"/>
    <x v="2"/>
    <n v="144"/>
    <n v="1"/>
    <n v="0.69"/>
    <n v="34.409999999999997"/>
    <n v="4955.04"/>
  </r>
  <r>
    <x v="2"/>
    <x v="0"/>
    <x v="2"/>
    <n v="260"/>
    <n v="24"/>
    <n v="9.23"/>
    <n v="12.07"/>
    <n v="3138.2"/>
  </r>
  <r>
    <x v="0"/>
    <x v="0"/>
    <x v="2"/>
    <n v="193"/>
    <n v="14"/>
    <n v="7.25"/>
    <n v="45.96"/>
    <n v="8870.2800000000007"/>
  </r>
  <r>
    <x v="1"/>
    <x v="0"/>
    <x v="2"/>
    <n v="297"/>
    <n v="5"/>
    <n v="1.68"/>
    <n v="7.09"/>
    <n v="2105.73"/>
  </r>
  <r>
    <x v="1"/>
    <x v="0"/>
    <x v="1"/>
    <n v="245"/>
    <n v="11"/>
    <n v="4.49"/>
    <n v="21.86"/>
    <n v="5355.7"/>
  </r>
  <r>
    <x v="1"/>
    <x v="0"/>
    <x v="2"/>
    <n v="218"/>
    <n v="21"/>
    <n v="9.6300000000000008"/>
    <n v="54.53"/>
    <n v="11887.54"/>
  </r>
  <r>
    <x v="0"/>
    <x v="0"/>
    <x v="2"/>
    <n v="178"/>
    <n v="0"/>
    <n v="0"/>
    <n v="9.86"/>
    <n v="1755.08"/>
  </r>
  <r>
    <x v="1"/>
    <x v="0"/>
    <x v="1"/>
    <n v="211"/>
    <n v="2"/>
    <n v="0.95"/>
    <n v="51.28"/>
    <n v="10820.08"/>
  </r>
  <r>
    <x v="1"/>
    <x v="0"/>
    <x v="2"/>
    <n v="74"/>
    <n v="4"/>
    <n v="5.41"/>
    <n v="10.06"/>
    <n v="744.44"/>
  </r>
  <r>
    <x v="1"/>
    <x v="0"/>
    <x v="1"/>
    <n v="52"/>
    <n v="5"/>
    <n v="9.6199999999999992"/>
    <n v="67.12"/>
    <n v="3490.24"/>
  </r>
  <r>
    <x v="1"/>
    <x v="0"/>
    <x v="2"/>
    <n v="144"/>
    <n v="7"/>
    <n v="4.8600000000000003"/>
    <n v="44.95"/>
    <n v="6472.8"/>
  </r>
  <r>
    <x v="0"/>
    <x v="0"/>
    <x v="0"/>
    <n v="292"/>
    <n v="1"/>
    <n v="0.34"/>
    <n v="69.709999999999994"/>
    <n v="20355.32"/>
  </r>
  <r>
    <x v="1"/>
    <x v="0"/>
    <x v="2"/>
    <n v="179"/>
    <n v="16"/>
    <n v="8.94"/>
    <n v="10.42"/>
    <n v="1865.18"/>
  </r>
  <r>
    <x v="1"/>
    <x v="0"/>
    <x v="2"/>
    <n v="263"/>
    <n v="21"/>
    <n v="7.98"/>
    <n v="47.43"/>
    <n v="12474.09"/>
  </r>
  <r>
    <x v="0"/>
    <x v="0"/>
    <x v="0"/>
    <n v="212"/>
    <n v="13"/>
    <n v="6.13"/>
    <n v="34.15"/>
    <n v="7239.8"/>
  </r>
  <r>
    <x v="0"/>
    <x v="0"/>
    <x v="0"/>
    <n v="142"/>
    <n v="4"/>
    <n v="2.82"/>
    <n v="54.88"/>
    <n v="7792.96"/>
  </r>
  <r>
    <x v="1"/>
    <x v="0"/>
    <x v="1"/>
    <n v="56"/>
    <n v="4"/>
    <n v="7.14"/>
    <n v="64.09"/>
    <n v="3589.04"/>
  </r>
  <r>
    <x v="0"/>
    <x v="0"/>
    <x v="2"/>
    <n v="224"/>
    <n v="12"/>
    <n v="5.36"/>
    <n v="53.58"/>
    <n v="12001.92"/>
  </r>
  <r>
    <x v="3"/>
    <x v="0"/>
    <x v="2"/>
    <n v="178"/>
    <n v="7"/>
    <n v="3.93"/>
    <n v="53.78"/>
    <n v="9572.84"/>
  </r>
  <r>
    <x v="3"/>
    <x v="0"/>
    <x v="2"/>
    <n v="219"/>
    <n v="5"/>
    <n v="2.2799999999999998"/>
    <n v="68.13"/>
    <n v="14920.47"/>
  </r>
  <r>
    <x v="1"/>
    <x v="0"/>
    <x v="1"/>
    <n v="261"/>
    <n v="15"/>
    <n v="5.75"/>
    <n v="16.46"/>
    <n v="4296.0600000000004"/>
  </r>
  <r>
    <x v="1"/>
    <x v="0"/>
    <x v="2"/>
    <n v="150"/>
    <n v="1"/>
    <n v="0.67"/>
    <n v="23.01"/>
    <n v="3451.5"/>
  </r>
  <r>
    <x v="0"/>
    <x v="0"/>
    <x v="0"/>
    <n v="140"/>
    <n v="11"/>
    <n v="7.86"/>
    <n v="41.84"/>
    <n v="5857.6"/>
  </r>
  <r>
    <x v="0"/>
    <x v="0"/>
    <x v="2"/>
    <n v="142"/>
    <n v="12"/>
    <n v="8.4499999999999993"/>
    <n v="29.41"/>
    <n v="4176.22"/>
  </r>
  <r>
    <x v="0"/>
    <x v="0"/>
    <x v="2"/>
    <n v="121"/>
    <n v="9"/>
    <n v="7.44"/>
    <n v="23.89"/>
    <n v="2890.69"/>
  </r>
  <r>
    <x v="0"/>
    <x v="0"/>
    <x v="0"/>
    <n v="125"/>
    <n v="8"/>
    <n v="6.4"/>
    <n v="13.56"/>
    <n v="1695"/>
  </r>
  <r>
    <x v="1"/>
    <x v="0"/>
    <x v="2"/>
    <n v="269"/>
    <n v="20"/>
    <n v="7.43"/>
    <n v="29.31"/>
    <n v="7884.39"/>
  </r>
  <r>
    <x v="3"/>
    <x v="0"/>
    <x v="2"/>
    <n v="77"/>
    <n v="2"/>
    <n v="2.6"/>
    <n v="8.4700000000000006"/>
    <n v="652.19000000000005"/>
  </r>
  <r>
    <x v="3"/>
    <x v="0"/>
    <x v="2"/>
    <n v="262"/>
    <n v="26"/>
    <n v="9.92"/>
    <n v="5.29"/>
    <n v="1385.98"/>
  </r>
  <r>
    <x v="0"/>
    <x v="0"/>
    <x v="2"/>
    <n v="123"/>
    <n v="9"/>
    <n v="7.32"/>
    <n v="26.65"/>
    <n v="3277.95"/>
  </r>
  <r>
    <x v="2"/>
    <x v="0"/>
    <x v="2"/>
    <n v="77"/>
    <n v="0"/>
    <n v="0"/>
    <n v="61.78"/>
    <n v="4757.0600000000004"/>
  </r>
  <r>
    <x v="0"/>
    <x v="0"/>
    <x v="0"/>
    <n v="178"/>
    <n v="4"/>
    <n v="2.25"/>
    <n v="11.8"/>
    <n v="2100.4"/>
  </r>
  <r>
    <x v="2"/>
    <x v="0"/>
    <x v="2"/>
    <n v="56"/>
    <n v="5"/>
    <n v="8.93"/>
    <n v="12.08"/>
    <n v="676.48"/>
  </r>
  <r>
    <x v="1"/>
    <x v="0"/>
    <x v="2"/>
    <n v="274"/>
    <n v="15"/>
    <n v="5.47"/>
    <n v="12.98"/>
    <n v="3556.52"/>
  </r>
  <r>
    <x v="0"/>
    <x v="0"/>
    <x v="2"/>
    <n v="214"/>
    <n v="4"/>
    <n v="1.87"/>
    <n v="10.050000000000001"/>
    <n v="2150.6999999999998"/>
  </r>
  <r>
    <x v="3"/>
    <x v="0"/>
    <x v="2"/>
    <n v="174"/>
    <n v="9"/>
    <n v="5.17"/>
    <n v="66.3"/>
    <n v="11536.2"/>
  </r>
  <r>
    <x v="1"/>
    <x v="0"/>
    <x v="2"/>
    <n v="225"/>
    <n v="20"/>
    <n v="8.89"/>
    <n v="37.33"/>
    <n v="8399.25"/>
  </r>
  <r>
    <x v="0"/>
    <x v="0"/>
    <x v="2"/>
    <n v="278"/>
    <n v="16"/>
    <n v="5.76"/>
    <n v="63.18"/>
    <n v="17564.04"/>
  </r>
  <r>
    <x v="2"/>
    <x v="0"/>
    <x v="2"/>
    <n v="130"/>
    <n v="11"/>
    <n v="8.4600000000000009"/>
    <n v="63.72"/>
    <n v="8283.6"/>
  </r>
  <r>
    <x v="1"/>
    <x v="0"/>
    <x v="2"/>
    <n v="100"/>
    <n v="4"/>
    <n v="4"/>
    <n v="52.07"/>
    <n v="5207"/>
  </r>
  <r>
    <x v="0"/>
    <x v="0"/>
    <x v="0"/>
    <n v="67"/>
    <n v="3"/>
    <n v="4.4800000000000004"/>
    <n v="67.34"/>
    <n v="4511.78"/>
  </r>
  <r>
    <x v="1"/>
    <x v="0"/>
    <x v="2"/>
    <n v="133"/>
    <n v="9"/>
    <n v="6.77"/>
    <n v="63.62"/>
    <n v="8461.4599999999991"/>
  </r>
  <r>
    <x v="2"/>
    <x v="0"/>
    <x v="2"/>
    <n v="218"/>
    <n v="9"/>
    <n v="4.13"/>
    <n v="36.11"/>
    <n v="7871.98"/>
  </r>
  <r>
    <x v="1"/>
    <x v="0"/>
    <x v="1"/>
    <n v="143"/>
    <n v="6"/>
    <n v="4.2"/>
    <n v="13.42"/>
    <n v="1919.06"/>
  </r>
  <r>
    <x v="1"/>
    <x v="0"/>
    <x v="2"/>
    <n v="227"/>
    <n v="14"/>
    <n v="6.17"/>
    <n v="42.3"/>
    <n v="9602.1"/>
  </r>
  <r>
    <x v="2"/>
    <x v="0"/>
    <x v="2"/>
    <n v="287"/>
    <n v="20"/>
    <n v="6.97"/>
    <n v="25.42"/>
    <n v="7295.54"/>
  </r>
  <r>
    <x v="1"/>
    <x v="0"/>
    <x v="2"/>
    <n v="84"/>
    <n v="8"/>
    <n v="9.52"/>
    <n v="37.729999999999997"/>
    <n v="3169.32"/>
  </r>
  <r>
    <x v="0"/>
    <x v="0"/>
    <x v="2"/>
    <n v="124"/>
    <n v="5"/>
    <n v="4.03"/>
    <n v="20.45"/>
    <n v="2535.8000000000002"/>
  </r>
  <r>
    <x v="2"/>
    <x v="0"/>
    <x v="2"/>
    <n v="175"/>
    <n v="1"/>
    <n v="0.56999999999999995"/>
    <n v="17.579999999999998"/>
    <n v="3076.5"/>
  </r>
  <r>
    <x v="1"/>
    <x v="0"/>
    <x v="1"/>
    <n v="184"/>
    <n v="1"/>
    <n v="0.54"/>
    <n v="23.16"/>
    <n v="4261.4399999999996"/>
  </r>
  <r>
    <x v="3"/>
    <x v="0"/>
    <x v="2"/>
    <n v="112"/>
    <n v="3"/>
    <n v="2.68"/>
    <n v="56.3"/>
    <n v="6305.6"/>
  </r>
  <r>
    <x v="3"/>
    <x v="0"/>
    <x v="2"/>
    <n v="61"/>
    <n v="4"/>
    <n v="6.56"/>
    <n v="55"/>
    <n v="3355"/>
  </r>
  <r>
    <x v="1"/>
    <x v="0"/>
    <x v="1"/>
    <n v="243"/>
    <n v="10"/>
    <n v="4.12"/>
    <n v="22.27"/>
    <n v="5411.61"/>
  </r>
  <r>
    <x v="1"/>
    <x v="0"/>
    <x v="2"/>
    <n v="202"/>
    <n v="14"/>
    <n v="6.93"/>
    <n v="8.77"/>
    <n v="1771.54"/>
  </r>
  <r>
    <x v="2"/>
    <x v="0"/>
    <x v="2"/>
    <n v="52"/>
    <n v="5"/>
    <n v="9.6199999999999992"/>
    <n v="53.01"/>
    <n v="2756.52"/>
  </r>
  <r>
    <x v="0"/>
    <x v="0"/>
    <x v="2"/>
    <n v="192"/>
    <n v="7"/>
    <n v="3.65"/>
    <n v="51.33"/>
    <n v="9855.36"/>
  </r>
  <r>
    <x v="0"/>
    <x v="0"/>
    <x v="0"/>
    <n v="153"/>
    <n v="13"/>
    <n v="8.5"/>
    <n v="68.260000000000005"/>
    <n v="10443.780000000001"/>
  </r>
  <r>
    <x v="3"/>
    <x v="0"/>
    <x v="2"/>
    <n v="279"/>
    <n v="3"/>
    <n v="1.08"/>
    <n v="16.05"/>
    <n v="4477.95"/>
  </r>
  <r>
    <x v="0"/>
    <x v="0"/>
    <x v="0"/>
    <n v="250"/>
    <n v="13"/>
    <n v="5.2"/>
    <n v="22.12"/>
    <n v="5530"/>
  </r>
  <r>
    <x v="2"/>
    <x v="0"/>
    <x v="2"/>
    <n v="99"/>
    <n v="1"/>
    <n v="1.01"/>
    <n v="22.07"/>
    <n v="2184.9299999999998"/>
  </r>
  <r>
    <x v="2"/>
    <x v="0"/>
    <x v="2"/>
    <n v="150"/>
    <n v="14"/>
    <n v="9.33"/>
    <n v="45.15"/>
    <n v="6772.5"/>
  </r>
  <r>
    <x v="2"/>
    <x v="0"/>
    <x v="2"/>
    <n v="262"/>
    <n v="3"/>
    <n v="1.1499999999999999"/>
    <n v="31.74"/>
    <n v="8315.8799999999992"/>
  </r>
  <r>
    <x v="2"/>
    <x v="0"/>
    <x v="2"/>
    <n v="269"/>
    <n v="26"/>
    <n v="9.67"/>
    <n v="47.94"/>
    <n v="12895.86"/>
  </r>
  <r>
    <x v="3"/>
    <x v="0"/>
    <x v="2"/>
    <n v="156"/>
    <n v="0"/>
    <n v="0"/>
    <n v="63.65"/>
    <n v="9929.4"/>
  </r>
  <r>
    <x v="0"/>
    <x v="0"/>
    <x v="0"/>
    <n v="123"/>
    <n v="7"/>
    <n v="5.69"/>
    <n v="50.23"/>
    <n v="6178.29"/>
  </r>
  <r>
    <x v="0"/>
    <x v="0"/>
    <x v="2"/>
    <n v="100"/>
    <n v="7"/>
    <n v="7"/>
    <n v="31.87"/>
    <n v="3187"/>
  </r>
  <r>
    <x v="0"/>
    <x v="0"/>
    <x v="2"/>
    <n v="161"/>
    <n v="5"/>
    <n v="3.11"/>
    <n v="64.83"/>
    <n v="10437.629999999999"/>
  </r>
  <r>
    <x v="1"/>
    <x v="0"/>
    <x v="2"/>
    <n v="283"/>
    <n v="13"/>
    <n v="4.59"/>
    <n v="16.61"/>
    <n v="4700.63"/>
  </r>
  <r>
    <x v="0"/>
    <x v="0"/>
    <x v="2"/>
    <n v="163"/>
    <n v="12"/>
    <n v="7.36"/>
    <n v="61"/>
    <n v="9943"/>
  </r>
  <r>
    <x v="3"/>
    <x v="0"/>
    <x v="2"/>
    <n v="206"/>
    <n v="11"/>
    <n v="5.34"/>
    <n v="16.36"/>
    <n v="3370.16"/>
  </r>
  <r>
    <x v="1"/>
    <x v="0"/>
    <x v="2"/>
    <n v="217"/>
    <n v="15"/>
    <n v="6.91"/>
    <n v="6.8"/>
    <n v="1475.6"/>
  </r>
  <r>
    <x v="1"/>
    <x v="0"/>
    <x v="2"/>
    <n v="181"/>
    <n v="12"/>
    <n v="6.63"/>
    <n v="54.03"/>
    <n v="9779.43"/>
  </r>
  <r>
    <x v="0"/>
    <x v="0"/>
    <x v="0"/>
    <n v="100"/>
    <n v="9"/>
    <n v="9"/>
    <n v="6.99"/>
    <n v="699"/>
  </r>
  <r>
    <x v="1"/>
    <x v="0"/>
    <x v="1"/>
    <n v="127"/>
    <n v="1"/>
    <n v="0.79"/>
    <n v="55.52"/>
    <n v="7051.04"/>
  </r>
  <r>
    <x v="2"/>
    <x v="0"/>
    <x v="2"/>
    <n v="289"/>
    <n v="13"/>
    <n v="4.5"/>
    <n v="67.25"/>
    <n v="19435.25"/>
  </r>
  <r>
    <x v="0"/>
    <x v="0"/>
    <x v="0"/>
    <n v="153"/>
    <n v="15"/>
    <n v="9.8000000000000007"/>
    <n v="16.62"/>
    <n v="2542.86"/>
  </r>
  <r>
    <x v="3"/>
    <x v="0"/>
    <x v="2"/>
    <n v="194"/>
    <n v="9"/>
    <n v="4.6399999999999997"/>
    <n v="6.61"/>
    <n v="1282.3399999999999"/>
  </r>
  <r>
    <x v="2"/>
    <x v="0"/>
    <x v="2"/>
    <n v="177"/>
    <n v="4"/>
    <n v="2.2599999999999998"/>
    <n v="53.14"/>
    <n v="9405.7800000000007"/>
  </r>
  <r>
    <x v="3"/>
    <x v="0"/>
    <x v="2"/>
    <n v="275"/>
    <n v="12"/>
    <n v="4.3600000000000003"/>
    <n v="9.48"/>
    <n v="2607"/>
  </r>
  <r>
    <x v="3"/>
    <x v="0"/>
    <x v="2"/>
    <n v="68"/>
    <n v="4"/>
    <n v="5.88"/>
    <n v="34.15"/>
    <n v="2322.1999999999998"/>
  </r>
  <r>
    <x v="0"/>
    <x v="0"/>
    <x v="2"/>
    <n v="179"/>
    <n v="16"/>
    <n v="8.94"/>
    <n v="12.56"/>
    <n v="2248.2399999999998"/>
  </r>
  <r>
    <x v="0"/>
    <x v="0"/>
    <x v="0"/>
    <n v="112"/>
    <n v="0"/>
    <n v="0"/>
    <n v="67.81"/>
    <n v="7594.72"/>
  </r>
  <r>
    <x v="1"/>
    <x v="0"/>
    <x v="2"/>
    <n v="154"/>
    <n v="2"/>
    <n v="1.3"/>
    <n v="56.58"/>
    <n v="8713.32"/>
  </r>
  <r>
    <x v="3"/>
    <x v="0"/>
    <x v="2"/>
    <n v="134"/>
    <n v="1"/>
    <n v="0.75"/>
    <n v="23.38"/>
    <n v="3132.92"/>
  </r>
  <r>
    <x v="3"/>
    <x v="0"/>
    <x v="2"/>
    <n v="191"/>
    <n v="7"/>
    <n v="3.66"/>
    <n v="51.96"/>
    <n v="9924.36"/>
  </r>
  <r>
    <x v="1"/>
    <x v="0"/>
    <x v="2"/>
    <n v="67"/>
    <n v="6"/>
    <n v="8.9600000000000009"/>
    <n v="31.75"/>
    <n v="2127.25"/>
  </r>
  <r>
    <x v="3"/>
    <x v="0"/>
    <x v="2"/>
    <n v="179"/>
    <n v="6"/>
    <n v="3.35"/>
    <n v="13.1"/>
    <n v="2344.9"/>
  </r>
  <r>
    <x v="1"/>
    <x v="0"/>
    <x v="2"/>
    <n v="127"/>
    <n v="0"/>
    <n v="0"/>
    <n v="19.29"/>
    <n v="2449.83"/>
  </r>
  <r>
    <x v="1"/>
    <x v="0"/>
    <x v="2"/>
    <n v="260"/>
    <n v="9"/>
    <n v="3.46"/>
    <n v="30.71"/>
    <n v="7984.6"/>
  </r>
  <r>
    <x v="0"/>
    <x v="0"/>
    <x v="2"/>
    <n v="179"/>
    <n v="16"/>
    <n v="8.94"/>
    <n v="39.869999999999997"/>
    <n v="7136.73"/>
  </r>
  <r>
    <x v="2"/>
    <x v="0"/>
    <x v="2"/>
    <n v="277"/>
    <n v="20"/>
    <n v="7.22"/>
    <n v="23.59"/>
    <n v="6534.43"/>
  </r>
  <r>
    <x v="1"/>
    <x v="0"/>
    <x v="2"/>
    <n v="185"/>
    <n v="2"/>
    <n v="1.08"/>
    <n v="31.83"/>
    <n v="5888.55"/>
  </r>
  <r>
    <x v="0"/>
    <x v="0"/>
    <x v="0"/>
    <n v="61"/>
    <n v="1"/>
    <n v="1.64"/>
    <n v="29.01"/>
    <n v="1769.61"/>
  </r>
  <r>
    <x v="1"/>
    <x v="0"/>
    <x v="1"/>
    <n v="207"/>
    <n v="10"/>
    <n v="4.83"/>
    <n v="54.97"/>
    <n v="11378.79"/>
  </r>
  <r>
    <x v="0"/>
    <x v="0"/>
    <x v="2"/>
    <n v="252"/>
    <n v="5"/>
    <n v="1.98"/>
    <n v="48.36"/>
    <n v="12186.72"/>
  </r>
  <r>
    <x v="0"/>
    <x v="0"/>
    <x v="0"/>
    <n v="141"/>
    <n v="4"/>
    <n v="2.84"/>
    <n v="30.38"/>
    <n v="4283.58"/>
  </r>
  <r>
    <x v="0"/>
    <x v="0"/>
    <x v="0"/>
    <n v="271"/>
    <n v="25"/>
    <n v="9.23"/>
    <n v="10.76"/>
    <n v="2915.96"/>
  </r>
  <r>
    <x v="3"/>
    <x v="0"/>
    <x v="2"/>
    <n v="191"/>
    <n v="3"/>
    <n v="1.57"/>
    <n v="59.91"/>
    <n v="11442.81"/>
  </r>
  <r>
    <x v="1"/>
    <x v="0"/>
    <x v="1"/>
    <n v="139"/>
    <n v="4"/>
    <n v="2.88"/>
    <n v="10.199999999999999"/>
    <n v="1417.8"/>
  </r>
  <r>
    <x v="1"/>
    <x v="0"/>
    <x v="1"/>
    <n v="285"/>
    <n v="11"/>
    <n v="3.86"/>
    <n v="49.67"/>
    <n v="14155.95"/>
  </r>
  <r>
    <x v="3"/>
    <x v="0"/>
    <x v="2"/>
    <n v="205"/>
    <n v="11"/>
    <n v="5.37"/>
    <n v="50.05"/>
    <n v="10260.25"/>
  </r>
  <r>
    <x v="1"/>
    <x v="0"/>
    <x v="1"/>
    <n v="260"/>
    <n v="4"/>
    <n v="1.54"/>
    <n v="47.12"/>
    <n v="12251.2"/>
  </r>
  <r>
    <x v="1"/>
    <x v="0"/>
    <x v="2"/>
    <n v="95"/>
    <n v="8"/>
    <n v="8.42"/>
    <n v="62.52"/>
    <n v="5939.4"/>
  </r>
  <r>
    <x v="1"/>
    <x v="0"/>
    <x v="1"/>
    <n v="90"/>
    <n v="4"/>
    <n v="4.4400000000000004"/>
    <n v="70"/>
    <n v="6300"/>
  </r>
  <r>
    <x v="3"/>
    <x v="0"/>
    <x v="2"/>
    <n v="276"/>
    <n v="22"/>
    <n v="7.97"/>
    <n v="29.66"/>
    <n v="8186.16"/>
  </r>
  <r>
    <x v="0"/>
    <x v="0"/>
    <x v="2"/>
    <n v="187"/>
    <n v="3"/>
    <n v="1.6"/>
    <n v="24.26"/>
    <n v="4536.62"/>
  </r>
  <r>
    <x v="0"/>
    <x v="0"/>
    <x v="0"/>
    <n v="74"/>
    <n v="7"/>
    <n v="9.4600000000000009"/>
    <n v="13.95"/>
    <n v="1032.3"/>
  </r>
  <r>
    <x v="3"/>
    <x v="0"/>
    <x v="2"/>
    <n v="179"/>
    <n v="5"/>
    <n v="2.79"/>
    <n v="53.7"/>
    <n v="9612.2999999999993"/>
  </r>
  <r>
    <x v="3"/>
    <x v="0"/>
    <x v="2"/>
    <n v="299"/>
    <n v="4"/>
    <n v="1.34"/>
    <n v="34.159999999999997"/>
    <n v="10213.84"/>
  </r>
  <r>
    <x v="2"/>
    <x v="0"/>
    <x v="2"/>
    <n v="245"/>
    <n v="8"/>
    <n v="3.27"/>
    <n v="36.340000000000003"/>
    <n v="8903.2999999999993"/>
  </r>
  <r>
    <x v="1"/>
    <x v="0"/>
    <x v="1"/>
    <n v="245"/>
    <n v="16"/>
    <n v="6.53"/>
    <n v="51.73"/>
    <n v="12673.85"/>
  </r>
  <r>
    <x v="3"/>
    <x v="0"/>
    <x v="2"/>
    <n v="185"/>
    <n v="4"/>
    <n v="2.16"/>
    <n v="55.92"/>
    <n v="10345.200000000001"/>
  </r>
  <r>
    <x v="1"/>
    <x v="0"/>
    <x v="1"/>
    <n v="58"/>
    <n v="2"/>
    <n v="3.45"/>
    <n v="59.93"/>
    <n v="3475.94"/>
  </r>
  <r>
    <x v="0"/>
    <x v="0"/>
    <x v="2"/>
    <n v="182"/>
    <n v="11"/>
    <n v="6.04"/>
    <n v="36.94"/>
    <n v="6723.08"/>
  </r>
  <r>
    <x v="1"/>
    <x v="0"/>
    <x v="2"/>
    <n v="268"/>
    <n v="13"/>
    <n v="4.8499999999999996"/>
    <n v="48.93"/>
    <n v="13113.24"/>
  </r>
  <r>
    <x v="0"/>
    <x v="0"/>
    <x v="2"/>
    <n v="295"/>
    <n v="12"/>
    <n v="4.07"/>
    <n v="46.4"/>
    <n v="13688"/>
  </r>
  <r>
    <x v="1"/>
    <x v="0"/>
    <x v="1"/>
    <n v="223"/>
    <n v="21"/>
    <n v="9.42"/>
    <n v="17.010000000000002"/>
    <n v="3793.23"/>
  </r>
  <r>
    <x v="1"/>
    <x v="0"/>
    <x v="2"/>
    <n v="219"/>
    <n v="18"/>
    <n v="8.2200000000000006"/>
    <n v="5.32"/>
    <n v="1165.08"/>
  </r>
  <r>
    <x v="1"/>
    <x v="0"/>
    <x v="2"/>
    <n v="51"/>
    <n v="2"/>
    <n v="3.92"/>
    <n v="13.54"/>
    <n v="690.54"/>
  </r>
  <r>
    <x v="1"/>
    <x v="0"/>
    <x v="1"/>
    <n v="268"/>
    <n v="10"/>
    <n v="3.73"/>
    <n v="66.569999999999993"/>
    <n v="17840.759999999998"/>
  </r>
  <r>
    <x v="3"/>
    <x v="0"/>
    <x v="2"/>
    <n v="266"/>
    <n v="18"/>
    <n v="6.77"/>
    <n v="54.35"/>
    <n v="14457.1"/>
  </r>
  <r>
    <x v="3"/>
    <x v="0"/>
    <x v="2"/>
    <n v="166"/>
    <n v="7"/>
    <n v="4.22"/>
    <n v="42.54"/>
    <n v="7061.64"/>
  </r>
  <r>
    <x v="2"/>
    <x v="0"/>
    <x v="2"/>
    <n v="114"/>
    <n v="7"/>
    <n v="6.14"/>
    <n v="43.09"/>
    <n v="4912.26"/>
  </r>
  <r>
    <x v="1"/>
    <x v="0"/>
    <x v="2"/>
    <n v="206"/>
    <n v="14"/>
    <n v="6.8"/>
    <n v="47.99"/>
    <n v="9885.94"/>
  </r>
  <r>
    <x v="2"/>
    <x v="0"/>
    <x v="2"/>
    <n v="99"/>
    <n v="8"/>
    <n v="8.08"/>
    <n v="48.65"/>
    <n v="4816.3500000000004"/>
  </r>
  <r>
    <x v="2"/>
    <x v="0"/>
    <x v="2"/>
    <n v="96"/>
    <n v="0"/>
    <n v="0"/>
    <n v="23.97"/>
    <n v="2301.12"/>
  </r>
  <r>
    <x v="1"/>
    <x v="0"/>
    <x v="1"/>
    <n v="161"/>
    <n v="13"/>
    <n v="8.07"/>
    <n v="28.94"/>
    <n v="4659.34"/>
  </r>
  <r>
    <x v="1"/>
    <x v="0"/>
    <x v="1"/>
    <n v="202"/>
    <n v="11"/>
    <n v="5.45"/>
    <n v="61.35"/>
    <n v="12392.7"/>
  </r>
  <r>
    <x v="0"/>
    <x v="0"/>
    <x v="2"/>
    <n v="88"/>
    <n v="7"/>
    <n v="7.95"/>
    <n v="24.96"/>
    <n v="2196.48"/>
  </r>
  <r>
    <x v="0"/>
    <x v="0"/>
    <x v="2"/>
    <n v="197"/>
    <n v="17"/>
    <n v="8.6300000000000008"/>
    <n v="46.67"/>
    <n v="9193.99"/>
  </r>
  <r>
    <x v="0"/>
    <x v="0"/>
    <x v="0"/>
    <n v="117"/>
    <n v="1"/>
    <n v="0.85"/>
    <n v="12.85"/>
    <n v="1503.45"/>
  </r>
  <r>
    <x v="0"/>
    <x v="0"/>
    <x v="2"/>
    <n v="211"/>
    <n v="8"/>
    <n v="3.79"/>
    <n v="29.37"/>
    <n v="6197.07"/>
  </r>
  <r>
    <x v="1"/>
    <x v="0"/>
    <x v="1"/>
    <n v="180"/>
    <n v="13"/>
    <n v="7.22"/>
    <n v="26.5"/>
    <n v="4770"/>
  </r>
  <r>
    <x v="1"/>
    <x v="0"/>
    <x v="1"/>
    <n v="109"/>
    <n v="10"/>
    <n v="9.17"/>
    <n v="58.24"/>
    <n v="6348.16"/>
  </r>
  <r>
    <x v="1"/>
    <x v="0"/>
    <x v="1"/>
    <n v="141"/>
    <n v="9"/>
    <n v="6.38"/>
    <n v="45.54"/>
    <n v="6421.14"/>
  </r>
  <r>
    <x v="0"/>
    <x v="0"/>
    <x v="0"/>
    <n v="279"/>
    <n v="16"/>
    <n v="5.73"/>
    <n v="39.22"/>
    <n v="10942.38"/>
  </r>
  <r>
    <x v="1"/>
    <x v="0"/>
    <x v="2"/>
    <n v="130"/>
    <n v="6"/>
    <n v="4.62"/>
    <n v="69.92"/>
    <n v="9089.6"/>
  </r>
  <r>
    <x v="1"/>
    <x v="0"/>
    <x v="2"/>
    <n v="59"/>
    <n v="0"/>
    <n v="0"/>
    <n v="17.510000000000002"/>
    <n v="1033.0899999999999"/>
  </r>
  <r>
    <x v="3"/>
    <x v="0"/>
    <x v="2"/>
    <n v="223"/>
    <n v="11"/>
    <n v="4.93"/>
    <n v="65.239999999999995"/>
    <n v="14548.52"/>
  </r>
  <r>
    <x v="2"/>
    <x v="0"/>
    <x v="2"/>
    <n v="190"/>
    <n v="19"/>
    <n v="10"/>
    <n v="9.39"/>
    <n v="1784.1"/>
  </r>
  <r>
    <x v="2"/>
    <x v="0"/>
    <x v="2"/>
    <n v="286"/>
    <n v="22"/>
    <n v="7.69"/>
    <n v="25.9"/>
    <n v="7407.4"/>
  </r>
  <r>
    <x v="2"/>
    <x v="0"/>
    <x v="2"/>
    <n v="136"/>
    <n v="6"/>
    <n v="4.41"/>
    <n v="35.83"/>
    <n v="4872.88"/>
  </r>
  <r>
    <x v="3"/>
    <x v="0"/>
    <x v="2"/>
    <n v="155"/>
    <n v="15"/>
    <n v="9.68"/>
    <n v="63.78"/>
    <n v="9885.9"/>
  </r>
  <r>
    <x v="0"/>
    <x v="0"/>
    <x v="2"/>
    <n v="215"/>
    <n v="16"/>
    <n v="7.44"/>
    <n v="29.49"/>
    <n v="6340.35"/>
  </r>
  <r>
    <x v="3"/>
    <x v="0"/>
    <x v="2"/>
    <n v="232"/>
    <n v="6"/>
    <n v="2.59"/>
    <n v="18.43"/>
    <n v="4275.76"/>
  </r>
  <r>
    <x v="1"/>
    <x v="0"/>
    <x v="2"/>
    <n v="71"/>
    <n v="5"/>
    <n v="7.04"/>
    <n v="56.34"/>
    <n v="4000.14"/>
  </r>
  <r>
    <x v="1"/>
    <x v="0"/>
    <x v="2"/>
    <n v="297"/>
    <n v="20"/>
    <n v="6.73"/>
    <n v="40.92"/>
    <n v="12153.24"/>
  </r>
  <r>
    <x v="1"/>
    <x v="0"/>
    <x v="1"/>
    <n v="100"/>
    <n v="4"/>
    <n v="4"/>
    <n v="65.290000000000006"/>
    <n v="6529"/>
  </r>
  <r>
    <x v="0"/>
    <x v="0"/>
    <x v="0"/>
    <n v="137"/>
    <n v="0"/>
    <n v="0"/>
    <n v="65.92"/>
    <n v="9031.0400000000009"/>
  </r>
  <r>
    <x v="0"/>
    <x v="0"/>
    <x v="0"/>
    <n v="282"/>
    <n v="26"/>
    <n v="9.2200000000000006"/>
    <n v="38.92"/>
    <n v="10975.44"/>
  </r>
  <r>
    <x v="1"/>
    <x v="0"/>
    <x v="2"/>
    <n v="286"/>
    <n v="1"/>
    <n v="0.35"/>
    <n v="56.66"/>
    <n v="16204.76"/>
  </r>
  <r>
    <x v="1"/>
    <x v="0"/>
    <x v="2"/>
    <n v="52"/>
    <n v="1"/>
    <n v="1.92"/>
    <n v="26.42"/>
    <n v="1373.84"/>
  </r>
  <r>
    <x v="0"/>
    <x v="0"/>
    <x v="0"/>
    <n v="259"/>
    <n v="18"/>
    <n v="6.95"/>
    <n v="11.05"/>
    <n v="2861.95"/>
  </r>
  <r>
    <x v="2"/>
    <x v="0"/>
    <x v="2"/>
    <n v="190"/>
    <n v="19"/>
    <n v="10"/>
    <n v="69.459999999999994"/>
    <n v="13197.4"/>
  </r>
  <r>
    <x v="1"/>
    <x v="0"/>
    <x v="1"/>
    <n v="233"/>
    <n v="6"/>
    <n v="2.58"/>
    <n v="55.24"/>
    <n v="12870.92"/>
  </r>
  <r>
    <x v="0"/>
    <x v="0"/>
    <x v="0"/>
    <n v="98"/>
    <n v="3"/>
    <n v="3.06"/>
    <n v="32.479999999999997"/>
    <n v="3183.04"/>
  </r>
  <r>
    <x v="1"/>
    <x v="0"/>
    <x v="2"/>
    <n v="54"/>
    <n v="1"/>
    <n v="1.85"/>
    <n v="33.18"/>
    <n v="1791.72"/>
  </r>
  <r>
    <x v="0"/>
    <x v="0"/>
    <x v="2"/>
    <n v="165"/>
    <n v="16"/>
    <n v="9.6999999999999993"/>
    <n v="24.57"/>
    <n v="4054.05"/>
  </r>
  <r>
    <x v="1"/>
    <x v="0"/>
    <x v="2"/>
    <n v="184"/>
    <n v="6"/>
    <n v="3.26"/>
    <n v="67.83"/>
    <n v="12480.72"/>
  </r>
  <r>
    <x v="3"/>
    <x v="0"/>
    <x v="2"/>
    <n v="127"/>
    <n v="0"/>
    <n v="0"/>
    <n v="18.440000000000001"/>
    <n v="2341.88"/>
  </r>
  <r>
    <x v="1"/>
    <x v="0"/>
    <x v="2"/>
    <n v="89"/>
    <n v="3"/>
    <n v="3.37"/>
    <n v="34.74"/>
    <n v="3091.86"/>
  </r>
  <r>
    <x v="0"/>
    <x v="0"/>
    <x v="2"/>
    <n v="262"/>
    <n v="21"/>
    <n v="8.02"/>
    <n v="57.19"/>
    <n v="14983.78"/>
  </r>
  <r>
    <x v="2"/>
    <x v="0"/>
    <x v="2"/>
    <n v="291"/>
    <n v="7"/>
    <n v="2.41"/>
    <n v="19.77"/>
    <n v="5753.07"/>
  </r>
  <r>
    <x v="1"/>
    <x v="0"/>
    <x v="1"/>
    <n v="196"/>
    <n v="10"/>
    <n v="5.0999999999999996"/>
    <n v="17.61"/>
    <n v="3451.56"/>
  </r>
  <r>
    <x v="0"/>
    <x v="0"/>
    <x v="0"/>
    <n v="203"/>
    <n v="0"/>
    <n v="0"/>
    <n v="49.08"/>
    <n v="9963.24"/>
  </r>
  <r>
    <x v="1"/>
    <x v="0"/>
    <x v="2"/>
    <n v="96"/>
    <n v="2"/>
    <n v="2.08"/>
    <n v="28.21"/>
    <n v="2708.16"/>
  </r>
  <r>
    <x v="3"/>
    <x v="0"/>
    <x v="2"/>
    <n v="242"/>
    <n v="14"/>
    <n v="5.79"/>
    <n v="19.59"/>
    <n v="4740.78"/>
  </r>
  <r>
    <x v="2"/>
    <x v="0"/>
    <x v="2"/>
    <n v="153"/>
    <n v="12"/>
    <n v="7.84"/>
    <n v="47.4"/>
    <n v="7252.2"/>
  </r>
  <r>
    <x v="1"/>
    <x v="0"/>
    <x v="2"/>
    <n v="210"/>
    <n v="11"/>
    <n v="5.24"/>
    <n v="36.18"/>
    <n v="7597.8"/>
  </r>
  <r>
    <x v="1"/>
    <x v="0"/>
    <x v="1"/>
    <n v="126"/>
    <n v="0"/>
    <n v="0"/>
    <n v="8.3800000000000008"/>
    <n v="1055.8800000000001"/>
  </r>
  <r>
    <x v="0"/>
    <x v="0"/>
    <x v="2"/>
    <n v="291"/>
    <n v="11"/>
    <n v="3.78"/>
    <n v="11.51"/>
    <n v="3349.41"/>
  </r>
  <r>
    <x v="1"/>
    <x v="0"/>
    <x v="2"/>
    <n v="270"/>
    <n v="10"/>
    <n v="3.7"/>
    <n v="6.57"/>
    <n v="1773.9"/>
  </r>
  <r>
    <x v="1"/>
    <x v="0"/>
    <x v="1"/>
    <n v="105"/>
    <n v="5"/>
    <n v="4.76"/>
    <n v="54.01"/>
    <n v="5671.05"/>
  </r>
  <r>
    <x v="0"/>
    <x v="0"/>
    <x v="2"/>
    <n v="144"/>
    <n v="13"/>
    <n v="9.0299999999999994"/>
    <n v="21.78"/>
    <n v="3136.32"/>
  </r>
  <r>
    <x v="1"/>
    <x v="0"/>
    <x v="2"/>
    <n v="150"/>
    <n v="10"/>
    <n v="6.67"/>
    <n v="13.63"/>
    <n v="2044.5"/>
  </r>
  <r>
    <x v="0"/>
    <x v="0"/>
    <x v="2"/>
    <n v="228"/>
    <n v="1"/>
    <n v="0.44"/>
    <n v="43.05"/>
    <n v="9815.4"/>
  </r>
  <r>
    <x v="0"/>
    <x v="0"/>
    <x v="2"/>
    <n v="139"/>
    <n v="9"/>
    <n v="6.47"/>
    <n v="58.67"/>
    <n v="8155.13"/>
  </r>
  <r>
    <x v="1"/>
    <x v="0"/>
    <x v="2"/>
    <n v="200"/>
    <n v="10"/>
    <n v="5"/>
    <n v="19.579999999999998"/>
    <n v="3916"/>
  </r>
  <r>
    <x v="2"/>
    <x v="0"/>
    <x v="2"/>
    <n v="144"/>
    <n v="12"/>
    <n v="8.33"/>
    <n v="26.24"/>
    <n v="3778.56"/>
  </r>
  <r>
    <x v="0"/>
    <x v="0"/>
    <x v="0"/>
    <n v="217"/>
    <n v="15"/>
    <n v="6.91"/>
    <n v="45.9"/>
    <n v="9960.2999999999993"/>
  </r>
  <r>
    <x v="1"/>
    <x v="0"/>
    <x v="2"/>
    <n v="61"/>
    <n v="3"/>
    <n v="4.92"/>
    <n v="57.18"/>
    <n v="3487.98"/>
  </r>
  <r>
    <x v="3"/>
    <x v="0"/>
    <x v="2"/>
    <n v="181"/>
    <n v="4"/>
    <n v="2.21"/>
    <n v="55.24"/>
    <n v="9998.44"/>
  </r>
  <r>
    <x v="3"/>
    <x v="0"/>
    <x v="2"/>
    <n v="215"/>
    <n v="10"/>
    <n v="4.6500000000000004"/>
    <n v="12.19"/>
    <n v="2620.85"/>
  </r>
  <r>
    <x v="1"/>
    <x v="0"/>
    <x v="2"/>
    <n v="69"/>
    <n v="3"/>
    <n v="4.3499999999999996"/>
    <n v="63.13"/>
    <n v="4355.97"/>
  </r>
  <r>
    <x v="0"/>
    <x v="0"/>
    <x v="2"/>
    <n v="272"/>
    <n v="16"/>
    <n v="5.88"/>
    <n v="12.04"/>
    <n v="3274.88"/>
  </r>
  <r>
    <x v="0"/>
    <x v="0"/>
    <x v="0"/>
    <n v="277"/>
    <n v="6"/>
    <n v="2.17"/>
    <n v="59.16"/>
    <n v="16387.32"/>
  </r>
  <r>
    <x v="0"/>
    <x v="0"/>
    <x v="0"/>
    <n v="229"/>
    <n v="17"/>
    <n v="7.42"/>
    <n v="23.83"/>
    <n v="5457.07"/>
  </r>
  <r>
    <x v="2"/>
    <x v="0"/>
    <x v="2"/>
    <n v="110"/>
    <n v="11"/>
    <n v="10"/>
    <n v="38.340000000000003"/>
    <n v="4217.3999999999996"/>
  </r>
  <r>
    <x v="2"/>
    <x v="0"/>
    <x v="2"/>
    <n v="59"/>
    <n v="5"/>
    <n v="8.4700000000000006"/>
    <n v="48.38"/>
    <n v="2854.42"/>
  </r>
  <r>
    <x v="2"/>
    <x v="0"/>
    <x v="2"/>
    <n v="267"/>
    <n v="2"/>
    <n v="0.75"/>
    <n v="52.99"/>
    <n v="14148.33"/>
  </r>
  <r>
    <x v="2"/>
    <x v="0"/>
    <x v="2"/>
    <n v="252"/>
    <n v="23"/>
    <n v="9.1300000000000008"/>
    <n v="48.23"/>
    <n v="12153.96"/>
  </r>
  <r>
    <x v="1"/>
    <x v="0"/>
    <x v="2"/>
    <n v="127"/>
    <n v="8"/>
    <n v="6.3"/>
    <n v="44.5"/>
    <n v="5651.5"/>
  </r>
  <r>
    <x v="1"/>
    <x v="0"/>
    <x v="1"/>
    <n v="220"/>
    <n v="2"/>
    <n v="0.91"/>
    <n v="68.44"/>
    <n v="15056.8"/>
  </r>
  <r>
    <x v="0"/>
    <x v="0"/>
    <x v="2"/>
    <n v="267"/>
    <n v="26"/>
    <n v="9.74"/>
    <n v="19.39"/>
    <n v="5177.13"/>
  </r>
  <r>
    <x v="0"/>
    <x v="0"/>
    <x v="2"/>
    <n v="241"/>
    <n v="11"/>
    <n v="4.5599999999999996"/>
    <n v="52.92"/>
    <n v="12753.72"/>
  </r>
  <r>
    <x v="1"/>
    <x v="0"/>
    <x v="2"/>
    <n v="177"/>
    <n v="8"/>
    <n v="4.5199999999999996"/>
    <n v="57.6"/>
    <n v="10195.200000000001"/>
  </r>
  <r>
    <x v="3"/>
    <x v="0"/>
    <x v="2"/>
    <n v="88"/>
    <n v="4"/>
    <n v="4.55"/>
    <n v="47.92"/>
    <n v="4216.96"/>
  </r>
  <r>
    <x v="1"/>
    <x v="0"/>
    <x v="2"/>
    <n v="57"/>
    <n v="0"/>
    <n v="0"/>
    <n v="32.33"/>
    <n v="1842.81"/>
  </r>
  <r>
    <x v="2"/>
    <x v="0"/>
    <x v="2"/>
    <n v="245"/>
    <n v="10"/>
    <n v="4.08"/>
    <n v="29.77"/>
    <n v="7293.65"/>
  </r>
  <r>
    <x v="3"/>
    <x v="0"/>
    <x v="2"/>
    <n v="191"/>
    <n v="19"/>
    <n v="9.9499999999999993"/>
    <n v="20.3"/>
    <n v="3877.3"/>
  </r>
  <r>
    <x v="0"/>
    <x v="0"/>
    <x v="2"/>
    <n v="100"/>
    <n v="3"/>
    <n v="3"/>
    <n v="52.12"/>
    <n v="5212"/>
  </r>
  <r>
    <x v="1"/>
    <x v="0"/>
    <x v="1"/>
    <n v="101"/>
    <n v="9"/>
    <n v="8.91"/>
    <n v="56.32"/>
    <n v="5688.32"/>
  </r>
  <r>
    <x v="0"/>
    <x v="0"/>
    <x v="2"/>
    <n v="299"/>
    <n v="6"/>
    <n v="2.0099999999999998"/>
    <n v="25.92"/>
    <n v="7750.08"/>
  </r>
  <r>
    <x v="0"/>
    <x v="0"/>
    <x v="2"/>
    <n v="300"/>
    <n v="11"/>
    <n v="3.67"/>
    <n v="41.91"/>
    <n v="12573"/>
  </r>
  <r>
    <x v="3"/>
    <x v="0"/>
    <x v="2"/>
    <n v="223"/>
    <n v="9"/>
    <n v="4.04"/>
    <n v="25.39"/>
    <n v="5661.97"/>
  </r>
  <r>
    <x v="0"/>
    <x v="0"/>
    <x v="0"/>
    <n v="153"/>
    <n v="2"/>
    <n v="1.31"/>
    <n v="43.14"/>
    <n v="6600.42"/>
  </r>
  <r>
    <x v="3"/>
    <x v="0"/>
    <x v="2"/>
    <n v="223"/>
    <n v="7"/>
    <n v="3.14"/>
    <n v="23.43"/>
    <n v="5224.8900000000003"/>
  </r>
  <r>
    <x v="2"/>
    <x v="0"/>
    <x v="2"/>
    <n v="167"/>
    <n v="1"/>
    <n v="0.6"/>
    <n v="66.62"/>
    <n v="11125.54"/>
  </r>
  <r>
    <x v="1"/>
    <x v="0"/>
    <x v="1"/>
    <n v="83"/>
    <n v="8"/>
    <n v="9.64"/>
    <n v="55.1"/>
    <n v="4573.3"/>
  </r>
  <r>
    <x v="1"/>
    <x v="0"/>
    <x v="1"/>
    <n v="74"/>
    <n v="4"/>
    <n v="5.41"/>
    <n v="22.12"/>
    <n v="1636.88"/>
  </r>
  <r>
    <x v="1"/>
    <x v="0"/>
    <x v="1"/>
    <n v="188"/>
    <n v="14"/>
    <n v="7.45"/>
    <n v="60.4"/>
    <n v="11355.2"/>
  </r>
  <r>
    <x v="0"/>
    <x v="0"/>
    <x v="0"/>
    <n v="244"/>
    <n v="23"/>
    <n v="9.43"/>
    <n v="24.77"/>
    <n v="6043.88"/>
  </r>
  <r>
    <x v="2"/>
    <x v="0"/>
    <x v="2"/>
    <n v="98"/>
    <n v="2"/>
    <n v="2.04"/>
    <n v="7.81"/>
    <n v="765.38"/>
  </r>
  <r>
    <x v="3"/>
    <x v="0"/>
    <x v="2"/>
    <n v="231"/>
    <n v="18"/>
    <n v="7.79"/>
    <n v="44.96"/>
    <n v="10385.76"/>
  </r>
  <r>
    <x v="1"/>
    <x v="0"/>
    <x v="2"/>
    <n v="243"/>
    <n v="15"/>
    <n v="6.17"/>
    <n v="38.6"/>
    <n v="9379.7999999999993"/>
  </r>
  <r>
    <x v="1"/>
    <x v="0"/>
    <x v="1"/>
    <n v="248"/>
    <n v="8"/>
    <n v="3.23"/>
    <n v="46.71"/>
    <n v="11584.08"/>
  </r>
  <r>
    <x v="0"/>
    <x v="0"/>
    <x v="0"/>
    <n v="300"/>
    <n v="2"/>
    <n v="0.67"/>
    <n v="10.07"/>
    <n v="3021"/>
  </r>
  <r>
    <x v="0"/>
    <x v="0"/>
    <x v="0"/>
    <n v="257"/>
    <n v="19"/>
    <n v="7.39"/>
    <n v="24.04"/>
    <n v="6178.28"/>
  </r>
  <r>
    <x v="2"/>
    <x v="0"/>
    <x v="2"/>
    <n v="113"/>
    <n v="2"/>
    <n v="1.77"/>
    <n v="35.31"/>
    <n v="3990.03"/>
  </r>
  <r>
    <x v="0"/>
    <x v="0"/>
    <x v="0"/>
    <n v="246"/>
    <n v="22"/>
    <n v="8.94"/>
    <n v="55.66"/>
    <n v="13692.36"/>
  </r>
  <r>
    <x v="1"/>
    <x v="0"/>
    <x v="1"/>
    <n v="133"/>
    <n v="2"/>
    <n v="1.5"/>
    <n v="11.03"/>
    <n v="1466.99"/>
  </r>
  <r>
    <x v="1"/>
    <x v="0"/>
    <x v="2"/>
    <n v="146"/>
    <n v="8"/>
    <n v="5.48"/>
    <n v="28.19"/>
    <n v="4115.74"/>
  </r>
  <r>
    <x v="3"/>
    <x v="0"/>
    <x v="2"/>
    <n v="111"/>
    <n v="0"/>
    <n v="0"/>
    <n v="50.23"/>
    <n v="5575.53"/>
  </r>
  <r>
    <x v="2"/>
    <x v="0"/>
    <x v="2"/>
    <n v="143"/>
    <n v="12"/>
    <n v="8.39"/>
    <n v="16.260000000000002"/>
    <n v="2325.1799999999998"/>
  </r>
  <r>
    <x v="0"/>
    <x v="0"/>
    <x v="2"/>
    <n v="150"/>
    <n v="1"/>
    <n v="0.67"/>
    <n v="15.12"/>
    <n v="2268"/>
  </r>
  <r>
    <x v="1"/>
    <x v="0"/>
    <x v="1"/>
    <n v="100"/>
    <n v="6"/>
    <n v="6"/>
    <n v="50.79"/>
    <n v="5079"/>
  </r>
  <r>
    <x v="1"/>
    <x v="0"/>
    <x v="1"/>
    <n v="159"/>
    <n v="5"/>
    <n v="3.14"/>
    <n v="47.59"/>
    <n v="7566.81"/>
  </r>
  <r>
    <x v="2"/>
    <x v="0"/>
    <x v="2"/>
    <n v="300"/>
    <n v="4"/>
    <n v="1.33"/>
    <n v="62.25"/>
    <n v="18675"/>
  </r>
  <r>
    <x v="1"/>
    <x v="0"/>
    <x v="1"/>
    <n v="220"/>
    <n v="16"/>
    <n v="7.27"/>
    <n v="7.82"/>
    <n v="1720.4"/>
  </r>
  <r>
    <x v="0"/>
    <x v="0"/>
    <x v="2"/>
    <n v="195"/>
    <n v="16"/>
    <n v="8.2100000000000009"/>
    <n v="65.36"/>
    <n v="12745.2"/>
  </r>
  <r>
    <x v="1"/>
    <x v="0"/>
    <x v="1"/>
    <n v="202"/>
    <n v="18"/>
    <n v="8.91"/>
    <n v="51.27"/>
    <n v="10356.540000000001"/>
  </r>
  <r>
    <x v="1"/>
    <x v="0"/>
    <x v="1"/>
    <n v="101"/>
    <n v="0"/>
    <n v="0"/>
    <n v="6.66"/>
    <n v="672.66"/>
  </r>
  <r>
    <x v="1"/>
    <x v="0"/>
    <x v="2"/>
    <n v="83"/>
    <n v="8"/>
    <n v="9.64"/>
    <n v="48.17"/>
    <n v="3998.11"/>
  </r>
  <r>
    <x v="0"/>
    <x v="0"/>
    <x v="0"/>
    <n v="95"/>
    <n v="6"/>
    <n v="6.32"/>
    <n v="16.95"/>
    <n v="1610.25"/>
  </r>
  <r>
    <x v="0"/>
    <x v="0"/>
    <x v="0"/>
    <n v="108"/>
    <n v="5"/>
    <n v="4.63"/>
    <n v="50.48"/>
    <n v="5451.84"/>
  </r>
  <r>
    <x v="1"/>
    <x v="0"/>
    <x v="2"/>
    <n v="173"/>
    <n v="7"/>
    <n v="4.05"/>
    <n v="49.8"/>
    <n v="8615.4"/>
  </r>
  <r>
    <x v="2"/>
    <x v="0"/>
    <x v="2"/>
    <n v="258"/>
    <n v="4"/>
    <n v="1.55"/>
    <n v="61.9"/>
    <n v="15970.2"/>
  </r>
  <r>
    <x v="1"/>
    <x v="0"/>
    <x v="2"/>
    <n v="222"/>
    <n v="6"/>
    <n v="2.7"/>
    <n v="22.37"/>
    <n v="4966.1400000000003"/>
  </r>
  <r>
    <x v="0"/>
    <x v="0"/>
    <x v="0"/>
    <n v="268"/>
    <n v="2"/>
    <n v="0.75"/>
    <n v="33.700000000000003"/>
    <n v="9031.6"/>
  </r>
  <r>
    <x v="3"/>
    <x v="0"/>
    <x v="2"/>
    <n v="289"/>
    <n v="5"/>
    <n v="1.73"/>
    <n v="50.55"/>
    <n v="14608.95"/>
  </r>
  <r>
    <x v="2"/>
    <x v="0"/>
    <x v="2"/>
    <n v="96"/>
    <n v="7"/>
    <n v="7.29"/>
    <n v="22.7"/>
    <n v="2179.1999999999998"/>
  </r>
  <r>
    <x v="3"/>
    <x v="0"/>
    <x v="2"/>
    <n v="166"/>
    <n v="6"/>
    <n v="3.61"/>
    <n v="6.6"/>
    <n v="1095.5999999999999"/>
  </r>
  <r>
    <x v="0"/>
    <x v="0"/>
    <x v="0"/>
    <n v="91"/>
    <n v="4"/>
    <n v="4.4000000000000004"/>
    <n v="58.04"/>
    <n v="5281.64"/>
  </r>
  <r>
    <x v="0"/>
    <x v="0"/>
    <x v="2"/>
    <n v="132"/>
    <n v="1"/>
    <n v="0.76"/>
    <n v="16.8"/>
    <n v="2217.6"/>
  </r>
  <r>
    <x v="1"/>
    <x v="0"/>
    <x v="1"/>
    <n v="55"/>
    <n v="3"/>
    <n v="5.45"/>
    <n v="67.319999999999993"/>
    <n v="3702.6"/>
  </r>
  <r>
    <x v="0"/>
    <x v="0"/>
    <x v="0"/>
    <n v="167"/>
    <n v="6"/>
    <n v="3.59"/>
    <n v="67.06"/>
    <n v="11199.02"/>
  </r>
  <r>
    <x v="1"/>
    <x v="0"/>
    <x v="2"/>
    <n v="64"/>
    <n v="4"/>
    <n v="6.25"/>
    <n v="56.13"/>
    <n v="3592.32"/>
  </r>
  <r>
    <x v="1"/>
    <x v="0"/>
    <x v="2"/>
    <n v="132"/>
    <n v="4"/>
    <n v="3.03"/>
    <n v="58.29"/>
    <n v="7694.28"/>
  </r>
  <r>
    <x v="1"/>
    <x v="0"/>
    <x v="2"/>
    <n v="206"/>
    <n v="12"/>
    <n v="5.83"/>
    <n v="29.78"/>
    <n v="6134.68"/>
  </r>
  <r>
    <x v="0"/>
    <x v="0"/>
    <x v="0"/>
    <n v="255"/>
    <n v="6"/>
    <n v="2.35"/>
    <n v="15.17"/>
    <n v="3868.35"/>
  </r>
  <r>
    <x v="2"/>
    <x v="0"/>
    <x v="2"/>
    <n v="159"/>
    <n v="8"/>
    <n v="5.03"/>
    <n v="53.62"/>
    <n v="8525.58"/>
  </r>
  <r>
    <x v="0"/>
    <x v="0"/>
    <x v="2"/>
    <n v="300"/>
    <n v="4"/>
    <n v="1.33"/>
    <n v="16.079999999999998"/>
    <n v="4824"/>
  </r>
  <r>
    <x v="0"/>
    <x v="0"/>
    <x v="0"/>
    <n v="87"/>
    <n v="7"/>
    <n v="8.0500000000000007"/>
    <n v="17.47"/>
    <n v="1519.89"/>
  </r>
  <r>
    <x v="0"/>
    <x v="0"/>
    <x v="2"/>
    <n v="184"/>
    <n v="6"/>
    <n v="3.26"/>
    <n v="41.86"/>
    <n v="7702.24"/>
  </r>
  <r>
    <x v="3"/>
    <x v="0"/>
    <x v="2"/>
    <n v="222"/>
    <n v="7"/>
    <n v="3.15"/>
    <n v="40.340000000000003"/>
    <n v="8955.48"/>
  </r>
  <r>
    <x v="2"/>
    <x v="0"/>
    <x v="2"/>
    <n v="78"/>
    <n v="7"/>
    <n v="8.9700000000000006"/>
    <n v="6.23"/>
    <n v="485.94"/>
  </r>
  <r>
    <x v="0"/>
    <x v="0"/>
    <x v="0"/>
    <n v="250"/>
    <n v="24"/>
    <n v="9.6"/>
    <n v="53.57"/>
    <n v="13392.5"/>
  </r>
  <r>
    <x v="1"/>
    <x v="0"/>
    <x v="2"/>
    <n v="229"/>
    <n v="7"/>
    <n v="3.06"/>
    <n v="46.32"/>
    <n v="10607.28"/>
  </r>
  <r>
    <x v="0"/>
    <x v="0"/>
    <x v="0"/>
    <n v="157"/>
    <n v="9"/>
    <n v="5.73"/>
    <n v="60.23"/>
    <n v="9456.11"/>
  </r>
  <r>
    <x v="3"/>
    <x v="0"/>
    <x v="2"/>
    <n v="245"/>
    <n v="14"/>
    <n v="5.71"/>
    <n v="50.35"/>
    <n v="12335.75"/>
  </r>
  <r>
    <x v="1"/>
    <x v="0"/>
    <x v="2"/>
    <n v="296"/>
    <n v="17"/>
    <n v="5.74"/>
    <n v="20.420000000000002"/>
    <n v="6044.32"/>
  </r>
  <r>
    <x v="0"/>
    <x v="0"/>
    <x v="2"/>
    <n v="93"/>
    <n v="0"/>
    <n v="0"/>
    <n v="69.13"/>
    <n v="6429.09"/>
  </r>
  <r>
    <x v="1"/>
    <x v="0"/>
    <x v="2"/>
    <n v="113"/>
    <n v="8"/>
    <n v="7.08"/>
    <n v="58.46"/>
    <n v="6605.98"/>
  </r>
  <r>
    <x v="1"/>
    <x v="0"/>
    <x v="2"/>
    <n v="259"/>
    <n v="12"/>
    <n v="4.63"/>
    <n v="29"/>
    <n v="7511"/>
  </r>
  <r>
    <x v="0"/>
    <x v="0"/>
    <x v="2"/>
    <n v="231"/>
    <n v="15"/>
    <n v="6.49"/>
    <n v="53.93"/>
    <n v="12457.83"/>
  </r>
  <r>
    <x v="3"/>
    <x v="0"/>
    <x v="2"/>
    <n v="94"/>
    <n v="7"/>
    <n v="7.45"/>
    <n v="30.3"/>
    <n v="2848.2"/>
  </r>
  <r>
    <x v="1"/>
    <x v="0"/>
    <x v="1"/>
    <n v="78"/>
    <n v="0"/>
    <n v="0"/>
    <n v="65.39"/>
    <n v="5100.42"/>
  </r>
  <r>
    <x v="0"/>
    <x v="0"/>
    <x v="2"/>
    <n v="157"/>
    <n v="4"/>
    <n v="2.5499999999999998"/>
    <n v="60.35"/>
    <n v="9474.9500000000007"/>
  </r>
  <r>
    <x v="0"/>
    <x v="0"/>
    <x v="0"/>
    <n v="91"/>
    <n v="9"/>
    <n v="9.89"/>
    <n v="49.11"/>
    <n v="4469.01"/>
  </r>
  <r>
    <x v="1"/>
    <x v="0"/>
    <x v="1"/>
    <n v="192"/>
    <n v="4"/>
    <n v="2.08"/>
    <n v="39.39"/>
    <n v="7562.88"/>
  </r>
  <r>
    <x v="1"/>
    <x v="0"/>
    <x v="2"/>
    <n v="222"/>
    <n v="9"/>
    <n v="4.05"/>
    <n v="6.44"/>
    <n v="1429.68"/>
  </r>
  <r>
    <x v="1"/>
    <x v="0"/>
    <x v="2"/>
    <n v="204"/>
    <n v="5"/>
    <n v="2.4500000000000002"/>
    <n v="25.84"/>
    <n v="5271.36"/>
  </r>
  <r>
    <x v="1"/>
    <x v="0"/>
    <x v="2"/>
    <n v="135"/>
    <n v="4"/>
    <n v="2.96"/>
    <n v="14.5"/>
    <n v="1957.5"/>
  </r>
  <r>
    <x v="3"/>
    <x v="0"/>
    <x v="2"/>
    <n v="261"/>
    <n v="20"/>
    <n v="7.66"/>
    <n v="45.29"/>
    <n v="11820.69"/>
  </r>
  <r>
    <x v="1"/>
    <x v="0"/>
    <x v="2"/>
    <n v="176"/>
    <n v="9"/>
    <n v="5.1100000000000003"/>
    <n v="49.43"/>
    <n v="8699.68"/>
  </r>
  <r>
    <x v="0"/>
    <x v="0"/>
    <x v="2"/>
    <n v="236"/>
    <n v="14"/>
    <n v="5.93"/>
    <n v="31.93"/>
    <n v="7535.48"/>
  </r>
  <r>
    <x v="3"/>
    <x v="0"/>
    <x v="2"/>
    <n v="145"/>
    <n v="5"/>
    <n v="3.45"/>
    <n v="44.27"/>
    <n v="6419.15"/>
  </r>
  <r>
    <x v="0"/>
    <x v="0"/>
    <x v="0"/>
    <n v="224"/>
    <n v="3"/>
    <n v="1.34"/>
    <n v="24.97"/>
    <n v="5593.28"/>
  </r>
  <r>
    <x v="1"/>
    <x v="0"/>
    <x v="1"/>
    <n v="290"/>
    <n v="1"/>
    <n v="0.34"/>
    <n v="41.75"/>
    <n v="12107.5"/>
  </r>
  <r>
    <x v="1"/>
    <x v="0"/>
    <x v="2"/>
    <n v="226"/>
    <n v="15"/>
    <n v="6.64"/>
    <n v="27.82"/>
    <n v="6287.32"/>
  </r>
  <r>
    <x v="1"/>
    <x v="0"/>
    <x v="2"/>
    <n v="156"/>
    <n v="2"/>
    <n v="1.28"/>
    <n v="27.66"/>
    <n v="4314.96"/>
  </r>
  <r>
    <x v="3"/>
    <x v="0"/>
    <x v="2"/>
    <n v="124"/>
    <n v="1"/>
    <n v="0.81"/>
    <n v="10.49"/>
    <n v="1300.76"/>
  </r>
  <r>
    <x v="0"/>
    <x v="0"/>
    <x v="0"/>
    <n v="209"/>
    <n v="12"/>
    <n v="5.74"/>
    <n v="63.13"/>
    <n v="13194.17"/>
  </r>
  <r>
    <x v="2"/>
    <x v="0"/>
    <x v="2"/>
    <n v="133"/>
    <n v="11"/>
    <n v="8.27"/>
    <n v="55.15"/>
    <n v="7334.95"/>
  </r>
  <r>
    <x v="1"/>
    <x v="0"/>
    <x v="1"/>
    <n v="98"/>
    <n v="0"/>
    <n v="0"/>
    <n v="6.54"/>
    <n v="640.91999999999996"/>
  </r>
  <r>
    <x v="3"/>
    <x v="0"/>
    <x v="2"/>
    <n v="69"/>
    <n v="1"/>
    <n v="1.45"/>
    <n v="37.619999999999997"/>
    <n v="2595.7800000000002"/>
  </r>
  <r>
    <x v="0"/>
    <x v="0"/>
    <x v="2"/>
    <n v="117"/>
    <n v="6"/>
    <n v="5.13"/>
    <n v="17.440000000000001"/>
    <n v="2040.48"/>
  </r>
  <r>
    <x v="1"/>
    <x v="0"/>
    <x v="1"/>
    <n v="183"/>
    <n v="11"/>
    <n v="6.01"/>
    <n v="30.8"/>
    <n v="5636.4"/>
  </r>
  <r>
    <x v="1"/>
    <x v="0"/>
    <x v="2"/>
    <n v="157"/>
    <n v="10"/>
    <n v="6.37"/>
    <n v="44.8"/>
    <n v="7033.6"/>
  </r>
  <r>
    <x v="0"/>
    <x v="0"/>
    <x v="0"/>
    <n v="282"/>
    <n v="7"/>
    <n v="2.48"/>
    <n v="67.319999999999993"/>
    <n v="18984.240000000002"/>
  </r>
  <r>
    <x v="1"/>
    <x v="0"/>
    <x v="2"/>
    <n v="62"/>
    <n v="3"/>
    <n v="4.84"/>
    <n v="8.4499999999999993"/>
    <n v="523.9"/>
  </r>
  <r>
    <x v="0"/>
    <x v="0"/>
    <x v="2"/>
    <n v="105"/>
    <n v="0"/>
    <n v="0"/>
    <n v="61.73"/>
    <n v="6481.65"/>
  </r>
  <r>
    <x v="0"/>
    <x v="0"/>
    <x v="0"/>
    <n v="218"/>
    <n v="16"/>
    <n v="7.34"/>
    <n v="9.65"/>
    <n v="2103.6999999999998"/>
  </r>
  <r>
    <x v="0"/>
    <x v="0"/>
    <x v="0"/>
    <n v="208"/>
    <n v="1"/>
    <n v="0.48"/>
    <n v="36.659999999999997"/>
    <n v="7625.28"/>
  </r>
  <r>
    <x v="1"/>
    <x v="0"/>
    <x v="2"/>
    <n v="208"/>
    <n v="13"/>
    <n v="6.25"/>
    <n v="14.12"/>
    <n v="2936.96"/>
  </r>
  <r>
    <x v="3"/>
    <x v="0"/>
    <x v="2"/>
    <n v="266"/>
    <n v="8"/>
    <n v="3.01"/>
    <n v="63.35"/>
    <n v="16851.099999999999"/>
  </r>
  <r>
    <x v="2"/>
    <x v="0"/>
    <x v="2"/>
    <n v="63"/>
    <n v="2"/>
    <n v="3.17"/>
    <n v="53.99"/>
    <n v="3401.37"/>
  </r>
  <r>
    <x v="1"/>
    <x v="0"/>
    <x v="1"/>
    <n v="64"/>
    <n v="2"/>
    <n v="3.12"/>
    <n v="22.19"/>
    <n v="1420.16"/>
  </r>
  <r>
    <x v="3"/>
    <x v="0"/>
    <x v="2"/>
    <n v="154"/>
    <n v="12"/>
    <n v="7.79"/>
    <n v="31.43"/>
    <n v="4840.22"/>
  </r>
  <r>
    <x v="0"/>
    <x v="0"/>
    <x v="2"/>
    <n v="125"/>
    <n v="7"/>
    <n v="5.6"/>
    <n v="69.56"/>
    <n v="8695"/>
  </r>
  <r>
    <x v="0"/>
    <x v="0"/>
    <x v="2"/>
    <n v="243"/>
    <n v="24"/>
    <n v="9.8800000000000008"/>
    <n v="23.5"/>
    <n v="5710.5"/>
  </r>
  <r>
    <x v="0"/>
    <x v="0"/>
    <x v="0"/>
    <n v="243"/>
    <n v="15"/>
    <n v="6.17"/>
    <n v="48.91"/>
    <n v="11885.13"/>
  </r>
  <r>
    <x v="0"/>
    <x v="0"/>
    <x v="2"/>
    <n v="181"/>
    <n v="11"/>
    <n v="6.08"/>
    <n v="67.260000000000005"/>
    <n v="12174.06"/>
  </r>
  <r>
    <x v="0"/>
    <x v="0"/>
    <x v="2"/>
    <n v="198"/>
    <n v="1"/>
    <n v="0.51"/>
    <n v="37.26"/>
    <n v="7377.48"/>
  </r>
  <r>
    <x v="1"/>
    <x v="0"/>
    <x v="2"/>
    <n v="192"/>
    <n v="0"/>
    <n v="0"/>
    <n v="55.47"/>
    <n v="10650.24"/>
  </r>
  <r>
    <x v="3"/>
    <x v="0"/>
    <x v="2"/>
    <n v="207"/>
    <n v="9"/>
    <n v="4.3499999999999996"/>
    <n v="61.3"/>
    <n v="12689.1"/>
  </r>
  <r>
    <x v="1"/>
    <x v="0"/>
    <x v="1"/>
    <n v="196"/>
    <n v="13"/>
    <n v="6.63"/>
    <n v="10.81"/>
    <n v="2118.7600000000002"/>
  </r>
  <r>
    <x v="3"/>
    <x v="0"/>
    <x v="2"/>
    <n v="150"/>
    <n v="14"/>
    <n v="9.33"/>
    <n v="60.49"/>
    <n v="9073.5"/>
  </r>
  <r>
    <x v="1"/>
    <x v="0"/>
    <x v="2"/>
    <n v="238"/>
    <n v="12"/>
    <n v="5.04"/>
    <n v="5.71"/>
    <n v="1358.98"/>
  </r>
  <r>
    <x v="2"/>
    <x v="0"/>
    <x v="2"/>
    <n v="285"/>
    <n v="20"/>
    <n v="7.02"/>
    <n v="41.97"/>
    <n v="11961.45"/>
  </r>
  <r>
    <x v="0"/>
    <x v="0"/>
    <x v="0"/>
    <n v="235"/>
    <n v="5"/>
    <n v="2.13"/>
    <n v="7.91"/>
    <n v="1858.85"/>
  </r>
  <r>
    <x v="2"/>
    <x v="0"/>
    <x v="2"/>
    <n v="151"/>
    <n v="13"/>
    <n v="8.61"/>
    <n v="5.29"/>
    <n v="798.79"/>
  </r>
  <r>
    <x v="0"/>
    <x v="0"/>
    <x v="0"/>
    <n v="243"/>
    <n v="12"/>
    <n v="4.9400000000000004"/>
    <n v="61.31"/>
    <n v="14898.33"/>
  </r>
  <r>
    <x v="0"/>
    <x v="0"/>
    <x v="2"/>
    <n v="289"/>
    <n v="14"/>
    <n v="4.84"/>
    <n v="23.45"/>
    <n v="6777.05"/>
  </r>
  <r>
    <x v="3"/>
    <x v="0"/>
    <x v="2"/>
    <n v="289"/>
    <n v="6"/>
    <n v="2.08"/>
    <n v="33.450000000000003"/>
    <n v="9667.0499999999993"/>
  </r>
  <r>
    <x v="2"/>
    <x v="0"/>
    <x v="2"/>
    <n v="77"/>
    <n v="3"/>
    <n v="3.9"/>
    <n v="23.78"/>
    <n v="1831.06"/>
  </r>
  <r>
    <x v="1"/>
    <x v="0"/>
    <x v="2"/>
    <n v="281"/>
    <n v="8"/>
    <n v="2.85"/>
    <n v="43.42"/>
    <n v="12201.02"/>
  </r>
  <r>
    <x v="0"/>
    <x v="0"/>
    <x v="0"/>
    <n v="168"/>
    <n v="14"/>
    <n v="8.33"/>
    <n v="19.37"/>
    <n v="3254.16"/>
  </r>
  <r>
    <x v="3"/>
    <x v="0"/>
    <x v="2"/>
    <n v="136"/>
    <n v="12"/>
    <n v="8.82"/>
    <n v="57.06"/>
    <n v="7760.16"/>
  </r>
  <r>
    <x v="1"/>
    <x v="0"/>
    <x v="1"/>
    <n v="294"/>
    <n v="8"/>
    <n v="2.72"/>
    <n v="36.4"/>
    <n v="10701.6"/>
  </r>
  <r>
    <x v="2"/>
    <x v="0"/>
    <x v="2"/>
    <n v="159"/>
    <n v="8"/>
    <n v="5.03"/>
    <n v="37.700000000000003"/>
    <n v="5994.3"/>
  </r>
  <r>
    <x v="1"/>
    <x v="0"/>
    <x v="2"/>
    <n v="119"/>
    <n v="11"/>
    <n v="9.24"/>
    <n v="62.62"/>
    <n v="7451.78"/>
  </r>
  <r>
    <x v="1"/>
    <x v="0"/>
    <x v="1"/>
    <n v="132"/>
    <n v="6"/>
    <n v="4.55"/>
    <n v="68.59"/>
    <n v="9053.8799999999992"/>
  </r>
  <r>
    <x v="0"/>
    <x v="0"/>
    <x v="2"/>
    <n v="268"/>
    <n v="20"/>
    <n v="7.46"/>
    <n v="62.5"/>
    <n v="16750"/>
  </r>
  <r>
    <x v="1"/>
    <x v="0"/>
    <x v="1"/>
    <n v="132"/>
    <n v="9"/>
    <n v="6.82"/>
    <n v="56.99"/>
    <n v="7522.68"/>
  </r>
  <r>
    <x v="1"/>
    <x v="0"/>
    <x v="2"/>
    <n v="123"/>
    <n v="10"/>
    <n v="8.1300000000000008"/>
    <n v="59.38"/>
    <n v="7303.74"/>
  </r>
  <r>
    <x v="3"/>
    <x v="0"/>
    <x v="2"/>
    <n v="193"/>
    <n v="6"/>
    <n v="3.11"/>
    <n v="11.85"/>
    <n v="2287.0500000000002"/>
  </r>
  <r>
    <x v="3"/>
    <x v="0"/>
    <x v="2"/>
    <n v="78"/>
    <n v="5"/>
    <n v="6.41"/>
    <n v="13.07"/>
    <n v="1019.46"/>
  </r>
  <r>
    <x v="3"/>
    <x v="0"/>
    <x v="2"/>
    <n v="203"/>
    <n v="15"/>
    <n v="7.39"/>
    <n v="40.32"/>
    <n v="8184.96"/>
  </r>
  <r>
    <x v="3"/>
    <x v="0"/>
    <x v="2"/>
    <n v="139"/>
    <n v="7"/>
    <n v="5.04"/>
    <n v="68.33"/>
    <n v="9497.8700000000008"/>
  </r>
  <r>
    <x v="2"/>
    <x v="0"/>
    <x v="2"/>
    <n v="246"/>
    <n v="17"/>
    <n v="6.91"/>
    <n v="44.83"/>
    <n v="11028.18"/>
  </r>
  <r>
    <x v="2"/>
    <x v="0"/>
    <x v="2"/>
    <n v="236"/>
    <n v="6"/>
    <n v="2.54"/>
    <n v="39.58"/>
    <n v="9340.8799999999992"/>
  </r>
  <r>
    <x v="0"/>
    <x v="0"/>
    <x v="0"/>
    <n v="242"/>
    <n v="5"/>
    <n v="2.0699999999999998"/>
    <n v="34.53"/>
    <n v="8356.26"/>
  </r>
  <r>
    <x v="2"/>
    <x v="0"/>
    <x v="2"/>
    <n v="140"/>
    <n v="1"/>
    <n v="0.71"/>
    <n v="44.85"/>
    <n v="6279"/>
  </r>
  <r>
    <x v="0"/>
    <x v="0"/>
    <x v="0"/>
    <n v="150"/>
    <n v="6"/>
    <n v="4"/>
    <n v="37.29"/>
    <n v="5593.5"/>
  </r>
  <r>
    <x v="0"/>
    <x v="0"/>
    <x v="0"/>
    <n v="78"/>
    <n v="1"/>
    <n v="1.28"/>
    <n v="15.36"/>
    <n v="1198.08"/>
  </r>
  <r>
    <x v="1"/>
    <x v="0"/>
    <x v="2"/>
    <n v="238"/>
    <n v="21"/>
    <n v="8.82"/>
    <n v="13.9"/>
    <n v="3308.2"/>
  </r>
  <r>
    <x v="3"/>
    <x v="0"/>
    <x v="2"/>
    <n v="121"/>
    <n v="7"/>
    <n v="5.79"/>
    <n v="24.98"/>
    <n v="3022.58"/>
  </r>
  <r>
    <x v="1"/>
    <x v="0"/>
    <x v="2"/>
    <n v="242"/>
    <n v="13"/>
    <n v="5.37"/>
    <n v="36.49"/>
    <n v="8830.58"/>
  </r>
  <r>
    <x v="2"/>
    <x v="0"/>
    <x v="2"/>
    <n v="111"/>
    <n v="6"/>
    <n v="5.41"/>
    <n v="35.11"/>
    <n v="3897.21"/>
  </r>
  <r>
    <x v="1"/>
    <x v="0"/>
    <x v="2"/>
    <n v="93"/>
    <n v="3"/>
    <n v="3.23"/>
    <n v="35.880000000000003"/>
    <n v="3336.84"/>
  </r>
  <r>
    <x v="1"/>
    <x v="0"/>
    <x v="1"/>
    <n v="61"/>
    <n v="1"/>
    <n v="1.64"/>
    <n v="59.16"/>
    <n v="3608.76"/>
  </r>
  <r>
    <x v="1"/>
    <x v="0"/>
    <x v="2"/>
    <n v="232"/>
    <n v="3"/>
    <n v="1.29"/>
    <n v="42.21"/>
    <n v="9792.7199999999993"/>
  </r>
  <r>
    <x v="0"/>
    <x v="0"/>
    <x v="0"/>
    <n v="254"/>
    <n v="6"/>
    <n v="2.36"/>
    <n v="17.7"/>
    <n v="4495.8"/>
  </r>
  <r>
    <x v="2"/>
    <x v="0"/>
    <x v="2"/>
    <n v="87"/>
    <n v="5"/>
    <n v="5.75"/>
    <n v="14.82"/>
    <n v="1289.3399999999999"/>
  </r>
  <r>
    <x v="2"/>
    <x v="0"/>
    <x v="2"/>
    <n v="164"/>
    <n v="11"/>
    <n v="6.71"/>
    <n v="44.38"/>
    <n v="7278.32"/>
  </r>
  <r>
    <x v="1"/>
    <x v="0"/>
    <x v="2"/>
    <n v="171"/>
    <n v="3"/>
    <n v="1.75"/>
    <n v="32.42"/>
    <n v="5543.82"/>
  </r>
  <r>
    <x v="0"/>
    <x v="0"/>
    <x v="0"/>
    <n v="289"/>
    <n v="25"/>
    <n v="8.65"/>
    <n v="5.18"/>
    <n v="1497.02"/>
  </r>
  <r>
    <x v="1"/>
    <x v="0"/>
    <x v="1"/>
    <n v="157"/>
    <n v="14"/>
    <n v="8.92"/>
    <n v="33.11"/>
    <n v="5198.2700000000004"/>
  </r>
  <r>
    <x v="2"/>
    <x v="0"/>
    <x v="2"/>
    <n v="106"/>
    <n v="3"/>
    <n v="2.83"/>
    <n v="21.46"/>
    <n v="2274.7600000000002"/>
  </r>
  <r>
    <x v="3"/>
    <x v="0"/>
    <x v="2"/>
    <n v="295"/>
    <n v="8"/>
    <n v="2.71"/>
    <n v="21.47"/>
    <n v="6333.65"/>
  </r>
  <r>
    <x v="0"/>
    <x v="0"/>
    <x v="2"/>
    <n v="92"/>
    <n v="1"/>
    <n v="1.0900000000000001"/>
    <n v="41.25"/>
    <n v="3795"/>
  </r>
  <r>
    <x v="3"/>
    <x v="0"/>
    <x v="2"/>
    <n v="299"/>
    <n v="2"/>
    <n v="0.67"/>
    <n v="23.73"/>
    <n v="7095.27"/>
  </r>
  <r>
    <x v="1"/>
    <x v="0"/>
    <x v="1"/>
    <n v="159"/>
    <n v="5"/>
    <n v="3.14"/>
    <n v="30.24"/>
    <n v="4808.16"/>
  </r>
  <r>
    <x v="1"/>
    <x v="0"/>
    <x v="2"/>
    <n v="245"/>
    <n v="17"/>
    <n v="6.94"/>
    <n v="34.04"/>
    <n v="8339.7999999999993"/>
  </r>
  <r>
    <x v="0"/>
    <x v="0"/>
    <x v="2"/>
    <n v="67"/>
    <n v="2"/>
    <n v="2.99"/>
    <n v="36.56"/>
    <n v="2449.52"/>
  </r>
  <r>
    <x v="1"/>
    <x v="0"/>
    <x v="1"/>
    <n v="225"/>
    <n v="14"/>
    <n v="6.22"/>
    <n v="12.98"/>
    <n v="2920.5"/>
  </r>
  <r>
    <x v="0"/>
    <x v="0"/>
    <x v="2"/>
    <n v="280"/>
    <n v="17"/>
    <n v="6.07"/>
    <n v="51.53"/>
    <n v="14428.4"/>
  </r>
  <r>
    <x v="0"/>
    <x v="0"/>
    <x v="2"/>
    <n v="76"/>
    <n v="4"/>
    <n v="5.26"/>
    <n v="47.58"/>
    <n v="3616.08"/>
  </r>
  <r>
    <x v="0"/>
    <x v="0"/>
    <x v="0"/>
    <n v="145"/>
    <n v="3"/>
    <n v="2.0699999999999998"/>
    <n v="10.28"/>
    <n v="1490.6"/>
  </r>
  <r>
    <x v="0"/>
    <x v="0"/>
    <x v="2"/>
    <n v="170"/>
    <n v="0"/>
    <n v="0"/>
    <n v="33.1"/>
    <n v="5627"/>
  </r>
  <r>
    <x v="3"/>
    <x v="0"/>
    <x v="2"/>
    <n v="247"/>
    <n v="2"/>
    <n v="0.81"/>
    <n v="5.88"/>
    <n v="1452.36"/>
  </r>
  <r>
    <x v="2"/>
    <x v="0"/>
    <x v="2"/>
    <n v="193"/>
    <n v="0"/>
    <n v="0"/>
    <n v="59"/>
    <n v="11387"/>
  </r>
  <r>
    <x v="1"/>
    <x v="0"/>
    <x v="2"/>
    <n v="83"/>
    <n v="1"/>
    <n v="1.2"/>
    <n v="56.15"/>
    <n v="4660.45"/>
  </r>
  <r>
    <x v="1"/>
    <x v="0"/>
    <x v="1"/>
    <n v="95"/>
    <n v="5"/>
    <n v="5.26"/>
    <n v="48.44"/>
    <n v="4601.8"/>
  </r>
  <r>
    <x v="3"/>
    <x v="0"/>
    <x v="2"/>
    <n v="276"/>
    <n v="12"/>
    <n v="4.3499999999999996"/>
    <n v="62.85"/>
    <n v="17346.599999999999"/>
  </r>
  <r>
    <x v="1"/>
    <x v="0"/>
    <x v="1"/>
    <n v="125"/>
    <n v="12"/>
    <n v="9.6"/>
    <n v="27.86"/>
    <n v="3482.5"/>
  </r>
  <r>
    <x v="1"/>
    <x v="0"/>
    <x v="1"/>
    <n v="214"/>
    <n v="19"/>
    <n v="8.8800000000000008"/>
    <n v="63"/>
    <n v="13482"/>
  </r>
  <r>
    <x v="0"/>
    <x v="0"/>
    <x v="0"/>
    <n v="89"/>
    <n v="8"/>
    <n v="8.99"/>
    <n v="62.91"/>
    <n v="5598.99"/>
  </r>
  <r>
    <x v="0"/>
    <x v="0"/>
    <x v="0"/>
    <n v="169"/>
    <n v="6"/>
    <n v="3.55"/>
    <n v="61.83"/>
    <n v="10449.27"/>
  </r>
  <r>
    <x v="1"/>
    <x v="0"/>
    <x v="2"/>
    <n v="256"/>
    <n v="9"/>
    <n v="3.52"/>
    <n v="52.54"/>
    <n v="13450.24"/>
  </r>
  <r>
    <x v="0"/>
    <x v="0"/>
    <x v="0"/>
    <n v="208"/>
    <n v="11"/>
    <n v="5.29"/>
    <n v="9.6300000000000008"/>
    <n v="2003.04"/>
  </r>
  <r>
    <x v="1"/>
    <x v="0"/>
    <x v="1"/>
    <n v="254"/>
    <n v="6"/>
    <n v="2.36"/>
    <n v="69.53"/>
    <n v="17660.62"/>
  </r>
  <r>
    <x v="1"/>
    <x v="0"/>
    <x v="1"/>
    <n v="155"/>
    <n v="3"/>
    <n v="1.94"/>
    <n v="41.08"/>
    <n v="6367.4"/>
  </r>
  <r>
    <x v="1"/>
    <x v="0"/>
    <x v="2"/>
    <n v="250"/>
    <n v="6"/>
    <n v="2.4"/>
    <n v="30.74"/>
    <n v="7685"/>
  </r>
  <r>
    <x v="0"/>
    <x v="0"/>
    <x v="2"/>
    <n v="196"/>
    <n v="12"/>
    <n v="6.12"/>
    <n v="6.43"/>
    <n v="1260.28"/>
  </r>
  <r>
    <x v="2"/>
    <x v="0"/>
    <x v="2"/>
    <n v="160"/>
    <n v="3"/>
    <n v="1.88"/>
    <n v="37.26"/>
    <n v="5961.6"/>
  </r>
  <r>
    <x v="3"/>
    <x v="0"/>
    <x v="2"/>
    <n v="294"/>
    <n v="14"/>
    <n v="4.76"/>
    <n v="31.11"/>
    <n v="9146.34"/>
  </r>
  <r>
    <x v="3"/>
    <x v="0"/>
    <x v="2"/>
    <n v="132"/>
    <n v="5"/>
    <n v="3.79"/>
    <n v="54.12"/>
    <n v="7143.84"/>
  </r>
  <r>
    <x v="1"/>
    <x v="0"/>
    <x v="2"/>
    <n v="154"/>
    <n v="10"/>
    <n v="6.49"/>
    <n v="56.73"/>
    <n v="8736.42"/>
  </r>
  <r>
    <x v="0"/>
    <x v="0"/>
    <x v="0"/>
    <n v="82"/>
    <n v="8"/>
    <n v="9.76"/>
    <n v="22.9"/>
    <n v="1877.8"/>
  </r>
  <r>
    <x v="1"/>
    <x v="0"/>
    <x v="2"/>
    <n v="146"/>
    <n v="7"/>
    <n v="4.79"/>
    <n v="54.42"/>
    <n v="7945.32"/>
  </r>
  <r>
    <x v="1"/>
    <x v="0"/>
    <x v="1"/>
    <n v="217"/>
    <n v="9"/>
    <n v="4.1500000000000004"/>
    <n v="66.53"/>
    <n v="14437.01"/>
  </r>
  <r>
    <x v="1"/>
    <x v="0"/>
    <x v="1"/>
    <n v="100"/>
    <n v="3"/>
    <n v="3"/>
    <n v="53.71"/>
    <n v="5371"/>
  </r>
  <r>
    <x v="0"/>
    <x v="0"/>
    <x v="2"/>
    <n v="109"/>
    <n v="5"/>
    <n v="4.59"/>
    <n v="13.78"/>
    <n v="1502.02"/>
  </r>
  <r>
    <x v="3"/>
    <x v="0"/>
    <x v="2"/>
    <n v="193"/>
    <n v="15"/>
    <n v="7.77"/>
    <n v="27.15"/>
    <n v="5239.95"/>
  </r>
  <r>
    <x v="0"/>
    <x v="0"/>
    <x v="2"/>
    <n v="114"/>
    <n v="8"/>
    <n v="7.02"/>
    <n v="66.33"/>
    <n v="7561.62"/>
  </r>
  <r>
    <x v="0"/>
    <x v="0"/>
    <x v="0"/>
    <n v="120"/>
    <n v="3"/>
    <n v="2.5"/>
    <n v="40.19"/>
    <n v="4822.8"/>
  </r>
  <r>
    <x v="1"/>
    <x v="0"/>
    <x v="2"/>
    <n v="91"/>
    <n v="5"/>
    <n v="5.49"/>
    <n v="67.38"/>
    <n v="6131.58"/>
  </r>
  <r>
    <x v="0"/>
    <x v="0"/>
    <x v="0"/>
    <n v="167"/>
    <n v="12"/>
    <n v="7.19"/>
    <n v="46.5"/>
    <n v="7765.5"/>
  </r>
  <r>
    <x v="2"/>
    <x v="0"/>
    <x v="2"/>
    <n v="261"/>
    <n v="0"/>
    <n v="0"/>
    <n v="50.33"/>
    <n v="13136.13"/>
  </r>
  <r>
    <x v="0"/>
    <x v="0"/>
    <x v="0"/>
    <n v="110"/>
    <n v="5"/>
    <n v="4.55"/>
    <n v="10.78"/>
    <n v="1185.8"/>
  </r>
  <r>
    <x v="1"/>
    <x v="0"/>
    <x v="2"/>
    <n v="239"/>
    <n v="1"/>
    <n v="0.42"/>
    <n v="28.37"/>
    <n v="6780.43"/>
  </r>
  <r>
    <x v="0"/>
    <x v="0"/>
    <x v="0"/>
    <n v="140"/>
    <n v="2"/>
    <n v="1.43"/>
    <n v="39.65"/>
    <n v="5551"/>
  </r>
  <r>
    <x v="1"/>
    <x v="0"/>
    <x v="2"/>
    <n v="242"/>
    <n v="13"/>
    <n v="5.37"/>
    <n v="54.59"/>
    <n v="13210.78"/>
  </r>
  <r>
    <x v="2"/>
    <x v="0"/>
    <x v="2"/>
    <n v="228"/>
    <n v="12"/>
    <n v="5.26"/>
    <n v="63.81"/>
    <n v="14548.68"/>
  </r>
  <r>
    <x v="0"/>
    <x v="0"/>
    <x v="2"/>
    <n v="255"/>
    <n v="21"/>
    <n v="8.24"/>
    <n v="12.64"/>
    <n v="3223.2"/>
  </r>
  <r>
    <x v="2"/>
    <x v="0"/>
    <x v="2"/>
    <n v="147"/>
    <n v="3"/>
    <n v="2.04"/>
    <n v="25.61"/>
    <n v="3764.67"/>
  </r>
  <r>
    <x v="2"/>
    <x v="0"/>
    <x v="2"/>
    <n v="150"/>
    <n v="0"/>
    <n v="0"/>
    <n v="23.95"/>
    <n v="3592.5"/>
  </r>
  <r>
    <x v="3"/>
    <x v="0"/>
    <x v="2"/>
    <n v="193"/>
    <n v="3"/>
    <n v="1.55"/>
    <n v="32.85"/>
    <n v="6340.05"/>
  </r>
  <r>
    <x v="3"/>
    <x v="0"/>
    <x v="2"/>
    <n v="107"/>
    <n v="8"/>
    <n v="7.48"/>
    <n v="23.46"/>
    <n v="2510.2199999999998"/>
  </r>
  <r>
    <x v="0"/>
    <x v="0"/>
    <x v="0"/>
    <n v="261"/>
    <n v="15"/>
    <n v="5.75"/>
    <n v="68.05"/>
    <n v="17761.05"/>
  </r>
  <r>
    <x v="2"/>
    <x v="0"/>
    <x v="2"/>
    <n v="202"/>
    <n v="12"/>
    <n v="5.94"/>
    <n v="8.6"/>
    <n v="1737.2"/>
  </r>
  <r>
    <x v="0"/>
    <x v="0"/>
    <x v="2"/>
    <n v="262"/>
    <n v="12"/>
    <n v="4.58"/>
    <n v="34.380000000000003"/>
    <n v="9007.56"/>
  </r>
  <r>
    <x v="3"/>
    <x v="0"/>
    <x v="2"/>
    <n v="251"/>
    <n v="17"/>
    <n v="6.77"/>
    <n v="58.12"/>
    <n v="14588.12"/>
  </r>
  <r>
    <x v="3"/>
    <x v="0"/>
    <x v="2"/>
    <n v="285"/>
    <n v="11"/>
    <n v="3.86"/>
    <n v="42.34"/>
    <n v="12066.9"/>
  </r>
  <r>
    <x v="0"/>
    <x v="0"/>
    <x v="2"/>
    <n v="111"/>
    <n v="5"/>
    <n v="4.5"/>
    <n v="48.51"/>
    <n v="5384.61"/>
  </r>
  <r>
    <x v="1"/>
    <x v="0"/>
    <x v="1"/>
    <n v="180"/>
    <n v="10"/>
    <n v="5.56"/>
    <n v="5.35"/>
    <n v="963"/>
  </r>
  <r>
    <x v="3"/>
    <x v="0"/>
    <x v="2"/>
    <n v="266"/>
    <n v="24"/>
    <n v="9.02"/>
    <n v="37.590000000000003"/>
    <n v="9998.94"/>
  </r>
  <r>
    <x v="1"/>
    <x v="0"/>
    <x v="1"/>
    <n v="266"/>
    <n v="22"/>
    <n v="8.27"/>
    <n v="24.94"/>
    <n v="6634.04"/>
  </r>
  <r>
    <x v="0"/>
    <x v="0"/>
    <x v="2"/>
    <n v="271"/>
    <n v="21"/>
    <n v="7.75"/>
    <n v="18.440000000000001"/>
    <n v="4997.24"/>
  </r>
  <r>
    <x v="1"/>
    <x v="0"/>
    <x v="2"/>
    <n v="287"/>
    <n v="17"/>
    <n v="5.92"/>
    <n v="28.9"/>
    <n v="8294.2999999999993"/>
  </r>
  <r>
    <x v="0"/>
    <x v="0"/>
    <x v="0"/>
    <n v="278"/>
    <n v="9"/>
    <n v="3.24"/>
    <n v="6.77"/>
    <n v="1882.06"/>
  </r>
  <r>
    <x v="3"/>
    <x v="0"/>
    <x v="2"/>
    <n v="236"/>
    <n v="7"/>
    <n v="2.97"/>
    <n v="51.05"/>
    <n v="12047.8"/>
  </r>
  <r>
    <x v="0"/>
    <x v="0"/>
    <x v="0"/>
    <n v="277"/>
    <n v="27"/>
    <n v="9.75"/>
    <n v="52.71"/>
    <n v="14600.67"/>
  </r>
  <r>
    <x v="2"/>
    <x v="0"/>
    <x v="2"/>
    <n v="279"/>
    <n v="9"/>
    <n v="3.23"/>
    <n v="6.53"/>
    <n v="1821.87"/>
  </r>
  <r>
    <x v="3"/>
    <x v="0"/>
    <x v="2"/>
    <n v="133"/>
    <n v="4"/>
    <n v="3.01"/>
    <n v="57.85"/>
    <n v="7694.05"/>
  </r>
  <r>
    <x v="0"/>
    <x v="0"/>
    <x v="2"/>
    <n v="53"/>
    <n v="2"/>
    <n v="3.77"/>
    <n v="22.79"/>
    <n v="1207.8699999999999"/>
  </r>
  <r>
    <x v="3"/>
    <x v="0"/>
    <x v="2"/>
    <n v="279"/>
    <n v="1"/>
    <n v="0.36"/>
    <n v="27.37"/>
    <n v="7636.23"/>
  </r>
  <r>
    <x v="0"/>
    <x v="0"/>
    <x v="0"/>
    <n v="75"/>
    <n v="5"/>
    <n v="6.67"/>
    <n v="56.46"/>
    <n v="4234.5"/>
  </r>
  <r>
    <x v="0"/>
    <x v="0"/>
    <x v="2"/>
    <n v="147"/>
    <n v="3"/>
    <n v="2.04"/>
    <n v="57.08"/>
    <n v="8390.76"/>
  </r>
  <r>
    <x v="3"/>
    <x v="0"/>
    <x v="2"/>
    <n v="128"/>
    <n v="0"/>
    <n v="0"/>
    <n v="29.51"/>
    <n v="3777.28"/>
  </r>
  <r>
    <x v="2"/>
    <x v="0"/>
    <x v="2"/>
    <n v="80"/>
    <n v="3"/>
    <n v="3.75"/>
    <n v="33.590000000000003"/>
    <n v="2687.2"/>
  </r>
  <r>
    <x v="0"/>
    <x v="0"/>
    <x v="2"/>
    <n v="241"/>
    <n v="22"/>
    <n v="9.1300000000000008"/>
    <n v="41.7"/>
    <n v="10049.700000000001"/>
  </r>
  <r>
    <x v="2"/>
    <x v="0"/>
    <x v="2"/>
    <n v="210"/>
    <n v="14"/>
    <n v="6.67"/>
    <n v="32.57"/>
    <n v="6839.7"/>
  </r>
  <r>
    <x v="2"/>
    <x v="0"/>
    <x v="2"/>
    <n v="166"/>
    <n v="7"/>
    <n v="4.22"/>
    <n v="68.45"/>
    <n v="11362.7"/>
  </r>
  <r>
    <x v="0"/>
    <x v="0"/>
    <x v="0"/>
    <n v="90"/>
    <n v="6"/>
    <n v="6.67"/>
    <n v="68.52"/>
    <n v="6166.8"/>
  </r>
  <r>
    <x v="0"/>
    <x v="0"/>
    <x v="2"/>
    <n v="204"/>
    <n v="18"/>
    <n v="8.82"/>
    <n v="20.41"/>
    <n v="4163.6400000000003"/>
  </r>
  <r>
    <x v="3"/>
    <x v="0"/>
    <x v="2"/>
    <n v="144"/>
    <n v="6"/>
    <n v="4.17"/>
    <n v="13.26"/>
    <n v="1909.44"/>
  </r>
  <r>
    <x v="2"/>
    <x v="0"/>
    <x v="2"/>
    <n v="168"/>
    <n v="14"/>
    <n v="8.33"/>
    <n v="44.97"/>
    <n v="7554.96"/>
  </r>
  <r>
    <x v="3"/>
    <x v="0"/>
    <x v="2"/>
    <n v="256"/>
    <n v="24"/>
    <n v="9.3800000000000008"/>
    <n v="7.67"/>
    <n v="1963.52"/>
  </r>
  <r>
    <x v="2"/>
    <x v="0"/>
    <x v="2"/>
    <n v="200"/>
    <n v="6"/>
    <n v="3"/>
    <n v="22.91"/>
    <n v="4582"/>
  </r>
  <r>
    <x v="0"/>
    <x v="0"/>
    <x v="0"/>
    <n v="147"/>
    <n v="0"/>
    <n v="0"/>
    <n v="41.41"/>
    <n v="6087.27"/>
  </r>
  <r>
    <x v="3"/>
    <x v="0"/>
    <x v="2"/>
    <n v="226"/>
    <n v="19"/>
    <n v="8.41"/>
    <n v="23.51"/>
    <n v="5313.26"/>
  </r>
  <r>
    <x v="2"/>
    <x v="0"/>
    <x v="2"/>
    <n v="82"/>
    <n v="4"/>
    <n v="4.88"/>
    <n v="54.35"/>
    <n v="4456.7"/>
  </r>
  <r>
    <x v="0"/>
    <x v="0"/>
    <x v="2"/>
    <n v="198"/>
    <n v="17"/>
    <n v="8.59"/>
    <n v="6.56"/>
    <n v="1298.8800000000001"/>
  </r>
  <r>
    <x v="3"/>
    <x v="0"/>
    <x v="2"/>
    <n v="110"/>
    <n v="11"/>
    <n v="10"/>
    <n v="49.44"/>
    <n v="5438.4"/>
  </r>
  <r>
    <x v="2"/>
    <x v="0"/>
    <x v="2"/>
    <n v="199"/>
    <n v="5"/>
    <n v="2.5099999999999998"/>
    <n v="65.31"/>
    <n v="12996.69"/>
  </r>
  <r>
    <x v="0"/>
    <x v="0"/>
    <x v="0"/>
    <n v="261"/>
    <n v="18"/>
    <n v="6.9"/>
    <n v="28.85"/>
    <n v="7529.85"/>
  </r>
  <r>
    <x v="0"/>
    <x v="0"/>
    <x v="2"/>
    <n v="140"/>
    <n v="5"/>
    <n v="3.57"/>
    <n v="9.1"/>
    <n v="1274"/>
  </r>
  <r>
    <x v="0"/>
    <x v="0"/>
    <x v="0"/>
    <n v="72"/>
    <n v="1"/>
    <n v="1.39"/>
    <n v="12.02"/>
    <n v="865.44"/>
  </r>
  <r>
    <x v="0"/>
    <x v="0"/>
    <x v="2"/>
    <n v="147"/>
    <n v="5"/>
    <n v="3.4"/>
    <n v="32.57"/>
    <n v="4787.79"/>
  </r>
  <r>
    <x v="1"/>
    <x v="0"/>
    <x v="1"/>
    <n v="94"/>
    <n v="0"/>
    <n v="0"/>
    <n v="6.64"/>
    <n v="624.16"/>
  </r>
  <r>
    <x v="0"/>
    <x v="0"/>
    <x v="0"/>
    <n v="217"/>
    <n v="6"/>
    <n v="2.76"/>
    <n v="7.88"/>
    <n v="1709.96"/>
  </r>
  <r>
    <x v="0"/>
    <x v="0"/>
    <x v="2"/>
    <n v="121"/>
    <n v="0"/>
    <n v="0"/>
    <n v="49.57"/>
    <n v="5997.97"/>
  </r>
  <r>
    <x v="0"/>
    <x v="0"/>
    <x v="2"/>
    <n v="152"/>
    <n v="11"/>
    <n v="7.24"/>
    <n v="8.89"/>
    <n v="1351.28"/>
  </r>
  <r>
    <x v="3"/>
    <x v="0"/>
    <x v="2"/>
    <n v="281"/>
    <n v="17"/>
    <n v="6.05"/>
    <n v="20.38"/>
    <n v="5726.78"/>
  </r>
  <r>
    <x v="1"/>
    <x v="0"/>
    <x v="2"/>
    <n v="272"/>
    <n v="21"/>
    <n v="7.72"/>
    <n v="26.75"/>
    <n v="7276"/>
  </r>
  <r>
    <x v="1"/>
    <x v="0"/>
    <x v="1"/>
    <n v="183"/>
    <n v="5"/>
    <n v="2.73"/>
    <n v="6.43"/>
    <n v="1176.69"/>
  </r>
  <r>
    <x v="2"/>
    <x v="0"/>
    <x v="2"/>
    <n v="51"/>
    <n v="0"/>
    <n v="0"/>
    <n v="43.06"/>
    <n v="2196.06"/>
  </r>
  <r>
    <x v="3"/>
    <x v="0"/>
    <x v="2"/>
    <n v="212"/>
    <n v="17"/>
    <n v="8.02"/>
    <n v="69.25"/>
    <n v="14681"/>
  </r>
  <r>
    <x v="1"/>
    <x v="0"/>
    <x v="1"/>
    <n v="163"/>
    <n v="3"/>
    <n v="1.84"/>
    <n v="46.45"/>
    <n v="7571.35"/>
  </r>
  <r>
    <x v="0"/>
    <x v="0"/>
    <x v="0"/>
    <n v="177"/>
    <n v="2"/>
    <n v="1.1299999999999999"/>
    <n v="13.95"/>
    <n v="2469.15"/>
  </r>
  <r>
    <x v="1"/>
    <x v="0"/>
    <x v="1"/>
    <n v="232"/>
    <n v="16"/>
    <n v="6.9"/>
    <n v="28.06"/>
    <n v="6509.92"/>
  </r>
  <r>
    <x v="1"/>
    <x v="0"/>
    <x v="2"/>
    <n v="104"/>
    <n v="6"/>
    <n v="5.77"/>
    <n v="53.68"/>
    <n v="5582.72"/>
  </r>
  <r>
    <x v="1"/>
    <x v="0"/>
    <x v="2"/>
    <n v="103"/>
    <n v="6"/>
    <n v="5.83"/>
    <n v="23.15"/>
    <n v="2384.4499999999998"/>
  </r>
  <r>
    <x v="0"/>
    <x v="0"/>
    <x v="0"/>
    <n v="295"/>
    <n v="14"/>
    <n v="4.75"/>
    <n v="37.1"/>
    <n v="10944.5"/>
  </r>
  <r>
    <x v="1"/>
    <x v="0"/>
    <x v="1"/>
    <n v="194"/>
    <n v="5"/>
    <n v="2.58"/>
    <n v="59.02"/>
    <n v="11449.88"/>
  </r>
  <r>
    <x v="0"/>
    <x v="0"/>
    <x v="2"/>
    <n v="167"/>
    <n v="15"/>
    <n v="8.98"/>
    <n v="43.57"/>
    <n v="7276.19"/>
  </r>
  <r>
    <x v="0"/>
    <x v="0"/>
    <x v="2"/>
    <n v="242"/>
    <n v="17"/>
    <n v="7.02"/>
    <n v="44.05"/>
    <n v="10660.1"/>
  </r>
  <r>
    <x v="2"/>
    <x v="0"/>
    <x v="2"/>
    <n v="64"/>
    <n v="2"/>
    <n v="3.12"/>
    <n v="45.07"/>
    <n v="2884.48"/>
  </r>
  <r>
    <x v="1"/>
    <x v="0"/>
    <x v="1"/>
    <n v="220"/>
    <n v="9"/>
    <n v="4.09"/>
    <n v="16.63"/>
    <n v="3658.6"/>
  </r>
  <r>
    <x v="1"/>
    <x v="0"/>
    <x v="2"/>
    <n v="123"/>
    <n v="12"/>
    <n v="9.76"/>
    <n v="43.95"/>
    <n v="5405.85"/>
  </r>
  <r>
    <x v="3"/>
    <x v="0"/>
    <x v="2"/>
    <n v="160"/>
    <n v="11"/>
    <n v="6.88"/>
    <n v="25.88"/>
    <n v="4140.8"/>
  </r>
  <r>
    <x v="3"/>
    <x v="0"/>
    <x v="2"/>
    <n v="279"/>
    <n v="4"/>
    <n v="1.43"/>
    <n v="46.41"/>
    <n v="12948.39"/>
  </r>
  <r>
    <x v="2"/>
    <x v="0"/>
    <x v="2"/>
    <n v="204"/>
    <n v="7"/>
    <n v="3.43"/>
    <n v="23.28"/>
    <n v="4749.12"/>
  </r>
  <r>
    <x v="0"/>
    <x v="0"/>
    <x v="2"/>
    <n v="278"/>
    <n v="14"/>
    <n v="5.04"/>
    <n v="21.32"/>
    <n v="5926.96"/>
  </r>
  <r>
    <x v="2"/>
    <x v="0"/>
    <x v="2"/>
    <n v="104"/>
    <n v="0"/>
    <n v="0"/>
    <n v="65.25"/>
    <n v="6786"/>
  </r>
  <r>
    <x v="3"/>
    <x v="0"/>
    <x v="2"/>
    <n v="96"/>
    <n v="5"/>
    <n v="5.21"/>
    <n v="44.34"/>
    <n v="4256.6400000000003"/>
  </r>
  <r>
    <x v="2"/>
    <x v="0"/>
    <x v="2"/>
    <n v="191"/>
    <n v="17"/>
    <n v="8.9"/>
    <n v="67.63"/>
    <n v="12917.33"/>
  </r>
  <r>
    <x v="3"/>
    <x v="0"/>
    <x v="2"/>
    <n v="256"/>
    <n v="16"/>
    <n v="6.25"/>
    <n v="67.27"/>
    <n v="17221.12"/>
  </r>
  <r>
    <x v="0"/>
    <x v="0"/>
    <x v="2"/>
    <n v="114"/>
    <n v="2"/>
    <n v="1.75"/>
    <n v="10.11"/>
    <n v="1152.54"/>
  </r>
  <r>
    <x v="0"/>
    <x v="0"/>
    <x v="2"/>
    <n v="115"/>
    <n v="3"/>
    <n v="2.61"/>
    <n v="13.31"/>
    <n v="1530.65"/>
  </r>
  <r>
    <x v="0"/>
    <x v="0"/>
    <x v="2"/>
    <n v="66"/>
    <n v="6"/>
    <n v="9.09"/>
    <n v="20.329999999999998"/>
    <n v="1341.78"/>
  </r>
  <r>
    <x v="2"/>
    <x v="0"/>
    <x v="2"/>
    <n v="198"/>
    <n v="0"/>
    <n v="0"/>
    <n v="23.68"/>
    <n v="4688.6400000000003"/>
  </r>
  <r>
    <x v="3"/>
    <x v="0"/>
    <x v="2"/>
    <n v="106"/>
    <n v="5"/>
    <n v="4.72"/>
    <n v="11.92"/>
    <n v="1263.52"/>
  </r>
  <r>
    <x v="2"/>
    <x v="0"/>
    <x v="2"/>
    <n v="269"/>
    <n v="13"/>
    <n v="4.83"/>
    <n v="39.6"/>
    <n v="10652.4"/>
  </r>
  <r>
    <x v="3"/>
    <x v="0"/>
    <x v="2"/>
    <n v="198"/>
    <n v="5"/>
    <n v="2.5299999999999998"/>
    <n v="5.92"/>
    <n v="1172.1600000000001"/>
  </r>
  <r>
    <x v="2"/>
    <x v="0"/>
    <x v="2"/>
    <n v="84"/>
    <n v="8"/>
    <n v="9.52"/>
    <n v="47.74"/>
    <n v="4010.16"/>
  </r>
  <r>
    <x v="0"/>
    <x v="0"/>
    <x v="2"/>
    <n v="270"/>
    <n v="13"/>
    <n v="4.8099999999999996"/>
    <n v="61.72"/>
    <n v="16664.400000000001"/>
  </r>
  <r>
    <x v="0"/>
    <x v="0"/>
    <x v="2"/>
    <n v="108"/>
    <n v="8"/>
    <n v="7.41"/>
    <n v="15.75"/>
    <n v="1701"/>
  </r>
  <r>
    <x v="0"/>
    <x v="0"/>
    <x v="2"/>
    <n v="101"/>
    <n v="0"/>
    <n v="0"/>
    <n v="38.369999999999997"/>
    <n v="3875.37"/>
  </r>
  <r>
    <x v="3"/>
    <x v="0"/>
    <x v="2"/>
    <n v="121"/>
    <n v="8"/>
    <n v="6.61"/>
    <n v="22.34"/>
    <n v="2703.14"/>
  </r>
  <r>
    <x v="1"/>
    <x v="0"/>
    <x v="2"/>
    <n v="105"/>
    <n v="10"/>
    <n v="9.52"/>
    <n v="51.35"/>
    <n v="5391.75"/>
  </r>
  <r>
    <x v="0"/>
    <x v="0"/>
    <x v="0"/>
    <n v="61"/>
    <n v="3"/>
    <n v="4.92"/>
    <n v="39.96"/>
    <n v="2437.56"/>
  </r>
  <r>
    <x v="0"/>
    <x v="0"/>
    <x v="0"/>
    <n v="268"/>
    <n v="18"/>
    <n v="6.72"/>
    <n v="30.37"/>
    <n v="8139.16"/>
  </r>
  <r>
    <x v="0"/>
    <x v="0"/>
    <x v="2"/>
    <n v="250"/>
    <n v="24"/>
    <n v="9.6"/>
    <n v="36.25"/>
    <n v="9062.5"/>
  </r>
  <r>
    <x v="1"/>
    <x v="0"/>
    <x v="1"/>
    <n v="126"/>
    <n v="8"/>
    <n v="6.35"/>
    <n v="68.05"/>
    <n v="8574.2999999999993"/>
  </r>
  <r>
    <x v="0"/>
    <x v="0"/>
    <x v="0"/>
    <n v="275"/>
    <n v="6"/>
    <n v="2.1800000000000002"/>
    <n v="19.760000000000002"/>
    <n v="5434"/>
  </r>
  <r>
    <x v="0"/>
    <x v="0"/>
    <x v="2"/>
    <n v="64"/>
    <n v="2"/>
    <n v="3.12"/>
    <n v="45.44"/>
    <n v="2908.16"/>
  </r>
  <r>
    <x v="1"/>
    <x v="0"/>
    <x v="2"/>
    <n v="286"/>
    <n v="6"/>
    <n v="2.1"/>
    <n v="68.989999999999995"/>
    <n v="19731.14"/>
  </r>
  <r>
    <x v="3"/>
    <x v="0"/>
    <x v="2"/>
    <n v="258"/>
    <n v="4"/>
    <n v="1.55"/>
    <n v="49.29"/>
    <n v="12716.82"/>
  </r>
  <r>
    <x v="0"/>
    <x v="0"/>
    <x v="0"/>
    <n v="120"/>
    <n v="1"/>
    <n v="0.83"/>
    <n v="68.540000000000006"/>
    <n v="8224.7999999999993"/>
  </r>
  <r>
    <x v="2"/>
    <x v="0"/>
    <x v="2"/>
    <n v="50"/>
    <n v="0"/>
    <n v="0"/>
    <n v="63.97"/>
    <n v="3198.5"/>
  </r>
  <r>
    <x v="1"/>
    <x v="0"/>
    <x v="1"/>
    <n v="292"/>
    <n v="17"/>
    <n v="5.82"/>
    <n v="27.39"/>
    <n v="7997.88"/>
  </r>
  <r>
    <x v="1"/>
    <x v="0"/>
    <x v="1"/>
    <n v="127"/>
    <n v="10"/>
    <n v="7.87"/>
    <n v="9.6199999999999992"/>
    <n v="1221.74"/>
  </r>
  <r>
    <x v="0"/>
    <x v="0"/>
    <x v="2"/>
    <n v="59"/>
    <n v="1"/>
    <n v="1.69"/>
    <n v="54.44"/>
    <n v="3211.96"/>
  </r>
  <r>
    <x v="0"/>
    <x v="0"/>
    <x v="2"/>
    <n v="148"/>
    <n v="12"/>
    <n v="8.11"/>
    <n v="63.23"/>
    <n v="9358.0400000000009"/>
  </r>
  <r>
    <x v="0"/>
    <x v="0"/>
    <x v="0"/>
    <n v="207"/>
    <n v="11"/>
    <n v="5.31"/>
    <n v="64.959999999999994"/>
    <n v="13446.72"/>
  </r>
  <r>
    <x v="3"/>
    <x v="0"/>
    <x v="2"/>
    <n v="260"/>
    <n v="0"/>
    <n v="0"/>
    <n v="45.1"/>
    <n v="11726"/>
  </r>
  <r>
    <x v="0"/>
    <x v="0"/>
    <x v="0"/>
    <n v="112"/>
    <n v="2"/>
    <n v="1.79"/>
    <n v="58.27"/>
    <n v="6526.24"/>
  </r>
  <r>
    <x v="0"/>
    <x v="0"/>
    <x v="0"/>
    <n v="243"/>
    <n v="10"/>
    <n v="4.12"/>
    <n v="64.86"/>
    <n v="15760.98"/>
  </r>
  <r>
    <x v="0"/>
    <x v="0"/>
    <x v="0"/>
    <n v="177"/>
    <n v="9"/>
    <n v="5.08"/>
    <n v="39.06"/>
    <n v="6913.62"/>
  </r>
  <r>
    <x v="2"/>
    <x v="0"/>
    <x v="2"/>
    <n v="243"/>
    <n v="14"/>
    <n v="5.76"/>
    <n v="25.55"/>
    <n v="6208.65"/>
  </r>
  <r>
    <x v="0"/>
    <x v="0"/>
    <x v="0"/>
    <n v="270"/>
    <n v="27"/>
    <n v="10"/>
    <n v="35.97"/>
    <n v="9711.9"/>
  </r>
  <r>
    <x v="1"/>
    <x v="0"/>
    <x v="2"/>
    <n v="106"/>
    <n v="4"/>
    <n v="3.77"/>
    <n v="22.88"/>
    <n v="2425.2800000000002"/>
  </r>
  <r>
    <x v="1"/>
    <x v="0"/>
    <x v="2"/>
    <n v="216"/>
    <n v="18"/>
    <n v="8.33"/>
    <n v="61.27"/>
    <n v="13234.32"/>
  </r>
  <r>
    <x v="1"/>
    <x v="0"/>
    <x v="2"/>
    <n v="237"/>
    <n v="20"/>
    <n v="8.44"/>
    <n v="50.83"/>
    <n v="12046.71"/>
  </r>
  <r>
    <x v="3"/>
    <x v="0"/>
    <x v="2"/>
    <n v="207"/>
    <n v="14"/>
    <n v="6.76"/>
    <n v="47.56"/>
    <n v="9844.92"/>
  </r>
  <r>
    <x v="2"/>
    <x v="0"/>
    <x v="2"/>
    <n v="232"/>
    <n v="16"/>
    <n v="6.9"/>
    <n v="68.540000000000006"/>
    <n v="15901.28"/>
  </r>
  <r>
    <x v="1"/>
    <x v="0"/>
    <x v="2"/>
    <n v="191"/>
    <n v="6"/>
    <n v="3.14"/>
    <n v="57.46"/>
    <n v="10974.86"/>
  </r>
  <r>
    <x v="0"/>
    <x v="0"/>
    <x v="2"/>
    <n v="75"/>
    <n v="1"/>
    <n v="1.33"/>
    <n v="69.510000000000005"/>
    <n v="5213.25"/>
  </r>
  <r>
    <x v="1"/>
    <x v="0"/>
    <x v="1"/>
    <n v="96"/>
    <n v="1"/>
    <n v="1.04"/>
    <n v="9.6999999999999993"/>
    <n v="931.2"/>
  </r>
  <r>
    <x v="3"/>
    <x v="0"/>
    <x v="2"/>
    <n v="201"/>
    <n v="9"/>
    <n v="4.4800000000000004"/>
    <n v="57.24"/>
    <n v="11505.24"/>
  </r>
  <r>
    <x v="2"/>
    <x v="0"/>
    <x v="2"/>
    <n v="119"/>
    <n v="11"/>
    <n v="9.24"/>
    <n v="29.64"/>
    <n v="3527.16"/>
  </r>
  <r>
    <x v="0"/>
    <x v="0"/>
    <x v="0"/>
    <n v="171"/>
    <n v="10"/>
    <n v="5.85"/>
    <n v="15.26"/>
    <n v="2609.46"/>
  </r>
  <r>
    <x v="0"/>
    <x v="0"/>
    <x v="0"/>
    <n v="85"/>
    <n v="5"/>
    <n v="5.88"/>
    <n v="32.11"/>
    <n v="2729.35"/>
  </r>
  <r>
    <x v="1"/>
    <x v="0"/>
    <x v="2"/>
    <n v="60"/>
    <n v="5"/>
    <n v="8.33"/>
    <n v="37.729999999999997"/>
    <n v="2263.8000000000002"/>
  </r>
  <r>
    <x v="0"/>
    <x v="0"/>
    <x v="2"/>
    <n v="260"/>
    <n v="17"/>
    <n v="6.54"/>
    <n v="35.799999999999997"/>
    <n v="9308"/>
  </r>
  <r>
    <x v="1"/>
    <x v="0"/>
    <x v="1"/>
    <n v="240"/>
    <n v="8"/>
    <n v="3.33"/>
    <n v="31.38"/>
    <n v="7531.2"/>
  </r>
  <r>
    <x v="3"/>
    <x v="0"/>
    <x v="2"/>
    <n v="250"/>
    <n v="5"/>
    <n v="2"/>
    <n v="26.03"/>
    <n v="6507.5"/>
  </r>
  <r>
    <x v="0"/>
    <x v="0"/>
    <x v="2"/>
    <n v="98"/>
    <n v="9"/>
    <n v="9.18"/>
    <n v="53.39"/>
    <n v="5232.22"/>
  </r>
  <r>
    <x v="2"/>
    <x v="0"/>
    <x v="2"/>
    <n v="76"/>
    <n v="3"/>
    <n v="3.95"/>
    <n v="46.18"/>
    <n v="3509.68"/>
  </r>
  <r>
    <x v="0"/>
    <x v="0"/>
    <x v="2"/>
    <n v="131"/>
    <n v="2"/>
    <n v="1.53"/>
    <n v="68.09"/>
    <n v="8919.7900000000009"/>
  </r>
  <r>
    <x v="0"/>
    <x v="0"/>
    <x v="0"/>
    <n v="168"/>
    <n v="14"/>
    <n v="8.33"/>
    <n v="10.71"/>
    <n v="1799.28"/>
  </r>
  <r>
    <x v="0"/>
    <x v="0"/>
    <x v="2"/>
    <n v="111"/>
    <n v="3"/>
    <n v="2.7"/>
    <n v="34.14"/>
    <n v="3789.54"/>
  </r>
  <r>
    <x v="1"/>
    <x v="0"/>
    <x v="2"/>
    <n v="103"/>
    <n v="7"/>
    <n v="6.8"/>
    <n v="51.38"/>
    <n v="5292.14"/>
  </r>
  <r>
    <x v="0"/>
    <x v="0"/>
    <x v="0"/>
    <n v="201"/>
    <n v="11"/>
    <n v="5.47"/>
    <n v="36"/>
    <n v="7236"/>
  </r>
  <r>
    <x v="3"/>
    <x v="0"/>
    <x v="2"/>
    <n v="89"/>
    <n v="1"/>
    <n v="1.1200000000000001"/>
    <n v="51.23"/>
    <n v="4559.47"/>
  </r>
  <r>
    <x v="2"/>
    <x v="0"/>
    <x v="2"/>
    <n v="199"/>
    <n v="17"/>
    <n v="8.5399999999999991"/>
    <n v="33.56"/>
    <n v="6678.44"/>
  </r>
  <r>
    <x v="0"/>
    <x v="0"/>
    <x v="0"/>
    <n v="102"/>
    <n v="8"/>
    <n v="7.84"/>
    <n v="49.56"/>
    <n v="5055.12"/>
  </r>
  <r>
    <x v="1"/>
    <x v="0"/>
    <x v="1"/>
    <n v="220"/>
    <n v="19"/>
    <n v="8.64"/>
    <n v="52.56"/>
    <n v="11563.2"/>
  </r>
  <r>
    <x v="3"/>
    <x v="0"/>
    <x v="2"/>
    <n v="274"/>
    <n v="14"/>
    <n v="5.1100000000000003"/>
    <n v="41.07"/>
    <n v="11253.18"/>
  </r>
  <r>
    <x v="1"/>
    <x v="0"/>
    <x v="1"/>
    <n v="219"/>
    <n v="4"/>
    <n v="1.83"/>
    <n v="39.19"/>
    <n v="8582.61"/>
  </r>
  <r>
    <x v="2"/>
    <x v="0"/>
    <x v="2"/>
    <n v="216"/>
    <n v="4"/>
    <n v="1.85"/>
    <n v="46.1"/>
    <n v="9957.6"/>
  </r>
  <r>
    <x v="0"/>
    <x v="0"/>
    <x v="2"/>
    <n v="133"/>
    <n v="9"/>
    <n v="6.77"/>
    <n v="12.4"/>
    <n v="1649.2"/>
  </r>
  <r>
    <x v="3"/>
    <x v="0"/>
    <x v="2"/>
    <n v="135"/>
    <n v="0"/>
    <n v="0"/>
    <n v="5.1100000000000003"/>
    <n v="689.85"/>
  </r>
  <r>
    <x v="1"/>
    <x v="0"/>
    <x v="2"/>
    <n v="104"/>
    <n v="9"/>
    <n v="8.65"/>
    <n v="33.270000000000003"/>
    <n v="3460.08"/>
  </r>
  <r>
    <x v="2"/>
    <x v="0"/>
    <x v="2"/>
    <n v="72"/>
    <n v="1"/>
    <n v="1.39"/>
    <n v="69.87"/>
    <n v="5030.6400000000003"/>
  </r>
  <r>
    <x v="2"/>
    <x v="0"/>
    <x v="2"/>
    <n v="282"/>
    <n v="16"/>
    <n v="5.67"/>
    <n v="41.62"/>
    <n v="11736.84"/>
  </r>
  <r>
    <x v="0"/>
    <x v="0"/>
    <x v="2"/>
    <n v="264"/>
    <n v="21"/>
    <n v="7.95"/>
    <n v="47.67"/>
    <n v="12584.88"/>
  </r>
  <r>
    <x v="3"/>
    <x v="0"/>
    <x v="2"/>
    <n v="288"/>
    <n v="8"/>
    <n v="2.78"/>
    <n v="26.55"/>
    <n v="7646.4"/>
  </r>
  <r>
    <x v="0"/>
    <x v="0"/>
    <x v="0"/>
    <n v="253"/>
    <n v="24"/>
    <n v="9.49"/>
    <n v="58.9"/>
    <n v="14901.7"/>
  </r>
  <r>
    <x v="0"/>
    <x v="0"/>
    <x v="2"/>
    <n v="154"/>
    <n v="13"/>
    <n v="8.44"/>
    <n v="62.28"/>
    <n v="9591.1200000000008"/>
  </r>
  <r>
    <x v="3"/>
    <x v="0"/>
    <x v="2"/>
    <n v="140"/>
    <n v="12"/>
    <n v="8.57"/>
    <n v="50.48"/>
    <n v="7067.2"/>
  </r>
  <r>
    <x v="2"/>
    <x v="0"/>
    <x v="2"/>
    <n v="233"/>
    <n v="6"/>
    <n v="2.58"/>
    <n v="52.67"/>
    <n v="12272.11"/>
  </r>
  <r>
    <x v="0"/>
    <x v="0"/>
    <x v="2"/>
    <n v="195"/>
    <n v="4"/>
    <n v="2.0499999999999998"/>
    <n v="33.31"/>
    <n v="6495.45"/>
  </r>
  <r>
    <x v="0"/>
    <x v="0"/>
    <x v="0"/>
    <n v="85"/>
    <n v="2"/>
    <n v="2.35"/>
    <n v="66.099999999999994"/>
    <n v="5618.5"/>
  </r>
  <r>
    <x v="0"/>
    <x v="0"/>
    <x v="2"/>
    <n v="188"/>
    <n v="10"/>
    <n v="5.32"/>
    <n v="7.51"/>
    <n v="1411.88"/>
  </r>
  <r>
    <x v="1"/>
    <x v="0"/>
    <x v="1"/>
    <n v="220"/>
    <n v="6"/>
    <n v="2.73"/>
    <n v="49.03"/>
    <n v="10786.6"/>
  </r>
  <r>
    <x v="3"/>
    <x v="0"/>
    <x v="2"/>
    <n v="178"/>
    <n v="3"/>
    <n v="1.69"/>
    <n v="8.39"/>
    <n v="1493.42"/>
  </r>
  <r>
    <x v="0"/>
    <x v="0"/>
    <x v="2"/>
    <n v="229"/>
    <n v="7"/>
    <n v="3.06"/>
    <n v="7.82"/>
    <n v="1790.78"/>
  </r>
  <r>
    <x v="0"/>
    <x v="0"/>
    <x v="0"/>
    <n v="136"/>
    <n v="11"/>
    <n v="8.09"/>
    <n v="45.79"/>
    <n v="6227.44"/>
  </r>
  <r>
    <x v="0"/>
    <x v="0"/>
    <x v="0"/>
    <n v="56"/>
    <n v="5"/>
    <n v="8.93"/>
    <n v="66.06"/>
    <n v="3699.36"/>
  </r>
  <r>
    <x v="2"/>
    <x v="0"/>
    <x v="2"/>
    <n v="138"/>
    <n v="9"/>
    <n v="6.52"/>
    <n v="55.82"/>
    <n v="7703.16"/>
  </r>
  <r>
    <x v="2"/>
    <x v="0"/>
    <x v="2"/>
    <n v="71"/>
    <n v="0"/>
    <n v="0"/>
    <n v="56.23"/>
    <n v="3992.33"/>
  </r>
  <r>
    <x v="0"/>
    <x v="0"/>
    <x v="0"/>
    <n v="90"/>
    <n v="5"/>
    <n v="5.56"/>
    <n v="60.39"/>
    <n v="5435.1"/>
  </r>
  <r>
    <x v="1"/>
    <x v="0"/>
    <x v="2"/>
    <n v="118"/>
    <n v="2"/>
    <n v="1.69"/>
    <n v="14.03"/>
    <n v="1655.54"/>
  </r>
  <r>
    <x v="1"/>
    <x v="0"/>
    <x v="2"/>
    <n v="199"/>
    <n v="19"/>
    <n v="9.5500000000000007"/>
    <n v="54.01"/>
    <n v="10747.99"/>
  </r>
  <r>
    <x v="3"/>
    <x v="0"/>
    <x v="2"/>
    <n v="225"/>
    <n v="8"/>
    <n v="3.56"/>
    <n v="53.15"/>
    <n v="11958.75"/>
  </r>
  <r>
    <x v="0"/>
    <x v="0"/>
    <x v="0"/>
    <n v="176"/>
    <n v="14"/>
    <n v="7.95"/>
    <n v="27.5"/>
    <n v="4840"/>
  </r>
  <r>
    <x v="0"/>
    <x v="0"/>
    <x v="0"/>
    <n v="244"/>
    <n v="15"/>
    <n v="6.15"/>
    <n v="55.47"/>
    <n v="13534.68"/>
  </r>
  <r>
    <x v="2"/>
    <x v="0"/>
    <x v="2"/>
    <n v="65"/>
    <n v="3"/>
    <n v="4.62"/>
    <n v="6.21"/>
    <n v="403.65"/>
  </r>
  <r>
    <x v="1"/>
    <x v="0"/>
    <x v="1"/>
    <n v="123"/>
    <n v="6"/>
    <n v="4.88"/>
    <n v="54.39"/>
    <n v="6689.97"/>
  </r>
  <r>
    <x v="0"/>
    <x v="0"/>
    <x v="2"/>
    <n v="50"/>
    <n v="3"/>
    <n v="6"/>
    <n v="22.57"/>
    <n v="1128.5"/>
  </r>
  <r>
    <x v="0"/>
    <x v="0"/>
    <x v="0"/>
    <n v="182"/>
    <n v="18"/>
    <n v="9.89"/>
    <n v="14.35"/>
    <n v="2611.6999999999998"/>
  </r>
  <r>
    <x v="0"/>
    <x v="0"/>
    <x v="2"/>
    <n v="182"/>
    <n v="17"/>
    <n v="9.34"/>
    <n v="59.86"/>
    <n v="10894.52"/>
  </r>
  <r>
    <x v="1"/>
    <x v="0"/>
    <x v="2"/>
    <n v="52"/>
    <n v="1"/>
    <n v="1.92"/>
    <n v="45.09"/>
    <n v="2344.6799999999998"/>
  </r>
  <r>
    <x v="3"/>
    <x v="0"/>
    <x v="2"/>
    <n v="173"/>
    <n v="10"/>
    <n v="5.78"/>
    <n v="35.79"/>
    <n v="6191.67"/>
  </r>
  <r>
    <x v="2"/>
    <x v="0"/>
    <x v="2"/>
    <n v="170"/>
    <n v="12"/>
    <n v="7.06"/>
    <n v="46.75"/>
    <n v="7947.5"/>
  </r>
  <r>
    <x v="0"/>
    <x v="0"/>
    <x v="0"/>
    <n v="70"/>
    <n v="5"/>
    <n v="7.14"/>
    <n v="16.7"/>
    <n v="1169"/>
  </r>
  <r>
    <x v="3"/>
    <x v="0"/>
    <x v="2"/>
    <n v="273"/>
    <n v="3"/>
    <n v="1.1000000000000001"/>
    <n v="6.27"/>
    <n v="1711.71"/>
  </r>
  <r>
    <x v="1"/>
    <x v="0"/>
    <x v="1"/>
    <n v="261"/>
    <n v="7"/>
    <n v="2.68"/>
    <n v="39.49"/>
    <n v="10306.89"/>
  </r>
  <r>
    <x v="1"/>
    <x v="0"/>
    <x v="1"/>
    <n v="296"/>
    <n v="13"/>
    <n v="4.3899999999999997"/>
    <n v="57.42"/>
    <n v="16996.32"/>
  </r>
  <r>
    <x v="3"/>
    <x v="0"/>
    <x v="2"/>
    <n v="172"/>
    <n v="1"/>
    <n v="0.57999999999999996"/>
    <n v="42.54"/>
    <n v="7316.88"/>
  </r>
  <r>
    <x v="1"/>
    <x v="0"/>
    <x v="2"/>
    <n v="174"/>
    <n v="2"/>
    <n v="1.1499999999999999"/>
    <n v="48.88"/>
    <n v="8505.1200000000008"/>
  </r>
  <r>
    <x v="1"/>
    <x v="0"/>
    <x v="2"/>
    <n v="281"/>
    <n v="19"/>
    <n v="6.76"/>
    <n v="8.09"/>
    <n v="2273.29"/>
  </r>
  <r>
    <x v="1"/>
    <x v="0"/>
    <x v="1"/>
    <n v="253"/>
    <n v="0"/>
    <n v="0"/>
    <n v="41.77"/>
    <n v="10567.81"/>
  </r>
  <r>
    <x v="0"/>
    <x v="0"/>
    <x v="0"/>
    <n v="215"/>
    <n v="14"/>
    <n v="6.51"/>
    <n v="51.05"/>
    <n v="10975.75"/>
  </r>
  <r>
    <x v="2"/>
    <x v="0"/>
    <x v="2"/>
    <n v="94"/>
    <n v="1"/>
    <n v="1.06"/>
    <n v="39.57"/>
    <n v="3719.58"/>
  </r>
  <r>
    <x v="1"/>
    <x v="0"/>
    <x v="1"/>
    <n v="212"/>
    <n v="4"/>
    <n v="1.89"/>
    <n v="42.35"/>
    <n v="8978.2000000000007"/>
  </r>
  <r>
    <x v="1"/>
    <x v="0"/>
    <x v="2"/>
    <n v="211"/>
    <n v="9"/>
    <n v="4.2699999999999996"/>
    <n v="30.69"/>
    <n v="6475.59"/>
  </r>
  <r>
    <x v="0"/>
    <x v="0"/>
    <x v="0"/>
    <n v="274"/>
    <n v="13"/>
    <n v="4.74"/>
    <n v="41.77"/>
    <n v="11444.98"/>
  </r>
  <r>
    <x v="0"/>
    <x v="0"/>
    <x v="0"/>
    <n v="123"/>
    <n v="3"/>
    <n v="2.44"/>
    <n v="23.91"/>
    <n v="2940.93"/>
  </r>
  <r>
    <x v="3"/>
    <x v="0"/>
    <x v="2"/>
    <n v="152"/>
    <n v="8"/>
    <n v="5.26"/>
    <n v="5.86"/>
    <n v="890.72"/>
  </r>
  <r>
    <x v="2"/>
    <x v="0"/>
    <x v="2"/>
    <n v="295"/>
    <n v="21"/>
    <n v="7.12"/>
    <n v="36.9"/>
    <n v="10885.5"/>
  </r>
  <r>
    <x v="0"/>
    <x v="0"/>
    <x v="2"/>
    <n v="104"/>
    <n v="6"/>
    <n v="5.77"/>
    <n v="21.88"/>
    <n v="2275.52"/>
  </r>
  <r>
    <x v="1"/>
    <x v="0"/>
    <x v="2"/>
    <n v="213"/>
    <n v="10"/>
    <n v="4.6900000000000004"/>
    <n v="35.58"/>
    <n v="7578.54"/>
  </r>
  <r>
    <x v="3"/>
    <x v="0"/>
    <x v="2"/>
    <n v="257"/>
    <n v="4"/>
    <n v="1.56"/>
    <n v="60.59"/>
    <n v="15571.63"/>
  </r>
  <r>
    <x v="0"/>
    <x v="0"/>
    <x v="0"/>
    <n v="284"/>
    <n v="5"/>
    <n v="1.76"/>
    <n v="56.24"/>
    <n v="15972.16"/>
  </r>
  <r>
    <x v="0"/>
    <x v="0"/>
    <x v="0"/>
    <n v="150"/>
    <n v="4"/>
    <n v="2.67"/>
    <n v="41.13"/>
    <n v="6169.5"/>
  </r>
  <r>
    <x v="0"/>
    <x v="0"/>
    <x v="0"/>
    <n v="258"/>
    <n v="3"/>
    <n v="1.1599999999999999"/>
    <n v="10.4"/>
    <n v="2683.2"/>
  </r>
  <r>
    <x v="2"/>
    <x v="0"/>
    <x v="2"/>
    <n v="174"/>
    <n v="13"/>
    <n v="7.47"/>
    <n v="10.63"/>
    <n v="1849.62"/>
  </r>
  <r>
    <x v="1"/>
    <x v="0"/>
    <x v="2"/>
    <n v="259"/>
    <n v="20"/>
    <n v="7.72"/>
    <n v="61.34"/>
    <n v="15887.06"/>
  </r>
  <r>
    <x v="3"/>
    <x v="0"/>
    <x v="2"/>
    <n v="116"/>
    <n v="10"/>
    <n v="8.6199999999999992"/>
    <n v="56.86"/>
    <n v="6595.76"/>
  </r>
  <r>
    <x v="0"/>
    <x v="0"/>
    <x v="0"/>
    <n v="300"/>
    <n v="21"/>
    <n v="7"/>
    <n v="49.17"/>
    <n v="14751"/>
  </r>
  <r>
    <x v="3"/>
    <x v="0"/>
    <x v="2"/>
    <n v="261"/>
    <n v="26"/>
    <n v="9.9600000000000009"/>
    <n v="39.520000000000003"/>
    <n v="10314.719999999999"/>
  </r>
  <r>
    <x v="1"/>
    <x v="0"/>
    <x v="2"/>
    <n v="265"/>
    <n v="5"/>
    <n v="1.89"/>
    <n v="63.74"/>
    <n v="16891.099999999999"/>
  </r>
  <r>
    <x v="1"/>
    <x v="0"/>
    <x v="2"/>
    <n v="80"/>
    <n v="6"/>
    <n v="7.5"/>
    <n v="53.66"/>
    <n v="4292.8"/>
  </r>
  <r>
    <x v="1"/>
    <x v="0"/>
    <x v="2"/>
    <n v="207"/>
    <n v="10"/>
    <n v="4.83"/>
    <n v="62.44"/>
    <n v="12925.08"/>
  </r>
  <r>
    <x v="1"/>
    <x v="0"/>
    <x v="2"/>
    <n v="267"/>
    <n v="21"/>
    <n v="7.87"/>
    <n v="23.29"/>
    <n v="6218.43"/>
  </r>
  <r>
    <x v="3"/>
    <x v="0"/>
    <x v="2"/>
    <n v="146"/>
    <n v="13"/>
    <n v="8.9"/>
    <n v="69.89"/>
    <n v="10203.94"/>
  </r>
  <r>
    <x v="0"/>
    <x v="0"/>
    <x v="2"/>
    <n v="90"/>
    <n v="3"/>
    <n v="3.33"/>
    <n v="21.29"/>
    <n v="1916.1"/>
  </r>
  <r>
    <x v="0"/>
    <x v="0"/>
    <x v="2"/>
    <n v="119"/>
    <n v="10"/>
    <n v="8.4"/>
    <n v="47.35"/>
    <n v="5634.65"/>
  </r>
  <r>
    <x v="0"/>
    <x v="0"/>
    <x v="2"/>
    <n v="300"/>
    <n v="3"/>
    <n v="1"/>
    <n v="42.22"/>
    <n v="12666"/>
  </r>
  <r>
    <x v="1"/>
    <x v="0"/>
    <x v="2"/>
    <n v="204"/>
    <n v="15"/>
    <n v="7.35"/>
    <n v="22.27"/>
    <n v="4543.08"/>
  </r>
  <r>
    <x v="0"/>
    <x v="0"/>
    <x v="0"/>
    <n v="289"/>
    <n v="17"/>
    <n v="5.88"/>
    <n v="66.650000000000006"/>
    <n v="19261.849999999999"/>
  </r>
  <r>
    <x v="3"/>
    <x v="0"/>
    <x v="2"/>
    <n v="142"/>
    <n v="8"/>
    <n v="5.63"/>
    <n v="32.29"/>
    <n v="4585.18"/>
  </r>
  <r>
    <x v="2"/>
    <x v="0"/>
    <x v="2"/>
    <n v="116"/>
    <n v="4"/>
    <n v="3.45"/>
    <n v="32.4"/>
    <n v="3758.4"/>
  </r>
  <r>
    <x v="1"/>
    <x v="0"/>
    <x v="2"/>
    <n v="294"/>
    <n v="6"/>
    <n v="2.04"/>
    <n v="22.68"/>
    <n v="6667.92"/>
  </r>
  <r>
    <x v="0"/>
    <x v="0"/>
    <x v="2"/>
    <n v="239"/>
    <n v="5"/>
    <n v="2.09"/>
    <n v="40.42"/>
    <n v="9660.3799999999992"/>
  </r>
  <r>
    <x v="3"/>
    <x v="0"/>
    <x v="2"/>
    <n v="252"/>
    <n v="18"/>
    <n v="7.14"/>
    <n v="24.87"/>
    <n v="6267.24"/>
  </r>
  <r>
    <x v="1"/>
    <x v="0"/>
    <x v="1"/>
    <n v="221"/>
    <n v="0"/>
    <n v="0"/>
    <n v="62.32"/>
    <n v="13772.72"/>
  </r>
  <r>
    <x v="2"/>
    <x v="0"/>
    <x v="2"/>
    <n v="194"/>
    <n v="16"/>
    <n v="8.25"/>
    <n v="13.24"/>
    <n v="2568.56"/>
  </r>
  <r>
    <x v="1"/>
    <x v="0"/>
    <x v="2"/>
    <n v="149"/>
    <n v="0"/>
    <n v="0"/>
    <n v="20.59"/>
    <n v="3067.91"/>
  </r>
  <r>
    <x v="0"/>
    <x v="0"/>
    <x v="0"/>
    <n v="249"/>
    <n v="17"/>
    <n v="6.83"/>
    <n v="28.37"/>
    <n v="7064.13"/>
  </r>
  <r>
    <x v="0"/>
    <x v="0"/>
    <x v="2"/>
    <n v="170"/>
    <n v="6"/>
    <n v="3.53"/>
    <n v="63.13"/>
    <n v="10732.1"/>
  </r>
  <r>
    <x v="0"/>
    <x v="0"/>
    <x v="0"/>
    <n v="232"/>
    <n v="6"/>
    <n v="2.59"/>
    <n v="68.84"/>
    <n v="15970.88"/>
  </r>
  <r>
    <x v="0"/>
    <x v="0"/>
    <x v="0"/>
    <n v="148"/>
    <n v="11"/>
    <n v="7.43"/>
    <n v="50.63"/>
    <n v="7493.24"/>
  </r>
  <r>
    <x v="0"/>
    <x v="0"/>
    <x v="2"/>
    <n v="285"/>
    <n v="27"/>
    <n v="9.4700000000000006"/>
    <n v="33.93"/>
    <n v="9670.0499999999993"/>
  </r>
  <r>
    <x v="0"/>
    <x v="0"/>
    <x v="2"/>
    <n v="123"/>
    <n v="9"/>
    <n v="7.32"/>
    <n v="33.61"/>
    <n v="4134.03"/>
  </r>
  <r>
    <x v="0"/>
    <x v="0"/>
    <x v="2"/>
    <n v="223"/>
    <n v="22"/>
    <n v="9.8699999999999992"/>
    <n v="28.31"/>
    <n v="6313.13"/>
  </r>
  <r>
    <x v="0"/>
    <x v="0"/>
    <x v="0"/>
    <n v="58"/>
    <n v="3"/>
    <n v="5.17"/>
    <n v="40.31"/>
    <n v="2337.98"/>
  </r>
  <r>
    <x v="0"/>
    <x v="0"/>
    <x v="2"/>
    <n v="126"/>
    <n v="6"/>
    <n v="4.76"/>
    <n v="6.28"/>
    <n v="791.28"/>
  </r>
  <r>
    <x v="1"/>
    <x v="0"/>
    <x v="1"/>
    <n v="265"/>
    <n v="1"/>
    <n v="0.38"/>
    <n v="7.84"/>
    <n v="2077.6"/>
  </r>
  <r>
    <x v="1"/>
    <x v="0"/>
    <x v="2"/>
    <n v="259"/>
    <n v="22"/>
    <n v="8.49"/>
    <n v="15.57"/>
    <n v="4032.63"/>
  </r>
  <r>
    <x v="2"/>
    <x v="0"/>
    <x v="2"/>
    <n v="246"/>
    <n v="9"/>
    <n v="3.66"/>
    <n v="7.39"/>
    <n v="1817.94"/>
  </r>
  <r>
    <x v="1"/>
    <x v="0"/>
    <x v="2"/>
    <n v="84"/>
    <n v="1"/>
    <n v="1.19"/>
    <n v="12.26"/>
    <n v="1029.8399999999999"/>
  </r>
  <r>
    <x v="3"/>
    <x v="0"/>
    <x v="2"/>
    <n v="219"/>
    <n v="20"/>
    <n v="9.1300000000000008"/>
    <n v="59.22"/>
    <n v="12969.18"/>
  </r>
  <r>
    <x v="3"/>
    <x v="0"/>
    <x v="2"/>
    <n v="77"/>
    <n v="1"/>
    <n v="1.3"/>
    <n v="39.74"/>
    <n v="3059.98"/>
  </r>
  <r>
    <x v="3"/>
    <x v="0"/>
    <x v="2"/>
    <n v="73"/>
    <n v="2"/>
    <n v="2.74"/>
    <n v="28.59"/>
    <n v="2087.0700000000002"/>
  </r>
  <r>
    <x v="1"/>
    <x v="0"/>
    <x v="1"/>
    <n v="243"/>
    <n v="7"/>
    <n v="2.88"/>
    <n v="53.48"/>
    <n v="12995.64"/>
  </r>
  <r>
    <x v="0"/>
    <x v="0"/>
    <x v="2"/>
    <n v="84"/>
    <n v="0"/>
    <n v="0"/>
    <n v="31.75"/>
    <n v="2667"/>
  </r>
  <r>
    <x v="0"/>
    <x v="0"/>
    <x v="0"/>
    <n v="154"/>
    <n v="14"/>
    <n v="9.09"/>
    <n v="15.64"/>
    <n v="2408.56"/>
  </r>
  <r>
    <x v="3"/>
    <x v="0"/>
    <x v="2"/>
    <n v="190"/>
    <n v="10"/>
    <n v="5.26"/>
    <n v="57.72"/>
    <n v="10966.8"/>
  </r>
  <r>
    <x v="0"/>
    <x v="0"/>
    <x v="2"/>
    <n v="74"/>
    <n v="4"/>
    <n v="5.41"/>
    <n v="18.98"/>
    <n v="1404.52"/>
  </r>
  <r>
    <x v="0"/>
    <x v="0"/>
    <x v="0"/>
    <n v="66"/>
    <n v="4"/>
    <n v="6.06"/>
    <n v="66.48"/>
    <n v="4387.68"/>
  </r>
  <r>
    <x v="0"/>
    <x v="0"/>
    <x v="2"/>
    <n v="241"/>
    <n v="11"/>
    <n v="4.5599999999999996"/>
    <n v="25.52"/>
    <n v="6150.32"/>
  </r>
  <r>
    <x v="1"/>
    <x v="0"/>
    <x v="2"/>
    <n v="165"/>
    <n v="4"/>
    <n v="2.42"/>
    <n v="40.43"/>
    <n v="6670.95"/>
  </r>
  <r>
    <x v="0"/>
    <x v="0"/>
    <x v="0"/>
    <n v="79"/>
    <n v="1"/>
    <n v="1.27"/>
    <n v="22.09"/>
    <n v="1745.11"/>
  </r>
  <r>
    <x v="2"/>
    <x v="0"/>
    <x v="2"/>
    <n v="225"/>
    <n v="13"/>
    <n v="5.78"/>
    <n v="9.39"/>
    <n v="2112.75"/>
  </r>
  <r>
    <x v="2"/>
    <x v="0"/>
    <x v="2"/>
    <n v="274"/>
    <n v="27"/>
    <n v="9.85"/>
    <n v="7.61"/>
    <n v="2085.14"/>
  </r>
  <r>
    <x v="1"/>
    <x v="0"/>
    <x v="1"/>
    <n v="259"/>
    <n v="7"/>
    <n v="2.7"/>
    <n v="49.92"/>
    <n v="12929.28"/>
  </r>
  <r>
    <x v="1"/>
    <x v="0"/>
    <x v="1"/>
    <n v="138"/>
    <n v="6"/>
    <n v="4.3499999999999996"/>
    <n v="8.49"/>
    <n v="1171.6199999999999"/>
  </r>
  <r>
    <x v="1"/>
    <x v="0"/>
    <x v="2"/>
    <n v="67"/>
    <n v="3"/>
    <n v="4.4800000000000004"/>
    <n v="48.71"/>
    <n v="3263.57"/>
  </r>
  <r>
    <x v="3"/>
    <x v="0"/>
    <x v="2"/>
    <n v="187"/>
    <n v="3"/>
    <n v="1.6"/>
    <n v="27.92"/>
    <n v="5221.04"/>
  </r>
  <r>
    <x v="2"/>
    <x v="0"/>
    <x v="2"/>
    <n v="193"/>
    <n v="18"/>
    <n v="9.33"/>
    <n v="19.52"/>
    <n v="3767.36"/>
  </r>
  <r>
    <x v="0"/>
    <x v="0"/>
    <x v="2"/>
    <n v="202"/>
    <n v="2"/>
    <n v="0.99"/>
    <n v="52.23"/>
    <n v="10550.46"/>
  </r>
  <r>
    <x v="3"/>
    <x v="0"/>
    <x v="2"/>
    <n v="240"/>
    <n v="6"/>
    <n v="2.5"/>
    <n v="16"/>
    <n v="3840"/>
  </r>
  <r>
    <x v="2"/>
    <x v="0"/>
    <x v="2"/>
    <n v="177"/>
    <n v="9"/>
    <n v="5.08"/>
    <n v="67.150000000000006"/>
    <n v="11885.55"/>
  </r>
  <r>
    <x v="3"/>
    <x v="0"/>
    <x v="2"/>
    <n v="252"/>
    <n v="17"/>
    <n v="6.75"/>
    <n v="62.87"/>
    <n v="15843.24"/>
  </r>
  <r>
    <x v="2"/>
    <x v="0"/>
    <x v="2"/>
    <n v="226"/>
    <n v="18"/>
    <n v="7.96"/>
    <n v="60.13"/>
    <n v="13589.38"/>
  </r>
  <r>
    <x v="0"/>
    <x v="0"/>
    <x v="0"/>
    <n v="122"/>
    <n v="0"/>
    <n v="0"/>
    <n v="55.35"/>
    <n v="6752.7"/>
  </r>
  <r>
    <x v="1"/>
    <x v="0"/>
    <x v="2"/>
    <n v="234"/>
    <n v="18"/>
    <n v="7.69"/>
    <n v="39.69"/>
    <n v="9287.4599999999991"/>
  </r>
  <r>
    <x v="0"/>
    <x v="0"/>
    <x v="0"/>
    <n v="103"/>
    <n v="1"/>
    <n v="0.97"/>
    <n v="9.19"/>
    <n v="946.57"/>
  </r>
  <r>
    <x v="1"/>
    <x v="0"/>
    <x v="1"/>
    <n v="226"/>
    <n v="11"/>
    <n v="4.87"/>
    <n v="18.38"/>
    <n v="4153.88"/>
  </r>
  <r>
    <x v="1"/>
    <x v="0"/>
    <x v="1"/>
    <n v="180"/>
    <n v="16"/>
    <n v="8.89"/>
    <n v="22.33"/>
    <n v="4019.4"/>
  </r>
  <r>
    <x v="1"/>
    <x v="0"/>
    <x v="2"/>
    <n v="295"/>
    <n v="17"/>
    <n v="5.76"/>
    <n v="53.99"/>
    <n v="15927.05"/>
  </r>
  <r>
    <x v="2"/>
    <x v="0"/>
    <x v="2"/>
    <n v="246"/>
    <n v="2"/>
    <n v="0.81"/>
    <n v="31.64"/>
    <n v="7783.44"/>
  </r>
  <r>
    <x v="0"/>
    <x v="0"/>
    <x v="0"/>
    <n v="217"/>
    <n v="2"/>
    <n v="0.92"/>
    <n v="24.63"/>
    <n v="5344.71"/>
  </r>
  <r>
    <x v="1"/>
    <x v="0"/>
    <x v="2"/>
    <n v="93"/>
    <n v="4"/>
    <n v="4.3"/>
    <n v="40.39"/>
    <n v="3756.27"/>
  </r>
  <r>
    <x v="3"/>
    <x v="0"/>
    <x v="2"/>
    <n v="234"/>
    <n v="7"/>
    <n v="2.99"/>
    <n v="68.11"/>
    <n v="15937.74"/>
  </r>
  <r>
    <x v="1"/>
    <x v="0"/>
    <x v="1"/>
    <n v="236"/>
    <n v="18"/>
    <n v="7.63"/>
    <n v="40.049999999999997"/>
    <n v="9451.7999999999993"/>
  </r>
  <r>
    <x v="0"/>
    <x v="0"/>
    <x v="2"/>
    <n v="283"/>
    <n v="7"/>
    <n v="2.4700000000000002"/>
    <n v="42.48"/>
    <n v="12021.84"/>
  </r>
  <r>
    <x v="0"/>
    <x v="0"/>
    <x v="0"/>
    <n v="127"/>
    <n v="1"/>
    <n v="0.79"/>
    <n v="26.95"/>
    <n v="3422.65"/>
  </r>
  <r>
    <x v="0"/>
    <x v="0"/>
    <x v="0"/>
    <n v="221"/>
    <n v="6"/>
    <n v="2.71"/>
    <n v="33.24"/>
    <n v="7346.04"/>
  </r>
  <r>
    <x v="0"/>
    <x v="0"/>
    <x v="2"/>
    <n v="67"/>
    <n v="3"/>
    <n v="4.4800000000000004"/>
    <n v="37.119999999999997"/>
    <n v="2487.04"/>
  </r>
  <r>
    <x v="3"/>
    <x v="0"/>
    <x v="2"/>
    <n v="100"/>
    <n v="3"/>
    <n v="3"/>
    <n v="63.49"/>
    <n v="6349"/>
  </r>
  <r>
    <x v="3"/>
    <x v="0"/>
    <x v="2"/>
    <n v="79"/>
    <n v="5"/>
    <n v="6.33"/>
    <n v="19.57"/>
    <n v="1546.03"/>
  </r>
  <r>
    <x v="3"/>
    <x v="0"/>
    <x v="2"/>
    <n v="251"/>
    <n v="20"/>
    <n v="7.97"/>
    <n v="23.13"/>
    <n v="5805.63"/>
  </r>
  <r>
    <x v="0"/>
    <x v="0"/>
    <x v="0"/>
    <n v="295"/>
    <n v="25"/>
    <n v="8.4700000000000006"/>
    <n v="26.16"/>
    <n v="7717.2"/>
  </r>
  <r>
    <x v="1"/>
    <x v="0"/>
    <x v="1"/>
    <n v="211"/>
    <n v="0"/>
    <n v="0"/>
    <n v="58.99"/>
    <n v="12446.89"/>
  </r>
  <r>
    <x v="0"/>
    <x v="0"/>
    <x v="0"/>
    <n v="100"/>
    <n v="4"/>
    <n v="4"/>
    <n v="59.24"/>
    <n v="5924"/>
  </r>
  <r>
    <x v="3"/>
    <x v="0"/>
    <x v="2"/>
    <n v="258"/>
    <n v="5"/>
    <n v="1.94"/>
    <n v="32.49"/>
    <n v="8382.42"/>
  </r>
  <r>
    <x v="1"/>
    <x v="0"/>
    <x v="1"/>
    <n v="70"/>
    <n v="3"/>
    <n v="4.29"/>
    <n v="50.55"/>
    <n v="3538.5"/>
  </r>
  <r>
    <x v="0"/>
    <x v="0"/>
    <x v="2"/>
    <n v="298"/>
    <n v="13"/>
    <n v="4.3600000000000003"/>
    <n v="34.06"/>
    <n v="10149.879999999999"/>
  </r>
  <r>
    <x v="3"/>
    <x v="0"/>
    <x v="2"/>
    <n v="276"/>
    <n v="25"/>
    <n v="9.06"/>
    <n v="20.22"/>
    <n v="5580.72"/>
  </r>
  <r>
    <x v="1"/>
    <x v="0"/>
    <x v="1"/>
    <n v="176"/>
    <n v="13"/>
    <n v="7.39"/>
    <n v="6.11"/>
    <n v="1075.3599999999999"/>
  </r>
  <r>
    <x v="1"/>
    <x v="0"/>
    <x v="1"/>
    <n v="117"/>
    <n v="3"/>
    <n v="2.56"/>
    <n v="18.170000000000002"/>
    <n v="2125.89"/>
  </r>
  <r>
    <x v="0"/>
    <x v="0"/>
    <x v="0"/>
    <n v="191"/>
    <n v="7"/>
    <n v="3.66"/>
    <n v="21.67"/>
    <n v="4138.97"/>
  </r>
  <r>
    <x v="0"/>
    <x v="0"/>
    <x v="0"/>
    <n v="56"/>
    <n v="2"/>
    <n v="3.57"/>
    <n v="6.45"/>
    <n v="361.2"/>
  </r>
  <r>
    <x v="0"/>
    <x v="0"/>
    <x v="2"/>
    <n v="124"/>
    <n v="1"/>
    <n v="0.81"/>
    <n v="5.99"/>
    <n v="742.76"/>
  </r>
  <r>
    <x v="3"/>
    <x v="0"/>
    <x v="2"/>
    <n v="267"/>
    <n v="18"/>
    <n v="6.74"/>
    <n v="45.24"/>
    <n v="12079.08"/>
  </r>
  <r>
    <x v="0"/>
    <x v="0"/>
    <x v="2"/>
    <n v="254"/>
    <n v="1"/>
    <n v="0.39"/>
    <n v="11.94"/>
    <n v="3032.76"/>
  </r>
  <r>
    <x v="2"/>
    <x v="0"/>
    <x v="2"/>
    <n v="154"/>
    <n v="11"/>
    <n v="7.14"/>
    <n v="17.39"/>
    <n v="2678.06"/>
  </r>
  <r>
    <x v="0"/>
    <x v="0"/>
    <x v="0"/>
    <n v="145"/>
    <n v="9"/>
    <n v="6.21"/>
    <n v="23.91"/>
    <n v="3466.95"/>
  </r>
  <r>
    <x v="2"/>
    <x v="0"/>
    <x v="2"/>
    <n v="159"/>
    <n v="15"/>
    <n v="9.43"/>
    <n v="5.51"/>
    <n v="876.09"/>
  </r>
  <r>
    <x v="1"/>
    <x v="0"/>
    <x v="1"/>
    <n v="203"/>
    <n v="11"/>
    <n v="5.42"/>
    <n v="46.07"/>
    <n v="9352.2099999999991"/>
  </r>
  <r>
    <x v="0"/>
    <x v="0"/>
    <x v="2"/>
    <n v="215"/>
    <n v="15"/>
    <n v="6.98"/>
    <n v="52.34"/>
    <n v="11253.1"/>
  </r>
  <r>
    <x v="1"/>
    <x v="0"/>
    <x v="1"/>
    <n v="237"/>
    <n v="0"/>
    <n v="0"/>
    <n v="62.75"/>
    <n v="14871.75"/>
  </r>
  <r>
    <x v="1"/>
    <x v="0"/>
    <x v="2"/>
    <n v="69"/>
    <n v="0"/>
    <n v="0"/>
    <n v="40.47"/>
    <n v="2792.43"/>
  </r>
  <r>
    <x v="3"/>
    <x v="0"/>
    <x v="2"/>
    <n v="72"/>
    <n v="4"/>
    <n v="5.56"/>
    <n v="69.3"/>
    <n v="4989.6000000000004"/>
  </r>
  <r>
    <x v="1"/>
    <x v="0"/>
    <x v="2"/>
    <n v="148"/>
    <n v="0"/>
    <n v="0"/>
    <n v="49.48"/>
    <n v="7323.04"/>
  </r>
  <r>
    <x v="1"/>
    <x v="0"/>
    <x v="2"/>
    <n v="242"/>
    <n v="13"/>
    <n v="5.37"/>
    <n v="29.44"/>
    <n v="7124.48"/>
  </r>
  <r>
    <x v="0"/>
    <x v="0"/>
    <x v="2"/>
    <n v="252"/>
    <n v="14"/>
    <n v="5.56"/>
    <n v="50.22"/>
    <n v="12655.44"/>
  </r>
  <r>
    <x v="1"/>
    <x v="0"/>
    <x v="2"/>
    <n v="191"/>
    <n v="10"/>
    <n v="5.24"/>
    <n v="9.4700000000000006"/>
    <n v="1808.77"/>
  </r>
  <r>
    <x v="1"/>
    <x v="0"/>
    <x v="2"/>
    <n v="228"/>
    <n v="15"/>
    <n v="6.58"/>
    <n v="68.09"/>
    <n v="15524.52"/>
  </r>
  <r>
    <x v="1"/>
    <x v="0"/>
    <x v="2"/>
    <n v="213"/>
    <n v="12"/>
    <n v="5.63"/>
    <n v="21.53"/>
    <n v="4585.8900000000003"/>
  </r>
  <r>
    <x v="0"/>
    <x v="0"/>
    <x v="0"/>
    <n v="129"/>
    <n v="2"/>
    <n v="1.55"/>
    <n v="47.92"/>
    <n v="6181.68"/>
  </r>
  <r>
    <x v="0"/>
    <x v="0"/>
    <x v="0"/>
    <n v="157"/>
    <n v="14"/>
    <n v="8.92"/>
    <n v="65.55"/>
    <n v="10291.35"/>
  </r>
  <r>
    <x v="2"/>
    <x v="0"/>
    <x v="2"/>
    <n v="197"/>
    <n v="2"/>
    <n v="1.02"/>
    <n v="32.32"/>
    <n v="6367.04"/>
  </r>
  <r>
    <x v="1"/>
    <x v="0"/>
    <x v="2"/>
    <n v="292"/>
    <n v="3"/>
    <n v="1.03"/>
    <n v="25.21"/>
    <n v="7361.32"/>
  </r>
  <r>
    <x v="2"/>
    <x v="0"/>
    <x v="2"/>
    <n v="145"/>
    <n v="10"/>
    <n v="6.9"/>
    <n v="48.34"/>
    <n v="7009.3"/>
  </r>
  <r>
    <x v="1"/>
    <x v="0"/>
    <x v="2"/>
    <n v="121"/>
    <n v="8"/>
    <n v="6.61"/>
    <n v="49.34"/>
    <n v="5970.14"/>
  </r>
  <r>
    <x v="2"/>
    <x v="0"/>
    <x v="2"/>
    <n v="154"/>
    <n v="7"/>
    <n v="4.55"/>
    <n v="41.45"/>
    <n v="6383.3"/>
  </r>
  <r>
    <x v="3"/>
    <x v="0"/>
    <x v="2"/>
    <n v="57"/>
    <n v="1"/>
    <n v="1.75"/>
    <n v="20.89"/>
    <n v="1190.73"/>
  </r>
  <r>
    <x v="3"/>
    <x v="0"/>
    <x v="2"/>
    <n v="284"/>
    <n v="21"/>
    <n v="7.39"/>
    <n v="58.19"/>
    <n v="16525.96"/>
  </r>
  <r>
    <x v="0"/>
    <x v="0"/>
    <x v="0"/>
    <n v="261"/>
    <n v="10"/>
    <n v="3.83"/>
    <n v="13.17"/>
    <n v="3437.37"/>
  </r>
  <r>
    <x v="1"/>
    <x v="0"/>
    <x v="2"/>
    <n v="205"/>
    <n v="7"/>
    <n v="3.41"/>
    <n v="62.45"/>
    <n v="12802.25"/>
  </r>
  <r>
    <x v="2"/>
    <x v="0"/>
    <x v="2"/>
    <n v="167"/>
    <n v="11"/>
    <n v="6.59"/>
    <n v="24.34"/>
    <n v="4064.78"/>
  </r>
  <r>
    <x v="1"/>
    <x v="0"/>
    <x v="1"/>
    <n v="238"/>
    <n v="5"/>
    <n v="2.1"/>
    <n v="7.28"/>
    <n v="1732.64"/>
  </r>
  <r>
    <x v="1"/>
    <x v="0"/>
    <x v="1"/>
    <n v="231"/>
    <n v="1"/>
    <n v="0.43"/>
    <n v="60.97"/>
    <n v="14084.07"/>
  </r>
  <r>
    <x v="1"/>
    <x v="0"/>
    <x v="2"/>
    <n v="229"/>
    <n v="9"/>
    <n v="3.93"/>
    <n v="36"/>
    <n v="8244"/>
  </r>
  <r>
    <x v="0"/>
    <x v="0"/>
    <x v="2"/>
    <n v="69"/>
    <n v="4"/>
    <n v="5.8"/>
    <n v="34.729999999999997"/>
    <n v="2396.37"/>
  </r>
  <r>
    <x v="0"/>
    <x v="0"/>
    <x v="2"/>
    <n v="203"/>
    <n v="2"/>
    <n v="0.99"/>
    <n v="62.53"/>
    <n v="12693.59"/>
  </r>
  <r>
    <x v="2"/>
    <x v="0"/>
    <x v="2"/>
    <n v="251"/>
    <n v="0"/>
    <n v="0"/>
    <n v="48.45"/>
    <n v="12160.95"/>
  </r>
  <r>
    <x v="0"/>
    <x v="0"/>
    <x v="2"/>
    <n v="164"/>
    <n v="8"/>
    <n v="4.88"/>
    <n v="25.26"/>
    <n v="4142.6400000000003"/>
  </r>
  <r>
    <x v="2"/>
    <x v="0"/>
    <x v="2"/>
    <n v="138"/>
    <n v="3"/>
    <n v="2.17"/>
    <n v="26.77"/>
    <n v="3694.26"/>
  </r>
  <r>
    <x v="0"/>
    <x v="0"/>
    <x v="2"/>
    <n v="178"/>
    <n v="8"/>
    <n v="4.49"/>
    <n v="11.09"/>
    <n v="1974.02"/>
  </r>
  <r>
    <x v="1"/>
    <x v="0"/>
    <x v="2"/>
    <n v="100"/>
    <n v="7"/>
    <n v="7"/>
    <n v="19.7"/>
    <n v="1970"/>
  </r>
  <r>
    <x v="2"/>
    <x v="0"/>
    <x v="2"/>
    <n v="258"/>
    <n v="18"/>
    <n v="6.98"/>
    <n v="54.34"/>
    <n v="14019.72"/>
  </r>
  <r>
    <x v="0"/>
    <x v="0"/>
    <x v="0"/>
    <n v="56"/>
    <n v="4"/>
    <n v="7.14"/>
    <n v="56.46"/>
    <n v="3161.76"/>
  </r>
  <r>
    <x v="0"/>
    <x v="0"/>
    <x v="2"/>
    <n v="100"/>
    <n v="1"/>
    <n v="1"/>
    <n v="39.07"/>
    <n v="3907"/>
  </r>
  <r>
    <x v="0"/>
    <x v="0"/>
    <x v="0"/>
    <n v="236"/>
    <n v="9"/>
    <n v="3.81"/>
    <n v="43.84"/>
    <n v="10346.24"/>
  </r>
  <r>
    <x v="0"/>
    <x v="0"/>
    <x v="0"/>
    <n v="225"/>
    <n v="1"/>
    <n v="0.44"/>
    <n v="24.99"/>
    <n v="5622.75"/>
  </r>
  <r>
    <x v="2"/>
    <x v="0"/>
    <x v="2"/>
    <n v="96"/>
    <n v="1"/>
    <n v="1.04"/>
    <n v="12.68"/>
    <n v="1217.28"/>
  </r>
  <r>
    <x v="2"/>
    <x v="0"/>
    <x v="2"/>
    <n v="124"/>
    <n v="2"/>
    <n v="1.61"/>
    <n v="67.55"/>
    <n v="8376.2000000000007"/>
  </r>
  <r>
    <x v="2"/>
    <x v="0"/>
    <x v="2"/>
    <n v="89"/>
    <n v="7"/>
    <n v="7.87"/>
    <n v="62.11"/>
    <n v="5527.79"/>
  </r>
  <r>
    <x v="2"/>
    <x v="0"/>
    <x v="2"/>
    <n v="202"/>
    <n v="16"/>
    <n v="7.92"/>
    <n v="52.12"/>
    <n v="10528.24"/>
  </r>
  <r>
    <x v="1"/>
    <x v="0"/>
    <x v="1"/>
    <n v="211"/>
    <n v="6"/>
    <n v="2.84"/>
    <n v="67.16"/>
    <n v="14170.76"/>
  </r>
  <r>
    <x v="0"/>
    <x v="0"/>
    <x v="2"/>
    <n v="238"/>
    <n v="1"/>
    <n v="0.42"/>
    <n v="63.71"/>
    <n v="15162.98"/>
  </r>
  <r>
    <x v="2"/>
    <x v="0"/>
    <x v="2"/>
    <n v="230"/>
    <n v="13"/>
    <n v="5.65"/>
    <n v="34.68"/>
    <n v="7976.4"/>
  </r>
  <r>
    <x v="0"/>
    <x v="0"/>
    <x v="0"/>
    <n v="206"/>
    <n v="11"/>
    <n v="5.34"/>
    <n v="13.55"/>
    <n v="2791.3"/>
  </r>
  <r>
    <x v="2"/>
    <x v="0"/>
    <x v="2"/>
    <n v="194"/>
    <n v="0"/>
    <n v="0"/>
    <n v="12.53"/>
    <n v="2430.8200000000002"/>
  </r>
  <r>
    <x v="3"/>
    <x v="0"/>
    <x v="2"/>
    <n v="270"/>
    <n v="2"/>
    <n v="0.74"/>
    <n v="54.76"/>
    <n v="14785.2"/>
  </r>
  <r>
    <x v="0"/>
    <x v="0"/>
    <x v="0"/>
    <n v="89"/>
    <n v="6"/>
    <n v="6.74"/>
    <n v="60.98"/>
    <n v="5427.22"/>
  </r>
  <r>
    <x v="2"/>
    <x v="0"/>
    <x v="2"/>
    <n v="168"/>
    <n v="1"/>
    <n v="0.6"/>
    <n v="64.58"/>
    <n v="10849.44"/>
  </r>
  <r>
    <x v="0"/>
    <x v="0"/>
    <x v="0"/>
    <n v="286"/>
    <n v="27"/>
    <n v="9.44"/>
    <n v="14.4"/>
    <n v="4118.3999999999996"/>
  </r>
  <r>
    <x v="3"/>
    <x v="0"/>
    <x v="2"/>
    <n v="250"/>
    <n v="7"/>
    <n v="2.8"/>
    <n v="65"/>
    <n v="16250"/>
  </r>
  <r>
    <x v="1"/>
    <x v="0"/>
    <x v="2"/>
    <n v="225"/>
    <n v="15"/>
    <n v="6.67"/>
    <n v="9.18"/>
    <n v="2065.5"/>
  </r>
  <r>
    <x v="2"/>
    <x v="0"/>
    <x v="2"/>
    <n v="65"/>
    <n v="0"/>
    <n v="0"/>
    <n v="62.45"/>
    <n v="4059.25"/>
  </r>
  <r>
    <x v="3"/>
    <x v="0"/>
    <x v="2"/>
    <n v="71"/>
    <n v="2"/>
    <n v="2.82"/>
    <n v="45.7"/>
    <n v="3244.7"/>
  </r>
  <r>
    <x v="0"/>
    <x v="0"/>
    <x v="2"/>
    <n v="187"/>
    <n v="6"/>
    <n v="3.21"/>
    <n v="43.52"/>
    <n v="8138.24"/>
  </r>
  <r>
    <x v="0"/>
    <x v="0"/>
    <x v="2"/>
    <n v="187"/>
    <n v="0"/>
    <n v="0"/>
    <n v="18.7"/>
    <n v="3496.9"/>
  </r>
  <r>
    <x v="0"/>
    <x v="0"/>
    <x v="2"/>
    <n v="136"/>
    <n v="1"/>
    <n v="0.74"/>
    <n v="10.77"/>
    <n v="1464.72"/>
  </r>
  <r>
    <x v="1"/>
    <x v="0"/>
    <x v="2"/>
    <n v="150"/>
    <n v="9"/>
    <n v="6"/>
    <n v="41.69"/>
    <n v="6253.5"/>
  </r>
  <r>
    <x v="0"/>
    <x v="0"/>
    <x v="2"/>
    <n v="266"/>
    <n v="15"/>
    <n v="5.64"/>
    <n v="41.61"/>
    <n v="11068.26"/>
  </r>
  <r>
    <x v="0"/>
    <x v="0"/>
    <x v="2"/>
    <n v="212"/>
    <n v="20"/>
    <n v="9.43"/>
    <n v="34.08"/>
    <n v="7224.96"/>
  </r>
  <r>
    <x v="0"/>
    <x v="0"/>
    <x v="0"/>
    <n v="173"/>
    <n v="7"/>
    <n v="4.05"/>
    <n v="39.64"/>
    <n v="6857.72"/>
  </r>
  <r>
    <x v="1"/>
    <x v="0"/>
    <x v="1"/>
    <n v="168"/>
    <n v="7"/>
    <n v="4.17"/>
    <n v="6.91"/>
    <n v="1160.8800000000001"/>
  </r>
  <r>
    <x v="1"/>
    <x v="0"/>
    <x v="1"/>
    <n v="191"/>
    <n v="0"/>
    <n v="0"/>
    <n v="8.6199999999999992"/>
    <n v="1646.42"/>
  </r>
  <r>
    <x v="3"/>
    <x v="0"/>
    <x v="2"/>
    <n v="259"/>
    <n v="22"/>
    <n v="8.49"/>
    <n v="25.47"/>
    <n v="6596.73"/>
  </r>
  <r>
    <x v="0"/>
    <x v="0"/>
    <x v="0"/>
    <n v="97"/>
    <n v="6"/>
    <n v="6.19"/>
    <n v="65.5"/>
    <n v="6353.5"/>
  </r>
  <r>
    <x v="2"/>
    <x v="0"/>
    <x v="2"/>
    <n v="162"/>
    <n v="10"/>
    <n v="6.17"/>
    <n v="27.11"/>
    <n v="4391.82"/>
  </r>
  <r>
    <x v="3"/>
    <x v="0"/>
    <x v="2"/>
    <n v="247"/>
    <n v="10"/>
    <n v="4.05"/>
    <n v="56.28"/>
    <n v="13901.16"/>
  </r>
  <r>
    <x v="2"/>
    <x v="0"/>
    <x v="2"/>
    <n v="288"/>
    <n v="21"/>
    <n v="7.29"/>
    <n v="50.97"/>
    <n v="14679.36"/>
  </r>
  <r>
    <x v="3"/>
    <x v="0"/>
    <x v="2"/>
    <n v="135"/>
    <n v="8"/>
    <n v="5.93"/>
    <n v="40.78"/>
    <n v="5505.3"/>
  </r>
  <r>
    <x v="3"/>
    <x v="0"/>
    <x v="2"/>
    <n v="168"/>
    <n v="4"/>
    <n v="2.38"/>
    <n v="15.28"/>
    <n v="2567.04"/>
  </r>
  <r>
    <x v="1"/>
    <x v="0"/>
    <x v="2"/>
    <n v="272"/>
    <n v="3"/>
    <n v="1.1000000000000001"/>
    <n v="69.459999999999994"/>
    <n v="18893.12"/>
  </r>
  <r>
    <x v="2"/>
    <x v="0"/>
    <x v="2"/>
    <n v="199"/>
    <n v="11"/>
    <n v="5.53"/>
    <n v="64.64"/>
    <n v="12863.36"/>
  </r>
  <r>
    <x v="0"/>
    <x v="0"/>
    <x v="2"/>
    <n v="219"/>
    <n v="7"/>
    <n v="3.2"/>
    <n v="19.95"/>
    <n v="4369.05"/>
  </r>
  <r>
    <x v="1"/>
    <x v="0"/>
    <x v="1"/>
    <n v="161"/>
    <n v="8"/>
    <n v="4.97"/>
    <n v="19.010000000000002"/>
    <n v="3060.61"/>
  </r>
  <r>
    <x v="0"/>
    <x v="0"/>
    <x v="2"/>
    <n v="288"/>
    <n v="20"/>
    <n v="6.94"/>
    <n v="20.39"/>
    <n v="5872.32"/>
  </r>
  <r>
    <x v="3"/>
    <x v="0"/>
    <x v="2"/>
    <n v="56"/>
    <n v="2"/>
    <n v="3.57"/>
    <n v="29.78"/>
    <n v="1667.68"/>
  </r>
  <r>
    <x v="2"/>
    <x v="0"/>
    <x v="2"/>
    <n v="160"/>
    <n v="14"/>
    <n v="8.75"/>
    <n v="44.4"/>
    <n v="7104"/>
  </r>
  <r>
    <x v="1"/>
    <x v="0"/>
    <x v="2"/>
    <n v="286"/>
    <n v="23"/>
    <n v="8.0399999999999991"/>
    <n v="35.92"/>
    <n v="10273.120000000001"/>
  </r>
  <r>
    <x v="1"/>
    <x v="0"/>
    <x v="2"/>
    <n v="133"/>
    <n v="7"/>
    <n v="5.26"/>
    <n v="24.13"/>
    <n v="3209.29"/>
  </r>
  <r>
    <x v="1"/>
    <x v="0"/>
    <x v="1"/>
    <n v="225"/>
    <n v="20"/>
    <n v="8.89"/>
    <n v="12.11"/>
    <n v="2724.75"/>
  </r>
  <r>
    <x v="0"/>
    <x v="0"/>
    <x v="0"/>
    <n v="187"/>
    <n v="16"/>
    <n v="8.56"/>
    <n v="53.21"/>
    <n v="9950.27"/>
  </r>
  <r>
    <x v="2"/>
    <x v="0"/>
    <x v="2"/>
    <n v="205"/>
    <n v="14"/>
    <n v="6.83"/>
    <n v="9.4499999999999993"/>
    <n v="1937.25"/>
  </r>
  <r>
    <x v="1"/>
    <x v="0"/>
    <x v="1"/>
    <n v="165"/>
    <n v="13"/>
    <n v="7.88"/>
    <n v="10.6"/>
    <n v="1749"/>
  </r>
  <r>
    <x v="1"/>
    <x v="0"/>
    <x v="1"/>
    <n v="285"/>
    <n v="9"/>
    <n v="3.16"/>
    <n v="51.13"/>
    <n v="14572.05"/>
  </r>
  <r>
    <x v="3"/>
    <x v="0"/>
    <x v="2"/>
    <n v="288"/>
    <n v="23"/>
    <n v="7.99"/>
    <n v="64.48"/>
    <n v="18570.240000000002"/>
  </r>
  <r>
    <x v="1"/>
    <x v="0"/>
    <x v="2"/>
    <n v="166"/>
    <n v="14"/>
    <n v="8.43"/>
    <n v="62.98"/>
    <n v="10454.68"/>
  </r>
  <r>
    <x v="1"/>
    <x v="0"/>
    <x v="2"/>
    <n v="241"/>
    <n v="6"/>
    <n v="2.4900000000000002"/>
    <n v="15.13"/>
    <n v="3646.33"/>
  </r>
  <r>
    <x v="0"/>
    <x v="0"/>
    <x v="2"/>
    <n v="267"/>
    <n v="25"/>
    <n v="9.36"/>
    <n v="59.42"/>
    <n v="15865.14"/>
  </r>
  <r>
    <x v="3"/>
    <x v="0"/>
    <x v="2"/>
    <n v="106"/>
    <n v="0"/>
    <n v="0"/>
    <n v="9.61"/>
    <n v="1018.66"/>
  </r>
  <r>
    <x v="0"/>
    <x v="0"/>
    <x v="0"/>
    <n v="138"/>
    <n v="5"/>
    <n v="3.62"/>
    <n v="31.83"/>
    <n v="4392.54"/>
  </r>
  <r>
    <x v="0"/>
    <x v="0"/>
    <x v="0"/>
    <n v="212"/>
    <n v="19"/>
    <n v="8.9600000000000009"/>
    <n v="17.73"/>
    <n v="3758.76"/>
  </r>
  <r>
    <x v="1"/>
    <x v="0"/>
    <x v="2"/>
    <n v="265"/>
    <n v="10"/>
    <n v="3.77"/>
    <n v="9.35"/>
    <n v="2477.75"/>
  </r>
  <r>
    <x v="2"/>
    <x v="0"/>
    <x v="2"/>
    <n v="121"/>
    <n v="5"/>
    <n v="4.13"/>
    <n v="56.68"/>
    <n v="6858.28"/>
  </r>
  <r>
    <x v="1"/>
    <x v="0"/>
    <x v="2"/>
    <n v="60"/>
    <n v="0"/>
    <n v="0"/>
    <n v="15.64"/>
    <n v="938.4"/>
  </r>
  <r>
    <x v="1"/>
    <x v="0"/>
    <x v="1"/>
    <n v="137"/>
    <n v="0"/>
    <n v="0"/>
    <n v="9.33"/>
    <n v="1278.21"/>
  </r>
  <r>
    <x v="1"/>
    <x v="0"/>
    <x v="2"/>
    <n v="173"/>
    <n v="6"/>
    <n v="3.47"/>
    <n v="18.87"/>
    <n v="3264.51"/>
  </r>
  <r>
    <x v="3"/>
    <x v="0"/>
    <x v="2"/>
    <n v="67"/>
    <n v="5"/>
    <n v="7.46"/>
    <n v="45.42"/>
    <n v="3043.14"/>
  </r>
  <r>
    <x v="1"/>
    <x v="0"/>
    <x v="1"/>
    <n v="75"/>
    <n v="1"/>
    <n v="1.33"/>
    <n v="36.6"/>
    <n v="2745"/>
  </r>
  <r>
    <x v="3"/>
    <x v="0"/>
    <x v="2"/>
    <n v="268"/>
    <n v="9"/>
    <n v="3.36"/>
    <n v="64.06"/>
    <n v="17168.080000000002"/>
  </r>
  <r>
    <x v="2"/>
    <x v="0"/>
    <x v="2"/>
    <n v="75"/>
    <n v="0"/>
    <n v="0"/>
    <n v="43.99"/>
    <n v="3299.25"/>
  </r>
  <r>
    <x v="2"/>
    <x v="0"/>
    <x v="2"/>
    <n v="239"/>
    <n v="15"/>
    <n v="6.28"/>
    <n v="51.72"/>
    <n v="12361.08"/>
  </r>
  <r>
    <x v="1"/>
    <x v="0"/>
    <x v="1"/>
    <n v="158"/>
    <n v="8"/>
    <n v="5.0599999999999996"/>
    <n v="42.11"/>
    <n v="6653.38"/>
  </r>
  <r>
    <x v="0"/>
    <x v="0"/>
    <x v="0"/>
    <n v="133"/>
    <n v="13"/>
    <n v="9.77"/>
    <n v="53.22"/>
    <n v="7078.26"/>
  </r>
  <r>
    <x v="0"/>
    <x v="0"/>
    <x v="2"/>
    <n v="163"/>
    <n v="2"/>
    <n v="1.23"/>
    <n v="5.84"/>
    <n v="951.92"/>
  </r>
  <r>
    <x v="0"/>
    <x v="0"/>
    <x v="0"/>
    <n v="70"/>
    <n v="5"/>
    <n v="7.14"/>
    <n v="37.299999999999997"/>
    <n v="2611"/>
  </r>
  <r>
    <x v="0"/>
    <x v="0"/>
    <x v="0"/>
    <n v="291"/>
    <n v="24"/>
    <n v="8.25"/>
    <n v="51.22"/>
    <n v="14905.02"/>
  </r>
  <r>
    <x v="0"/>
    <x v="0"/>
    <x v="2"/>
    <n v="78"/>
    <n v="1"/>
    <n v="1.28"/>
    <n v="17.899999999999999"/>
    <n v="1396.2"/>
  </r>
  <r>
    <x v="3"/>
    <x v="0"/>
    <x v="2"/>
    <n v="249"/>
    <n v="20"/>
    <n v="8.0299999999999994"/>
    <n v="23.08"/>
    <n v="5746.92"/>
  </r>
  <r>
    <x v="2"/>
    <x v="0"/>
    <x v="2"/>
    <n v="123"/>
    <n v="11"/>
    <n v="8.94"/>
    <n v="47.89"/>
    <n v="5890.47"/>
  </r>
  <r>
    <x v="0"/>
    <x v="0"/>
    <x v="0"/>
    <n v="91"/>
    <n v="9"/>
    <n v="9.89"/>
    <n v="16.66"/>
    <n v="1516.06"/>
  </r>
  <r>
    <x v="2"/>
    <x v="0"/>
    <x v="2"/>
    <n v="174"/>
    <n v="4"/>
    <n v="2.2999999999999998"/>
    <n v="66.260000000000005"/>
    <n v="11529.24"/>
  </r>
  <r>
    <x v="0"/>
    <x v="0"/>
    <x v="2"/>
    <n v="277"/>
    <n v="4"/>
    <n v="1.44"/>
    <n v="56.67"/>
    <n v="15697.59"/>
  </r>
  <r>
    <x v="0"/>
    <x v="0"/>
    <x v="2"/>
    <n v="269"/>
    <n v="16"/>
    <n v="5.95"/>
    <n v="60.28"/>
    <n v="16215.32"/>
  </r>
  <r>
    <x v="2"/>
    <x v="0"/>
    <x v="2"/>
    <n v="206"/>
    <n v="12"/>
    <n v="5.83"/>
    <n v="49.22"/>
    <n v="10139.32"/>
  </r>
  <r>
    <x v="3"/>
    <x v="0"/>
    <x v="2"/>
    <n v="201"/>
    <n v="14"/>
    <n v="6.97"/>
    <n v="8.3800000000000008"/>
    <n v="1684.38"/>
  </r>
  <r>
    <x v="0"/>
    <x v="0"/>
    <x v="2"/>
    <n v="191"/>
    <n v="18"/>
    <n v="9.42"/>
    <n v="34.03"/>
    <n v="6499.73"/>
  </r>
  <r>
    <x v="0"/>
    <x v="0"/>
    <x v="2"/>
    <n v="270"/>
    <n v="15"/>
    <n v="5.56"/>
    <n v="12.64"/>
    <n v="3412.8"/>
  </r>
  <r>
    <x v="1"/>
    <x v="0"/>
    <x v="1"/>
    <n v="128"/>
    <n v="1"/>
    <n v="0.78"/>
    <n v="21.83"/>
    <n v="2794.24"/>
  </r>
  <r>
    <x v="3"/>
    <x v="0"/>
    <x v="2"/>
    <n v="90"/>
    <n v="2"/>
    <n v="2.2200000000000002"/>
    <n v="14.68"/>
    <n v="1321.2"/>
  </r>
  <r>
    <x v="0"/>
    <x v="0"/>
    <x v="2"/>
    <n v="240"/>
    <n v="2"/>
    <n v="0.83"/>
    <n v="29.84"/>
    <n v="7161.6"/>
  </r>
  <r>
    <x v="0"/>
    <x v="0"/>
    <x v="0"/>
    <n v="299"/>
    <n v="13"/>
    <n v="4.3499999999999996"/>
    <n v="26.23"/>
    <n v="7842.77"/>
  </r>
  <r>
    <x v="0"/>
    <x v="0"/>
    <x v="0"/>
    <n v="66"/>
    <n v="0"/>
    <n v="0"/>
    <n v="9.93"/>
    <n v="655.38"/>
  </r>
  <r>
    <x v="2"/>
    <x v="0"/>
    <x v="2"/>
    <n v="118"/>
    <n v="9"/>
    <n v="7.63"/>
    <n v="60.24"/>
    <n v="7108.32"/>
  </r>
  <r>
    <x v="0"/>
    <x v="0"/>
    <x v="0"/>
    <n v="95"/>
    <n v="1"/>
    <n v="1.05"/>
    <n v="40.03"/>
    <n v="3802.85"/>
  </r>
  <r>
    <x v="1"/>
    <x v="0"/>
    <x v="2"/>
    <n v="75"/>
    <n v="1"/>
    <n v="1.33"/>
    <n v="46.67"/>
    <n v="3500.25"/>
  </r>
  <r>
    <x v="3"/>
    <x v="0"/>
    <x v="2"/>
    <n v="54"/>
    <n v="0"/>
    <n v="0"/>
    <n v="46.2"/>
    <n v="2494.8000000000002"/>
  </r>
  <r>
    <x v="1"/>
    <x v="0"/>
    <x v="1"/>
    <n v="107"/>
    <n v="4"/>
    <n v="3.74"/>
    <n v="61.09"/>
    <n v="6536.63"/>
  </r>
  <r>
    <x v="0"/>
    <x v="0"/>
    <x v="0"/>
    <n v="74"/>
    <n v="5"/>
    <n v="6.76"/>
    <n v="21.24"/>
    <n v="1571.76"/>
  </r>
  <r>
    <x v="0"/>
    <x v="0"/>
    <x v="0"/>
    <n v="82"/>
    <n v="3"/>
    <n v="3.66"/>
    <n v="29.91"/>
    <n v="2452.62"/>
  </r>
  <r>
    <x v="1"/>
    <x v="0"/>
    <x v="2"/>
    <n v="54"/>
    <n v="0"/>
    <n v="0"/>
    <n v="63.19"/>
    <n v="3412.26"/>
  </r>
  <r>
    <x v="1"/>
    <x v="0"/>
    <x v="1"/>
    <n v="143"/>
    <n v="8"/>
    <n v="5.59"/>
    <n v="6.33"/>
    <n v="905.19"/>
  </r>
  <r>
    <x v="0"/>
    <x v="0"/>
    <x v="2"/>
    <n v="237"/>
    <n v="6"/>
    <n v="2.5299999999999998"/>
    <n v="40.72"/>
    <n v="9650.64"/>
  </r>
  <r>
    <x v="2"/>
    <x v="0"/>
    <x v="2"/>
    <n v="130"/>
    <n v="5"/>
    <n v="3.85"/>
    <n v="69.25"/>
    <n v="9002.5"/>
  </r>
  <r>
    <x v="2"/>
    <x v="0"/>
    <x v="2"/>
    <n v="155"/>
    <n v="4"/>
    <n v="2.58"/>
    <n v="37.299999999999997"/>
    <n v="5781.5"/>
  </r>
  <r>
    <x v="2"/>
    <x v="0"/>
    <x v="2"/>
    <n v="150"/>
    <n v="10"/>
    <n v="6.67"/>
    <n v="20.68"/>
    <n v="3102"/>
  </r>
  <r>
    <x v="0"/>
    <x v="0"/>
    <x v="0"/>
    <n v="266"/>
    <n v="2"/>
    <n v="0.75"/>
    <n v="6.14"/>
    <n v="1633.24"/>
  </r>
  <r>
    <x v="1"/>
    <x v="0"/>
    <x v="2"/>
    <n v="198"/>
    <n v="3"/>
    <n v="1.52"/>
    <n v="10.09"/>
    <n v="1997.82"/>
  </r>
  <r>
    <x v="1"/>
    <x v="0"/>
    <x v="2"/>
    <n v="64"/>
    <n v="4"/>
    <n v="6.25"/>
    <n v="21.74"/>
    <n v="1391.36"/>
  </r>
  <r>
    <x v="2"/>
    <x v="0"/>
    <x v="2"/>
    <n v="98"/>
    <n v="3"/>
    <n v="3.06"/>
    <n v="43.42"/>
    <n v="4255.16"/>
  </r>
  <r>
    <x v="1"/>
    <x v="0"/>
    <x v="2"/>
    <n v="70"/>
    <n v="2"/>
    <n v="2.86"/>
    <n v="67.45"/>
    <n v="4721.5"/>
  </r>
  <r>
    <x v="1"/>
    <x v="0"/>
    <x v="1"/>
    <n v="208"/>
    <n v="1"/>
    <n v="0.48"/>
    <n v="65.86"/>
    <n v="13698.88"/>
  </r>
  <r>
    <x v="1"/>
    <x v="0"/>
    <x v="1"/>
    <n v="227"/>
    <n v="8"/>
    <n v="3.52"/>
    <n v="51.28"/>
    <n v="11640.56"/>
  </r>
  <r>
    <x v="1"/>
    <x v="0"/>
    <x v="1"/>
    <n v="279"/>
    <n v="9"/>
    <n v="3.23"/>
    <n v="12.14"/>
    <n v="3387.06"/>
  </r>
  <r>
    <x v="0"/>
    <x v="0"/>
    <x v="0"/>
    <n v="183"/>
    <n v="12"/>
    <n v="6.56"/>
    <n v="25.87"/>
    <n v="4734.21"/>
  </r>
  <r>
    <x v="3"/>
    <x v="0"/>
    <x v="2"/>
    <n v="66"/>
    <n v="1"/>
    <n v="1.52"/>
    <n v="38.79"/>
    <n v="2560.14"/>
  </r>
  <r>
    <x v="1"/>
    <x v="0"/>
    <x v="2"/>
    <n v="263"/>
    <n v="22"/>
    <n v="8.3699999999999992"/>
    <n v="19.38"/>
    <n v="5096.9399999999996"/>
  </r>
  <r>
    <x v="1"/>
    <x v="0"/>
    <x v="1"/>
    <n v="186"/>
    <n v="14"/>
    <n v="7.53"/>
    <n v="21.56"/>
    <n v="4010.16"/>
  </r>
  <r>
    <x v="3"/>
    <x v="0"/>
    <x v="2"/>
    <n v="100"/>
    <n v="2"/>
    <n v="2"/>
    <n v="68.09"/>
    <n v="6809"/>
  </r>
  <r>
    <x v="3"/>
    <x v="0"/>
    <x v="2"/>
    <n v="118"/>
    <n v="10"/>
    <n v="8.4700000000000006"/>
    <n v="5.81"/>
    <n v="685.58"/>
  </r>
  <r>
    <x v="0"/>
    <x v="0"/>
    <x v="0"/>
    <n v="247"/>
    <n v="5"/>
    <n v="2.02"/>
    <n v="59.38"/>
    <n v="14666.86"/>
  </r>
  <r>
    <x v="1"/>
    <x v="0"/>
    <x v="2"/>
    <n v="85"/>
    <n v="3"/>
    <n v="3.53"/>
    <n v="18.88"/>
    <n v="1604.8"/>
  </r>
  <r>
    <x v="0"/>
    <x v="0"/>
    <x v="2"/>
    <n v="248"/>
    <n v="3"/>
    <n v="1.21"/>
    <n v="5.37"/>
    <n v="1331.76"/>
  </r>
  <r>
    <x v="3"/>
    <x v="0"/>
    <x v="2"/>
    <n v="177"/>
    <n v="16"/>
    <n v="9.0399999999999991"/>
    <n v="14.57"/>
    <n v="2578.89"/>
  </r>
  <r>
    <x v="0"/>
    <x v="0"/>
    <x v="2"/>
    <n v="115"/>
    <n v="2"/>
    <n v="1.74"/>
    <n v="39.26"/>
    <n v="4514.8999999999996"/>
  </r>
  <r>
    <x v="0"/>
    <x v="0"/>
    <x v="0"/>
    <n v="213"/>
    <n v="1"/>
    <n v="0.47"/>
    <n v="22.67"/>
    <n v="4828.71"/>
  </r>
  <r>
    <x v="1"/>
    <x v="0"/>
    <x v="1"/>
    <n v="136"/>
    <n v="6"/>
    <n v="4.41"/>
    <n v="42.5"/>
    <n v="5780"/>
  </r>
  <r>
    <x v="0"/>
    <x v="0"/>
    <x v="0"/>
    <n v="95"/>
    <n v="1"/>
    <n v="1.05"/>
    <n v="37.81"/>
    <n v="3591.95"/>
  </r>
  <r>
    <x v="1"/>
    <x v="0"/>
    <x v="1"/>
    <n v="260"/>
    <n v="21"/>
    <n v="8.08"/>
    <n v="55.42"/>
    <n v="14409.2"/>
  </r>
  <r>
    <x v="1"/>
    <x v="0"/>
    <x v="2"/>
    <n v="90"/>
    <n v="7"/>
    <n v="7.78"/>
    <n v="17.149999999999999"/>
    <n v="1543.5"/>
  </r>
  <r>
    <x v="0"/>
    <x v="0"/>
    <x v="2"/>
    <n v="147"/>
    <n v="2"/>
    <n v="1.36"/>
    <n v="67.87"/>
    <n v="9976.89"/>
  </r>
  <r>
    <x v="1"/>
    <x v="0"/>
    <x v="2"/>
    <n v="170"/>
    <n v="11"/>
    <n v="6.47"/>
    <n v="39.14"/>
    <n v="6653.8"/>
  </r>
  <r>
    <x v="2"/>
    <x v="0"/>
    <x v="2"/>
    <n v="174"/>
    <n v="10"/>
    <n v="5.75"/>
    <n v="33.69"/>
    <n v="5862.06"/>
  </r>
  <r>
    <x v="3"/>
    <x v="0"/>
    <x v="2"/>
    <n v="230"/>
    <n v="21"/>
    <n v="9.1300000000000008"/>
    <n v="62.42"/>
    <n v="14356.6"/>
  </r>
  <r>
    <x v="2"/>
    <x v="0"/>
    <x v="2"/>
    <n v="225"/>
    <n v="16"/>
    <n v="7.11"/>
    <n v="58.04"/>
    <n v="13059"/>
  </r>
  <r>
    <x v="1"/>
    <x v="0"/>
    <x v="2"/>
    <n v="175"/>
    <n v="6"/>
    <n v="3.43"/>
    <n v="62.91"/>
    <n v="11009.25"/>
  </r>
  <r>
    <x v="1"/>
    <x v="0"/>
    <x v="1"/>
    <n v="238"/>
    <n v="22"/>
    <n v="9.24"/>
    <n v="57.05"/>
    <n v="13577.9"/>
  </r>
  <r>
    <x v="0"/>
    <x v="0"/>
    <x v="0"/>
    <n v="195"/>
    <n v="4"/>
    <n v="2.0499999999999998"/>
    <n v="20.83"/>
    <n v="4061.85"/>
  </r>
  <r>
    <x v="1"/>
    <x v="0"/>
    <x v="1"/>
    <n v="290"/>
    <n v="14"/>
    <n v="4.83"/>
    <n v="11.61"/>
    <n v="3366.9"/>
  </r>
  <r>
    <x v="2"/>
    <x v="0"/>
    <x v="2"/>
    <n v="190"/>
    <n v="6"/>
    <n v="3.16"/>
    <n v="39.85"/>
    <n v="7571.5"/>
  </r>
  <r>
    <x v="1"/>
    <x v="0"/>
    <x v="2"/>
    <n v="133"/>
    <n v="8"/>
    <n v="6.02"/>
    <n v="40.07"/>
    <n v="5329.31"/>
  </r>
  <r>
    <x v="3"/>
    <x v="0"/>
    <x v="2"/>
    <n v="78"/>
    <n v="3"/>
    <n v="3.85"/>
    <n v="64.06"/>
    <n v="4996.68"/>
  </r>
  <r>
    <x v="2"/>
    <x v="0"/>
    <x v="2"/>
    <n v="241"/>
    <n v="13"/>
    <n v="5.39"/>
    <n v="57.66"/>
    <n v="13896.06"/>
  </r>
  <r>
    <x v="2"/>
    <x v="0"/>
    <x v="2"/>
    <n v="159"/>
    <n v="14"/>
    <n v="8.81"/>
    <n v="42.76"/>
    <n v="6798.84"/>
  </r>
  <r>
    <x v="0"/>
    <x v="0"/>
    <x v="0"/>
    <n v="199"/>
    <n v="6"/>
    <n v="3.02"/>
    <n v="7.13"/>
    <n v="1418.87"/>
  </r>
  <r>
    <x v="0"/>
    <x v="0"/>
    <x v="2"/>
    <n v="191"/>
    <n v="18"/>
    <n v="9.42"/>
    <n v="23.88"/>
    <n v="4561.08"/>
  </r>
  <r>
    <x v="1"/>
    <x v="0"/>
    <x v="2"/>
    <n v="277"/>
    <n v="12"/>
    <n v="4.33"/>
    <n v="58.73"/>
    <n v="16268.21"/>
  </r>
  <r>
    <x v="1"/>
    <x v="0"/>
    <x v="2"/>
    <n v="234"/>
    <n v="16"/>
    <n v="6.84"/>
    <n v="17.39"/>
    <n v="4069.26"/>
  </r>
  <r>
    <x v="2"/>
    <x v="0"/>
    <x v="2"/>
    <n v="64"/>
    <n v="0"/>
    <n v="0"/>
    <n v="62.51"/>
    <n v="4000.64"/>
  </r>
  <r>
    <x v="3"/>
    <x v="0"/>
    <x v="2"/>
    <n v="182"/>
    <n v="8"/>
    <n v="4.4000000000000004"/>
    <n v="5.23"/>
    <n v="951.86"/>
  </r>
  <r>
    <x v="1"/>
    <x v="0"/>
    <x v="2"/>
    <n v="290"/>
    <n v="13"/>
    <n v="4.4800000000000004"/>
    <n v="11.52"/>
    <n v="3340.8"/>
  </r>
  <r>
    <x v="2"/>
    <x v="0"/>
    <x v="2"/>
    <n v="118"/>
    <n v="4"/>
    <n v="3.39"/>
    <n v="24.82"/>
    <n v="2928.76"/>
  </r>
  <r>
    <x v="0"/>
    <x v="0"/>
    <x v="2"/>
    <n v="95"/>
    <n v="8"/>
    <n v="8.42"/>
    <n v="28.66"/>
    <n v="2722.7"/>
  </r>
  <r>
    <x v="0"/>
    <x v="0"/>
    <x v="0"/>
    <n v="210"/>
    <n v="21"/>
    <n v="10"/>
    <n v="55.67"/>
    <n v="11690.7"/>
  </r>
  <r>
    <x v="0"/>
    <x v="0"/>
    <x v="2"/>
    <n v="136"/>
    <n v="10"/>
    <n v="7.35"/>
    <n v="39.950000000000003"/>
    <n v="5433.2"/>
  </r>
  <r>
    <x v="2"/>
    <x v="0"/>
    <x v="2"/>
    <n v="63"/>
    <n v="1"/>
    <n v="1.59"/>
    <n v="32.69"/>
    <n v="2059.4699999999998"/>
  </r>
  <r>
    <x v="1"/>
    <x v="0"/>
    <x v="2"/>
    <n v="57"/>
    <n v="1"/>
    <n v="1.75"/>
    <n v="17.510000000000002"/>
    <n v="998.07"/>
  </r>
  <r>
    <x v="2"/>
    <x v="0"/>
    <x v="2"/>
    <n v="65"/>
    <n v="3"/>
    <n v="4.62"/>
    <n v="62.03"/>
    <n v="4031.95"/>
  </r>
  <r>
    <x v="1"/>
    <x v="0"/>
    <x v="1"/>
    <n v="202"/>
    <n v="1"/>
    <n v="0.5"/>
    <n v="8.3800000000000008"/>
    <n v="1692.76"/>
  </r>
  <r>
    <x v="1"/>
    <x v="0"/>
    <x v="1"/>
    <n v="139"/>
    <n v="2"/>
    <n v="1.44"/>
    <n v="13.38"/>
    <n v="1859.82"/>
  </r>
  <r>
    <x v="3"/>
    <x v="0"/>
    <x v="2"/>
    <n v="95"/>
    <n v="2"/>
    <n v="2.11"/>
    <n v="18.260000000000002"/>
    <n v="1734.7"/>
  </r>
  <r>
    <x v="0"/>
    <x v="0"/>
    <x v="0"/>
    <n v="141"/>
    <n v="7"/>
    <n v="4.96"/>
    <n v="16.5"/>
    <n v="2326.5"/>
  </r>
  <r>
    <x v="1"/>
    <x v="0"/>
    <x v="1"/>
    <n v="217"/>
    <n v="8"/>
    <n v="3.69"/>
    <n v="64.400000000000006"/>
    <n v="13974.8"/>
  </r>
  <r>
    <x v="2"/>
    <x v="0"/>
    <x v="2"/>
    <n v="134"/>
    <n v="4"/>
    <n v="2.99"/>
    <n v="12.12"/>
    <n v="1624.08"/>
  </r>
  <r>
    <x v="1"/>
    <x v="0"/>
    <x v="1"/>
    <n v="157"/>
    <n v="13"/>
    <n v="8.2799999999999994"/>
    <n v="31.45"/>
    <n v="4937.6499999999996"/>
  </r>
  <r>
    <x v="1"/>
    <x v="0"/>
    <x v="1"/>
    <n v="296"/>
    <n v="14"/>
    <n v="4.7300000000000004"/>
    <n v="56.1"/>
    <n v="16605.599999999999"/>
  </r>
  <r>
    <x v="0"/>
    <x v="0"/>
    <x v="2"/>
    <n v="262"/>
    <n v="0"/>
    <n v="0"/>
    <n v="42.45"/>
    <n v="11121.9"/>
  </r>
  <r>
    <x v="0"/>
    <x v="0"/>
    <x v="0"/>
    <n v="78"/>
    <n v="6"/>
    <n v="7.69"/>
    <n v="7.95"/>
    <n v="620.1"/>
  </r>
  <r>
    <x v="0"/>
    <x v="0"/>
    <x v="2"/>
    <n v="288"/>
    <n v="14"/>
    <n v="4.8600000000000003"/>
    <n v="10.130000000000001"/>
    <n v="2917.44"/>
  </r>
  <r>
    <x v="1"/>
    <x v="0"/>
    <x v="2"/>
    <n v="279"/>
    <n v="21"/>
    <n v="7.53"/>
    <n v="42.28"/>
    <n v="11796.12"/>
  </r>
  <r>
    <x v="2"/>
    <x v="0"/>
    <x v="2"/>
    <n v="278"/>
    <n v="19"/>
    <n v="6.83"/>
    <n v="22.31"/>
    <n v="6202.18"/>
  </r>
  <r>
    <x v="2"/>
    <x v="0"/>
    <x v="2"/>
    <n v="231"/>
    <n v="3"/>
    <n v="1.3"/>
    <n v="30.67"/>
    <n v="7084.77"/>
  </r>
  <r>
    <x v="1"/>
    <x v="0"/>
    <x v="1"/>
    <n v="87"/>
    <n v="1"/>
    <n v="1.1499999999999999"/>
    <n v="22.58"/>
    <n v="1964.46"/>
  </r>
  <r>
    <x v="3"/>
    <x v="0"/>
    <x v="2"/>
    <n v="275"/>
    <n v="23"/>
    <n v="8.36"/>
    <n v="40.74"/>
    <n v="11203.5"/>
  </r>
  <r>
    <x v="2"/>
    <x v="0"/>
    <x v="2"/>
    <n v="137"/>
    <n v="7"/>
    <n v="5.1100000000000003"/>
    <n v="16.54"/>
    <n v="2265.98"/>
  </r>
  <r>
    <x v="2"/>
    <x v="0"/>
    <x v="2"/>
    <n v="110"/>
    <n v="11"/>
    <n v="10"/>
    <n v="18.850000000000001"/>
    <n v="2073.5"/>
  </r>
  <r>
    <x v="2"/>
    <x v="0"/>
    <x v="2"/>
    <n v="285"/>
    <n v="10"/>
    <n v="3.51"/>
    <n v="28.28"/>
    <n v="8059.8"/>
  </r>
  <r>
    <x v="1"/>
    <x v="0"/>
    <x v="2"/>
    <n v="254"/>
    <n v="13"/>
    <n v="5.12"/>
    <n v="38.880000000000003"/>
    <n v="9875.52"/>
  </r>
  <r>
    <x v="0"/>
    <x v="0"/>
    <x v="0"/>
    <n v="225"/>
    <n v="15"/>
    <n v="6.67"/>
    <n v="40.65"/>
    <n v="9146.25"/>
  </r>
  <r>
    <x v="1"/>
    <x v="0"/>
    <x v="2"/>
    <n v="97"/>
    <n v="8"/>
    <n v="8.25"/>
    <n v="63.72"/>
    <n v="6180.84"/>
  </r>
  <r>
    <x v="1"/>
    <x v="0"/>
    <x v="2"/>
    <n v="283"/>
    <n v="6"/>
    <n v="2.12"/>
    <n v="52.72"/>
    <n v="14919.76"/>
  </r>
  <r>
    <x v="1"/>
    <x v="0"/>
    <x v="2"/>
    <n v="96"/>
    <n v="0"/>
    <n v="0"/>
    <n v="34.42"/>
    <n v="3304.32"/>
  </r>
  <r>
    <x v="1"/>
    <x v="0"/>
    <x v="2"/>
    <n v="231"/>
    <n v="17"/>
    <n v="7.36"/>
    <n v="7.86"/>
    <n v="1815.66"/>
  </r>
  <r>
    <x v="0"/>
    <x v="0"/>
    <x v="2"/>
    <n v="91"/>
    <n v="9"/>
    <n v="9.89"/>
    <n v="18.260000000000002"/>
    <n v="1661.66"/>
  </r>
  <r>
    <x v="1"/>
    <x v="0"/>
    <x v="2"/>
    <n v="180"/>
    <n v="18"/>
    <n v="10"/>
    <n v="23.87"/>
    <n v="4296.6000000000004"/>
  </r>
  <r>
    <x v="1"/>
    <x v="0"/>
    <x v="1"/>
    <n v="284"/>
    <n v="5"/>
    <n v="1.76"/>
    <n v="23.89"/>
    <n v="6784.76"/>
  </r>
  <r>
    <x v="2"/>
    <x v="0"/>
    <x v="2"/>
    <n v="103"/>
    <n v="6"/>
    <n v="5.83"/>
    <n v="65.86"/>
    <n v="6783.58"/>
  </r>
  <r>
    <x v="3"/>
    <x v="0"/>
    <x v="2"/>
    <n v="180"/>
    <n v="6"/>
    <n v="3.33"/>
    <n v="19.77"/>
    <n v="3558.6"/>
  </r>
  <r>
    <x v="1"/>
    <x v="0"/>
    <x v="1"/>
    <n v="257"/>
    <n v="4"/>
    <n v="1.56"/>
    <n v="66.650000000000006"/>
    <n v="17129.05"/>
  </r>
  <r>
    <x v="0"/>
    <x v="0"/>
    <x v="2"/>
    <n v="139"/>
    <n v="1"/>
    <n v="0.72"/>
    <n v="43.16"/>
    <n v="5999.24"/>
  </r>
  <r>
    <x v="3"/>
    <x v="0"/>
    <x v="2"/>
    <n v="151"/>
    <n v="2"/>
    <n v="1.32"/>
    <n v="41.2"/>
    <n v="6221.2"/>
  </r>
  <r>
    <x v="0"/>
    <x v="0"/>
    <x v="0"/>
    <n v="228"/>
    <n v="5"/>
    <n v="2.19"/>
    <n v="11.85"/>
    <n v="2701.8"/>
  </r>
  <r>
    <x v="3"/>
    <x v="0"/>
    <x v="2"/>
    <n v="229"/>
    <n v="11"/>
    <n v="4.8"/>
    <n v="9.0399999999999991"/>
    <n v="2070.16"/>
  </r>
  <r>
    <x v="1"/>
    <x v="0"/>
    <x v="1"/>
    <n v="59"/>
    <n v="4"/>
    <n v="6.78"/>
    <n v="55.08"/>
    <n v="3249.72"/>
  </r>
  <r>
    <x v="1"/>
    <x v="0"/>
    <x v="1"/>
    <n v="121"/>
    <n v="4"/>
    <n v="3.31"/>
    <n v="24.55"/>
    <n v="2970.55"/>
  </r>
  <r>
    <x v="1"/>
    <x v="0"/>
    <x v="1"/>
    <n v="285"/>
    <n v="23"/>
    <n v="8.07"/>
    <n v="46.14"/>
    <n v="13149.9"/>
  </r>
  <r>
    <x v="1"/>
    <x v="0"/>
    <x v="2"/>
    <n v="181"/>
    <n v="4"/>
    <n v="2.21"/>
    <n v="45.56"/>
    <n v="8246.36"/>
  </r>
  <r>
    <x v="2"/>
    <x v="0"/>
    <x v="2"/>
    <n v="56"/>
    <n v="0"/>
    <n v="0"/>
    <n v="7.22"/>
    <n v="404.32"/>
  </r>
  <r>
    <x v="0"/>
    <x v="0"/>
    <x v="2"/>
    <n v="265"/>
    <n v="17"/>
    <n v="6.42"/>
    <n v="46.47"/>
    <n v="12314.55"/>
  </r>
  <r>
    <x v="3"/>
    <x v="0"/>
    <x v="2"/>
    <n v="50"/>
    <n v="4"/>
    <n v="8"/>
    <n v="64.36"/>
    <n v="3218"/>
  </r>
  <r>
    <x v="1"/>
    <x v="0"/>
    <x v="2"/>
    <n v="86"/>
    <n v="5"/>
    <n v="5.81"/>
    <n v="33.1"/>
    <n v="2846.6"/>
  </r>
  <r>
    <x v="0"/>
    <x v="0"/>
    <x v="0"/>
    <n v="256"/>
    <n v="12"/>
    <n v="4.6900000000000004"/>
    <n v="5.46"/>
    <n v="1397.76"/>
  </r>
  <r>
    <x v="1"/>
    <x v="0"/>
    <x v="2"/>
    <n v="168"/>
    <n v="9"/>
    <n v="5.36"/>
    <n v="62.5"/>
    <n v="10500"/>
  </r>
  <r>
    <x v="1"/>
    <x v="0"/>
    <x v="2"/>
    <n v="67"/>
    <n v="2"/>
    <n v="2.99"/>
    <n v="40.659999999999997"/>
    <n v="2724.22"/>
  </r>
  <r>
    <x v="1"/>
    <x v="0"/>
    <x v="2"/>
    <n v="58"/>
    <n v="2"/>
    <n v="3.45"/>
    <n v="56.88"/>
    <n v="3299.04"/>
  </r>
  <r>
    <x v="1"/>
    <x v="0"/>
    <x v="2"/>
    <n v="294"/>
    <n v="0"/>
    <n v="0"/>
    <n v="41.58"/>
    <n v="12224.52"/>
  </r>
  <r>
    <x v="1"/>
    <x v="0"/>
    <x v="1"/>
    <n v="126"/>
    <n v="10"/>
    <n v="7.94"/>
    <n v="46.17"/>
    <n v="5817.42"/>
  </r>
  <r>
    <x v="0"/>
    <x v="0"/>
    <x v="2"/>
    <n v="144"/>
    <n v="14"/>
    <n v="9.7200000000000006"/>
    <n v="39.119999999999997"/>
    <n v="5633.28"/>
  </r>
  <r>
    <x v="3"/>
    <x v="0"/>
    <x v="2"/>
    <n v="207"/>
    <n v="19"/>
    <n v="9.18"/>
    <n v="12.65"/>
    <n v="2618.5500000000002"/>
  </r>
  <r>
    <x v="3"/>
    <x v="0"/>
    <x v="2"/>
    <n v="223"/>
    <n v="9"/>
    <n v="4.04"/>
    <n v="59.04"/>
    <n v="13165.92"/>
  </r>
  <r>
    <x v="0"/>
    <x v="0"/>
    <x v="0"/>
    <n v="103"/>
    <n v="4"/>
    <n v="3.88"/>
    <n v="49.78"/>
    <n v="5127.34"/>
  </r>
  <r>
    <x v="1"/>
    <x v="0"/>
    <x v="1"/>
    <n v="104"/>
    <n v="9"/>
    <n v="8.65"/>
    <n v="13.53"/>
    <n v="1407.12"/>
  </r>
  <r>
    <x v="0"/>
    <x v="0"/>
    <x v="0"/>
    <n v="94"/>
    <n v="5"/>
    <n v="5.32"/>
    <n v="47.06"/>
    <n v="4423.6400000000003"/>
  </r>
  <r>
    <x v="2"/>
    <x v="0"/>
    <x v="2"/>
    <n v="118"/>
    <n v="6"/>
    <n v="5.08"/>
    <n v="6.23"/>
    <n v="735.14"/>
  </r>
  <r>
    <x v="2"/>
    <x v="0"/>
    <x v="2"/>
    <n v="258"/>
    <n v="24"/>
    <n v="9.3000000000000007"/>
    <n v="9.26"/>
    <n v="2389.08"/>
  </r>
  <r>
    <x v="2"/>
    <x v="0"/>
    <x v="2"/>
    <n v="146"/>
    <n v="12"/>
    <n v="8.2200000000000006"/>
    <n v="33.049999999999997"/>
    <n v="4825.3"/>
  </r>
  <r>
    <x v="0"/>
    <x v="0"/>
    <x v="0"/>
    <n v="71"/>
    <n v="3"/>
    <n v="4.2300000000000004"/>
    <n v="50.18"/>
    <n v="3562.78"/>
  </r>
  <r>
    <x v="3"/>
    <x v="0"/>
    <x v="2"/>
    <n v="288"/>
    <n v="4"/>
    <n v="1.39"/>
    <n v="35.67"/>
    <n v="10272.959999999999"/>
  </r>
  <r>
    <x v="1"/>
    <x v="0"/>
    <x v="1"/>
    <n v="258"/>
    <n v="20"/>
    <n v="7.75"/>
    <n v="30.45"/>
    <n v="7856.1"/>
  </r>
  <r>
    <x v="1"/>
    <x v="0"/>
    <x v="1"/>
    <n v="67"/>
    <n v="2"/>
    <n v="2.99"/>
    <n v="43.02"/>
    <n v="2882.34"/>
  </r>
  <r>
    <x v="1"/>
    <x v="0"/>
    <x v="2"/>
    <n v="82"/>
    <n v="1"/>
    <n v="1.22"/>
    <n v="47.99"/>
    <n v="3935.18"/>
  </r>
  <r>
    <x v="1"/>
    <x v="0"/>
    <x v="1"/>
    <n v="156"/>
    <n v="2"/>
    <n v="1.28"/>
    <n v="69.099999999999994"/>
    <n v="10779.6"/>
  </r>
  <r>
    <x v="1"/>
    <x v="0"/>
    <x v="2"/>
    <n v="201"/>
    <n v="9"/>
    <n v="4.4800000000000004"/>
    <n v="59.14"/>
    <n v="11887.14"/>
  </r>
  <r>
    <x v="1"/>
    <x v="0"/>
    <x v="1"/>
    <n v="82"/>
    <n v="1"/>
    <n v="1.22"/>
    <n v="8.6"/>
    <n v="705.2"/>
  </r>
  <r>
    <x v="0"/>
    <x v="0"/>
    <x v="0"/>
    <n v="135"/>
    <n v="7"/>
    <n v="5.19"/>
    <n v="13.24"/>
    <n v="1787.4"/>
  </r>
  <r>
    <x v="3"/>
    <x v="0"/>
    <x v="2"/>
    <n v="192"/>
    <n v="6"/>
    <n v="3.12"/>
    <n v="64.77"/>
    <n v="12435.84"/>
  </r>
  <r>
    <x v="0"/>
    <x v="0"/>
    <x v="2"/>
    <n v="155"/>
    <n v="7"/>
    <n v="4.5199999999999996"/>
    <n v="20.91"/>
    <n v="3241.05"/>
  </r>
  <r>
    <x v="3"/>
    <x v="0"/>
    <x v="2"/>
    <n v="194"/>
    <n v="18"/>
    <n v="9.2799999999999994"/>
    <n v="53.82"/>
    <n v="10441.08"/>
  </r>
  <r>
    <x v="3"/>
    <x v="0"/>
    <x v="2"/>
    <n v="57"/>
    <n v="5"/>
    <n v="8.77"/>
    <n v="58.08"/>
    <n v="3310.56"/>
  </r>
  <r>
    <x v="3"/>
    <x v="0"/>
    <x v="2"/>
    <n v="276"/>
    <n v="18"/>
    <n v="6.52"/>
    <n v="32.409999999999997"/>
    <n v="8945.16"/>
  </r>
  <r>
    <x v="3"/>
    <x v="0"/>
    <x v="2"/>
    <n v="77"/>
    <n v="7"/>
    <n v="9.09"/>
    <n v="9.5399999999999991"/>
    <n v="734.58"/>
  </r>
  <r>
    <x v="1"/>
    <x v="0"/>
    <x v="2"/>
    <n v="273"/>
    <n v="22"/>
    <n v="8.06"/>
    <n v="14.29"/>
    <n v="3901.17"/>
  </r>
  <r>
    <x v="0"/>
    <x v="0"/>
    <x v="2"/>
    <n v="240"/>
    <n v="13"/>
    <n v="5.42"/>
    <n v="31.8"/>
    <n v="7632"/>
  </r>
  <r>
    <x v="1"/>
    <x v="0"/>
    <x v="2"/>
    <n v="72"/>
    <n v="1"/>
    <n v="1.39"/>
    <n v="6.01"/>
    <n v="432.72"/>
  </r>
  <r>
    <x v="0"/>
    <x v="0"/>
    <x v="2"/>
    <n v="201"/>
    <n v="12"/>
    <n v="5.97"/>
    <n v="67.239999999999995"/>
    <n v="13515.24"/>
  </r>
  <r>
    <x v="1"/>
    <x v="0"/>
    <x v="1"/>
    <n v="224"/>
    <n v="4"/>
    <n v="1.79"/>
    <n v="26.13"/>
    <n v="5853.12"/>
  </r>
  <r>
    <x v="0"/>
    <x v="0"/>
    <x v="2"/>
    <n v="275"/>
    <n v="23"/>
    <n v="8.36"/>
    <n v="33.43"/>
    <n v="9193.25"/>
  </r>
  <r>
    <x v="3"/>
    <x v="0"/>
    <x v="2"/>
    <n v="299"/>
    <n v="25"/>
    <n v="8.36"/>
    <n v="56.17"/>
    <n v="16794.830000000002"/>
  </r>
  <r>
    <x v="1"/>
    <x v="0"/>
    <x v="2"/>
    <n v="65"/>
    <n v="0"/>
    <n v="0"/>
    <n v="43.83"/>
    <n v="2848.95"/>
  </r>
  <r>
    <x v="2"/>
    <x v="0"/>
    <x v="2"/>
    <n v="144"/>
    <n v="3"/>
    <n v="2.08"/>
    <n v="13.17"/>
    <n v="1896.48"/>
  </r>
  <r>
    <x v="1"/>
    <x v="0"/>
    <x v="1"/>
    <n v="272"/>
    <n v="6"/>
    <n v="2.21"/>
    <n v="53.27"/>
    <n v="14489.44"/>
  </r>
  <r>
    <x v="0"/>
    <x v="0"/>
    <x v="0"/>
    <n v="263"/>
    <n v="13"/>
    <n v="4.9400000000000004"/>
    <n v="45.09"/>
    <n v="11858.67"/>
  </r>
  <r>
    <x v="0"/>
    <x v="0"/>
    <x v="2"/>
    <n v="126"/>
    <n v="9"/>
    <n v="7.14"/>
    <n v="49.75"/>
    <n v="6268.5"/>
  </r>
  <r>
    <x v="1"/>
    <x v="0"/>
    <x v="1"/>
    <n v="125"/>
    <n v="1"/>
    <n v="0.8"/>
    <n v="30.7"/>
    <n v="3837.5"/>
  </r>
  <r>
    <x v="1"/>
    <x v="0"/>
    <x v="2"/>
    <n v="233"/>
    <n v="4"/>
    <n v="1.72"/>
    <n v="57.81"/>
    <n v="13469.73"/>
  </r>
  <r>
    <x v="0"/>
    <x v="0"/>
    <x v="2"/>
    <n v="292"/>
    <n v="22"/>
    <n v="7.53"/>
    <n v="38.94"/>
    <n v="11370.48"/>
  </r>
  <r>
    <x v="0"/>
    <x v="0"/>
    <x v="2"/>
    <n v="86"/>
    <n v="4"/>
    <n v="4.6500000000000004"/>
    <n v="19.54"/>
    <n v="1680.44"/>
  </r>
  <r>
    <x v="3"/>
    <x v="0"/>
    <x v="2"/>
    <n v="204"/>
    <n v="10"/>
    <n v="4.9000000000000004"/>
    <n v="48.97"/>
    <n v="9989.8799999999992"/>
  </r>
  <r>
    <x v="3"/>
    <x v="0"/>
    <x v="2"/>
    <n v="87"/>
    <n v="4"/>
    <n v="4.5999999999999996"/>
    <n v="24.72"/>
    <n v="2150.64"/>
  </r>
  <r>
    <x v="0"/>
    <x v="0"/>
    <x v="0"/>
    <n v="258"/>
    <n v="20"/>
    <n v="7.75"/>
    <n v="63.75"/>
    <n v="16447.5"/>
  </r>
  <r>
    <x v="3"/>
    <x v="0"/>
    <x v="2"/>
    <n v="95"/>
    <n v="9"/>
    <n v="9.4700000000000006"/>
    <n v="67.95"/>
    <n v="6455.25"/>
  </r>
  <r>
    <x v="0"/>
    <x v="0"/>
    <x v="0"/>
    <n v="229"/>
    <n v="20"/>
    <n v="8.73"/>
    <n v="16.940000000000001"/>
    <n v="3879.26"/>
  </r>
  <r>
    <x v="2"/>
    <x v="0"/>
    <x v="2"/>
    <n v="274"/>
    <n v="19"/>
    <n v="6.93"/>
    <n v="65.959999999999994"/>
    <n v="18073.04"/>
  </r>
  <r>
    <x v="2"/>
    <x v="0"/>
    <x v="2"/>
    <n v="252"/>
    <n v="24"/>
    <n v="9.52"/>
    <n v="39.85"/>
    <n v="10042.200000000001"/>
  </r>
  <r>
    <x v="0"/>
    <x v="0"/>
    <x v="0"/>
    <n v="112"/>
    <n v="3"/>
    <n v="2.68"/>
    <n v="22.59"/>
    <n v="2530.08"/>
  </r>
  <r>
    <x v="2"/>
    <x v="0"/>
    <x v="2"/>
    <n v="112"/>
    <n v="3"/>
    <n v="2.68"/>
    <n v="31.6"/>
    <n v="3539.2"/>
  </r>
  <r>
    <x v="0"/>
    <x v="0"/>
    <x v="2"/>
    <n v="170"/>
    <n v="13"/>
    <n v="7.65"/>
    <n v="59.87"/>
    <n v="10177.9"/>
  </r>
  <r>
    <x v="0"/>
    <x v="0"/>
    <x v="0"/>
    <n v="201"/>
    <n v="5"/>
    <n v="2.4900000000000002"/>
    <n v="63.86"/>
    <n v="12835.86"/>
  </r>
  <r>
    <x v="1"/>
    <x v="0"/>
    <x v="2"/>
    <n v="173"/>
    <n v="6"/>
    <n v="3.47"/>
    <n v="7.26"/>
    <n v="1255.98"/>
  </r>
  <r>
    <x v="0"/>
    <x v="0"/>
    <x v="0"/>
    <n v="261"/>
    <n v="18"/>
    <n v="6.9"/>
    <n v="37.270000000000003"/>
    <n v="9727.4699999999993"/>
  </r>
  <r>
    <x v="2"/>
    <x v="0"/>
    <x v="2"/>
    <n v="280"/>
    <n v="19"/>
    <n v="6.79"/>
    <n v="13.17"/>
    <n v="3687.6"/>
  </r>
  <r>
    <x v="1"/>
    <x v="0"/>
    <x v="1"/>
    <n v="197"/>
    <n v="5"/>
    <n v="2.54"/>
    <n v="34.83"/>
    <n v="6861.51"/>
  </r>
  <r>
    <x v="0"/>
    <x v="0"/>
    <x v="2"/>
    <n v="171"/>
    <n v="6"/>
    <n v="3.51"/>
    <n v="60.05"/>
    <n v="10268.549999999999"/>
  </r>
  <r>
    <x v="2"/>
    <x v="0"/>
    <x v="2"/>
    <n v="296"/>
    <n v="13"/>
    <n v="4.3899999999999997"/>
    <n v="64.040000000000006"/>
    <n v="18955.84"/>
  </r>
  <r>
    <x v="3"/>
    <x v="0"/>
    <x v="2"/>
    <n v="126"/>
    <n v="4"/>
    <n v="3.17"/>
    <n v="19.21"/>
    <n v="2420.46"/>
  </r>
  <r>
    <x v="2"/>
    <x v="0"/>
    <x v="2"/>
    <n v="62"/>
    <n v="6"/>
    <n v="9.68"/>
    <n v="23.35"/>
    <n v="1447.7"/>
  </r>
  <r>
    <x v="2"/>
    <x v="0"/>
    <x v="2"/>
    <n v="131"/>
    <n v="6"/>
    <n v="4.58"/>
    <n v="59.05"/>
    <n v="7735.55"/>
  </r>
  <r>
    <x v="1"/>
    <x v="0"/>
    <x v="1"/>
    <n v="115"/>
    <n v="4"/>
    <n v="3.48"/>
    <n v="57.54"/>
    <n v="6617.1"/>
  </r>
  <r>
    <x v="1"/>
    <x v="0"/>
    <x v="2"/>
    <n v="135"/>
    <n v="10"/>
    <n v="7.41"/>
    <n v="22.16"/>
    <n v="2991.6"/>
  </r>
  <r>
    <x v="0"/>
    <x v="0"/>
    <x v="2"/>
    <n v="214"/>
    <n v="21"/>
    <n v="9.81"/>
    <n v="55.44"/>
    <n v="11864.16"/>
  </r>
  <r>
    <x v="2"/>
    <x v="0"/>
    <x v="2"/>
    <n v="96"/>
    <n v="5"/>
    <n v="5.21"/>
    <n v="43.6"/>
    <n v="4185.6000000000004"/>
  </r>
  <r>
    <x v="0"/>
    <x v="0"/>
    <x v="2"/>
    <n v="52"/>
    <n v="5"/>
    <n v="9.6199999999999992"/>
    <n v="44.25"/>
    <n v="2301"/>
  </r>
  <r>
    <x v="3"/>
    <x v="0"/>
    <x v="2"/>
    <n v="122"/>
    <n v="11"/>
    <n v="9.02"/>
    <n v="62.2"/>
    <n v="7588.4"/>
  </r>
  <r>
    <x v="0"/>
    <x v="0"/>
    <x v="0"/>
    <n v="188"/>
    <n v="15"/>
    <n v="7.98"/>
    <n v="59.79"/>
    <n v="11240.52"/>
  </r>
  <r>
    <x v="0"/>
    <x v="0"/>
    <x v="2"/>
    <n v="168"/>
    <n v="16"/>
    <n v="9.52"/>
    <n v="42.42"/>
    <n v="7126.56"/>
  </r>
  <r>
    <x v="2"/>
    <x v="0"/>
    <x v="2"/>
    <n v="294"/>
    <n v="8"/>
    <n v="2.72"/>
    <n v="64.650000000000006"/>
    <n v="19007.099999999999"/>
  </r>
  <r>
    <x v="0"/>
    <x v="0"/>
    <x v="0"/>
    <n v="223"/>
    <n v="8"/>
    <n v="3.59"/>
    <n v="52.63"/>
    <n v="11736.49"/>
  </r>
  <r>
    <x v="1"/>
    <x v="0"/>
    <x v="1"/>
    <n v="235"/>
    <n v="12"/>
    <n v="5.1100000000000003"/>
    <n v="33.130000000000003"/>
    <n v="7785.55"/>
  </r>
  <r>
    <x v="3"/>
    <x v="0"/>
    <x v="2"/>
    <n v="279"/>
    <n v="2"/>
    <n v="0.72"/>
    <n v="33.15"/>
    <n v="9248.85"/>
  </r>
  <r>
    <x v="0"/>
    <x v="0"/>
    <x v="2"/>
    <n v="171"/>
    <n v="9"/>
    <n v="5.26"/>
    <n v="41.48"/>
    <n v="7093.08"/>
  </r>
  <r>
    <x v="1"/>
    <x v="0"/>
    <x v="1"/>
    <n v="234"/>
    <n v="0"/>
    <n v="0"/>
    <n v="7.92"/>
    <n v="1853.28"/>
  </r>
  <r>
    <x v="1"/>
    <x v="0"/>
    <x v="1"/>
    <n v="218"/>
    <n v="15"/>
    <n v="6.88"/>
    <n v="45.35"/>
    <n v="9886.2999999999993"/>
  </r>
  <r>
    <x v="1"/>
    <x v="0"/>
    <x v="1"/>
    <n v="132"/>
    <n v="11"/>
    <n v="8.33"/>
    <n v="30.1"/>
    <n v="3973.2"/>
  </r>
  <r>
    <x v="2"/>
    <x v="0"/>
    <x v="2"/>
    <n v="101"/>
    <n v="8"/>
    <n v="7.92"/>
    <n v="60.65"/>
    <n v="6125.65"/>
  </r>
  <r>
    <x v="1"/>
    <x v="0"/>
    <x v="1"/>
    <n v="225"/>
    <n v="13"/>
    <n v="5.78"/>
    <n v="34.31"/>
    <n v="7719.75"/>
  </r>
  <r>
    <x v="2"/>
    <x v="0"/>
    <x v="2"/>
    <n v="222"/>
    <n v="22"/>
    <n v="9.91"/>
    <n v="65.239999999999995"/>
    <n v="14483.28"/>
  </r>
  <r>
    <x v="0"/>
    <x v="0"/>
    <x v="0"/>
    <n v="95"/>
    <n v="7"/>
    <n v="7.37"/>
    <n v="50.17"/>
    <n v="4766.1499999999996"/>
  </r>
  <r>
    <x v="0"/>
    <x v="0"/>
    <x v="0"/>
    <n v="225"/>
    <n v="11"/>
    <n v="4.8899999999999997"/>
    <n v="6.24"/>
    <n v="1404"/>
  </r>
  <r>
    <x v="0"/>
    <x v="0"/>
    <x v="2"/>
    <n v="296"/>
    <n v="1"/>
    <n v="0.34"/>
    <n v="21.91"/>
    <n v="6485.36"/>
  </r>
  <r>
    <x v="3"/>
    <x v="0"/>
    <x v="2"/>
    <n v="148"/>
    <n v="8"/>
    <n v="5.41"/>
    <n v="67.319999999999993"/>
    <n v="9963.36"/>
  </r>
  <r>
    <x v="1"/>
    <x v="0"/>
    <x v="1"/>
    <n v="212"/>
    <n v="14"/>
    <n v="6.6"/>
    <n v="36.75"/>
    <n v="7791"/>
  </r>
  <r>
    <x v="1"/>
    <x v="0"/>
    <x v="2"/>
    <n v="278"/>
    <n v="5"/>
    <n v="1.8"/>
    <n v="23.67"/>
    <n v="6580.26"/>
  </r>
  <r>
    <x v="1"/>
    <x v="0"/>
    <x v="2"/>
    <n v="269"/>
    <n v="10"/>
    <n v="3.72"/>
    <n v="40.74"/>
    <n v="10959.06"/>
  </r>
  <r>
    <x v="2"/>
    <x v="0"/>
    <x v="2"/>
    <n v="69"/>
    <n v="0"/>
    <n v="0"/>
    <n v="12.56"/>
    <n v="866.64"/>
  </r>
  <r>
    <x v="2"/>
    <x v="0"/>
    <x v="2"/>
    <n v="92"/>
    <n v="4"/>
    <n v="4.3499999999999996"/>
    <n v="20.14"/>
    <n v="1852.88"/>
  </r>
  <r>
    <x v="2"/>
    <x v="0"/>
    <x v="2"/>
    <n v="163"/>
    <n v="6"/>
    <n v="3.68"/>
    <n v="16.46"/>
    <n v="2682.98"/>
  </r>
  <r>
    <x v="1"/>
    <x v="0"/>
    <x v="1"/>
    <n v="138"/>
    <n v="12"/>
    <n v="8.6999999999999993"/>
    <n v="48.69"/>
    <n v="6719.22"/>
  </r>
  <r>
    <x v="0"/>
    <x v="0"/>
    <x v="2"/>
    <n v="55"/>
    <n v="5"/>
    <n v="9.09"/>
    <n v="33.619999999999997"/>
    <n v="1849.1"/>
  </r>
  <r>
    <x v="3"/>
    <x v="0"/>
    <x v="2"/>
    <n v="236"/>
    <n v="18"/>
    <n v="7.63"/>
    <n v="35.81"/>
    <n v="8451.16"/>
  </r>
  <r>
    <x v="3"/>
    <x v="0"/>
    <x v="2"/>
    <n v="232"/>
    <n v="6"/>
    <n v="2.59"/>
    <n v="68.14"/>
    <n v="15808.48"/>
  </r>
  <r>
    <x v="0"/>
    <x v="0"/>
    <x v="0"/>
    <n v="142"/>
    <n v="6"/>
    <n v="4.2300000000000004"/>
    <n v="24.59"/>
    <n v="3491.78"/>
  </r>
  <r>
    <x v="0"/>
    <x v="0"/>
    <x v="2"/>
    <n v="297"/>
    <n v="10"/>
    <n v="3.37"/>
    <n v="33.03"/>
    <n v="9809.91"/>
  </r>
  <r>
    <x v="1"/>
    <x v="0"/>
    <x v="2"/>
    <n v="217"/>
    <n v="2"/>
    <n v="0.92"/>
    <n v="65.790000000000006"/>
    <n v="14276.43"/>
  </r>
  <r>
    <x v="2"/>
    <x v="0"/>
    <x v="2"/>
    <n v="105"/>
    <n v="0"/>
    <n v="0"/>
    <n v="68.31"/>
    <n v="7172.55"/>
  </r>
  <r>
    <x v="0"/>
    <x v="0"/>
    <x v="2"/>
    <n v="298"/>
    <n v="21"/>
    <n v="7.05"/>
    <n v="31.82"/>
    <n v="9482.36"/>
  </r>
  <r>
    <x v="1"/>
    <x v="0"/>
    <x v="1"/>
    <n v="74"/>
    <n v="7"/>
    <n v="9.4600000000000009"/>
    <n v="22.9"/>
    <n v="1694.6"/>
  </r>
  <r>
    <x v="1"/>
    <x v="0"/>
    <x v="1"/>
    <n v="270"/>
    <n v="11"/>
    <n v="4.07"/>
    <n v="58.98"/>
    <n v="15924.6"/>
  </r>
  <r>
    <x v="0"/>
    <x v="0"/>
    <x v="2"/>
    <n v="218"/>
    <n v="21"/>
    <n v="9.6300000000000008"/>
    <n v="12.01"/>
    <n v="2618.1799999999998"/>
  </r>
  <r>
    <x v="0"/>
    <x v="0"/>
    <x v="0"/>
    <n v="155"/>
    <n v="5"/>
    <n v="3.23"/>
    <n v="64.459999999999994"/>
    <n v="9991.2999999999993"/>
  </r>
  <r>
    <x v="1"/>
    <x v="0"/>
    <x v="2"/>
    <n v="157"/>
    <n v="11"/>
    <n v="7.01"/>
    <n v="43"/>
    <n v="6751"/>
  </r>
  <r>
    <x v="1"/>
    <x v="0"/>
    <x v="2"/>
    <n v="230"/>
    <n v="10"/>
    <n v="4.3499999999999996"/>
    <n v="38.35"/>
    <n v="8820.5"/>
  </r>
  <r>
    <x v="0"/>
    <x v="0"/>
    <x v="0"/>
    <n v="73"/>
    <n v="3"/>
    <n v="4.1100000000000003"/>
    <n v="40.700000000000003"/>
    <n v="2971.1"/>
  </r>
  <r>
    <x v="2"/>
    <x v="0"/>
    <x v="2"/>
    <n v="72"/>
    <n v="0"/>
    <n v="0"/>
    <n v="21.56"/>
    <n v="1552.32"/>
  </r>
  <r>
    <x v="2"/>
    <x v="0"/>
    <x v="2"/>
    <n v="70"/>
    <n v="7"/>
    <n v="10"/>
    <n v="20.83"/>
    <n v="1458.1"/>
  </r>
  <r>
    <x v="0"/>
    <x v="0"/>
    <x v="2"/>
    <n v="201"/>
    <n v="10"/>
    <n v="4.9800000000000004"/>
    <n v="67.349999999999994"/>
    <n v="13537.35"/>
  </r>
  <r>
    <x v="1"/>
    <x v="0"/>
    <x v="1"/>
    <n v="184"/>
    <n v="9"/>
    <n v="4.8899999999999997"/>
    <n v="19.41"/>
    <n v="3571.44"/>
  </r>
  <r>
    <x v="1"/>
    <x v="0"/>
    <x v="2"/>
    <n v="116"/>
    <n v="6"/>
    <n v="5.17"/>
    <n v="55.12"/>
    <n v="6393.92"/>
  </r>
  <r>
    <x v="0"/>
    <x v="0"/>
    <x v="0"/>
    <n v="276"/>
    <n v="23"/>
    <n v="8.33"/>
    <n v="57.53"/>
    <n v="15878.28"/>
  </r>
  <r>
    <x v="3"/>
    <x v="0"/>
    <x v="2"/>
    <n v="186"/>
    <n v="7"/>
    <n v="3.76"/>
    <n v="56.16"/>
    <n v="10445.76"/>
  </r>
  <r>
    <x v="1"/>
    <x v="0"/>
    <x v="2"/>
    <n v="147"/>
    <n v="7"/>
    <n v="4.76"/>
    <n v="22.62"/>
    <n v="3325.14"/>
  </r>
  <r>
    <x v="0"/>
    <x v="0"/>
    <x v="2"/>
    <n v="59"/>
    <n v="5"/>
    <n v="8.4700000000000006"/>
    <n v="10.64"/>
    <n v="627.76"/>
  </r>
  <r>
    <x v="0"/>
    <x v="0"/>
    <x v="2"/>
    <n v="204"/>
    <n v="18"/>
    <n v="8.82"/>
    <n v="41.39"/>
    <n v="8443.56"/>
  </r>
  <r>
    <x v="1"/>
    <x v="0"/>
    <x v="2"/>
    <n v="229"/>
    <n v="16"/>
    <n v="6.99"/>
    <n v="25.09"/>
    <n v="5745.61"/>
  </r>
  <r>
    <x v="3"/>
    <x v="0"/>
    <x v="2"/>
    <n v="271"/>
    <n v="8"/>
    <n v="2.95"/>
    <n v="22.77"/>
    <n v="6170.67"/>
  </r>
  <r>
    <x v="3"/>
    <x v="0"/>
    <x v="2"/>
    <n v="77"/>
    <n v="1"/>
    <n v="1.3"/>
    <n v="12.18"/>
    <n v="937.86"/>
  </r>
  <r>
    <x v="0"/>
    <x v="0"/>
    <x v="0"/>
    <n v="119"/>
    <n v="3"/>
    <n v="2.52"/>
    <n v="66.89"/>
    <n v="7959.91"/>
  </r>
  <r>
    <x v="0"/>
    <x v="0"/>
    <x v="0"/>
    <n v="122"/>
    <n v="0"/>
    <n v="0"/>
    <n v="47.1"/>
    <n v="5746.2"/>
  </r>
  <r>
    <x v="2"/>
    <x v="0"/>
    <x v="2"/>
    <n v="156"/>
    <n v="13"/>
    <n v="8.33"/>
    <n v="52.79"/>
    <n v="8235.24"/>
  </r>
  <r>
    <x v="3"/>
    <x v="0"/>
    <x v="2"/>
    <n v="251"/>
    <n v="16"/>
    <n v="6.37"/>
    <n v="69.63"/>
    <n v="17477.13"/>
  </r>
  <r>
    <x v="0"/>
    <x v="0"/>
    <x v="2"/>
    <n v="209"/>
    <n v="17"/>
    <n v="8.1300000000000008"/>
    <n v="63.94"/>
    <n v="13363.46"/>
  </r>
  <r>
    <x v="3"/>
    <x v="0"/>
    <x v="2"/>
    <n v="83"/>
    <n v="3"/>
    <n v="3.61"/>
    <n v="50.07"/>
    <n v="4155.8100000000004"/>
  </r>
  <r>
    <x v="1"/>
    <x v="0"/>
    <x v="1"/>
    <n v="116"/>
    <n v="8"/>
    <n v="6.9"/>
    <n v="9.93"/>
    <n v="1151.8800000000001"/>
  </r>
  <r>
    <x v="1"/>
    <x v="0"/>
    <x v="2"/>
    <n v="204"/>
    <n v="4"/>
    <n v="1.96"/>
    <n v="50.02"/>
    <n v="10204.08"/>
  </r>
  <r>
    <x v="3"/>
    <x v="0"/>
    <x v="2"/>
    <n v="88"/>
    <n v="3"/>
    <n v="3.41"/>
    <n v="39.32"/>
    <n v="3460.16"/>
  </r>
  <r>
    <x v="2"/>
    <x v="0"/>
    <x v="2"/>
    <n v="262"/>
    <n v="21"/>
    <n v="8.02"/>
    <n v="10.62"/>
    <n v="2782.44"/>
  </r>
  <r>
    <x v="0"/>
    <x v="0"/>
    <x v="0"/>
    <n v="167"/>
    <n v="15"/>
    <n v="8.98"/>
    <n v="43.75"/>
    <n v="7306.25"/>
  </r>
  <r>
    <x v="0"/>
    <x v="0"/>
    <x v="2"/>
    <n v="82"/>
    <n v="0"/>
    <n v="0"/>
    <n v="68.06"/>
    <n v="5580.92"/>
  </r>
  <r>
    <x v="0"/>
    <x v="0"/>
    <x v="2"/>
    <n v="248"/>
    <n v="1"/>
    <n v="0.4"/>
    <n v="64.83"/>
    <n v="16077.84"/>
  </r>
  <r>
    <x v="1"/>
    <x v="0"/>
    <x v="2"/>
    <n v="124"/>
    <n v="9"/>
    <n v="7.26"/>
    <n v="38.11"/>
    <n v="4725.6400000000003"/>
  </r>
  <r>
    <x v="1"/>
    <x v="0"/>
    <x v="1"/>
    <n v="265"/>
    <n v="12"/>
    <n v="4.53"/>
    <n v="13.77"/>
    <n v="3649.05"/>
  </r>
  <r>
    <x v="3"/>
    <x v="0"/>
    <x v="2"/>
    <n v="172"/>
    <n v="1"/>
    <n v="0.57999999999999996"/>
    <n v="41.78"/>
    <n v="7186.16"/>
  </r>
  <r>
    <x v="1"/>
    <x v="0"/>
    <x v="1"/>
    <n v="103"/>
    <n v="6"/>
    <n v="5.83"/>
    <n v="53.53"/>
    <n v="5513.59"/>
  </r>
  <r>
    <x v="2"/>
    <x v="0"/>
    <x v="2"/>
    <n v="80"/>
    <n v="7"/>
    <n v="8.75"/>
    <n v="64.930000000000007"/>
    <n v="5194.3999999999996"/>
  </r>
  <r>
    <x v="0"/>
    <x v="0"/>
    <x v="2"/>
    <n v="116"/>
    <n v="1"/>
    <n v="0.86"/>
    <n v="9.27"/>
    <n v="1075.32"/>
  </r>
  <r>
    <x v="1"/>
    <x v="0"/>
    <x v="2"/>
    <n v="169"/>
    <n v="15"/>
    <n v="8.8800000000000008"/>
    <n v="50.62"/>
    <n v="8554.7800000000007"/>
  </r>
  <r>
    <x v="1"/>
    <x v="0"/>
    <x v="1"/>
    <n v="162"/>
    <n v="5"/>
    <n v="3.09"/>
    <n v="35.72"/>
    <n v="5786.64"/>
  </r>
  <r>
    <x v="1"/>
    <x v="0"/>
    <x v="1"/>
    <n v="167"/>
    <n v="16"/>
    <n v="9.58"/>
    <n v="17"/>
    <n v="2839"/>
  </r>
  <r>
    <x v="3"/>
    <x v="0"/>
    <x v="2"/>
    <n v="189"/>
    <n v="6"/>
    <n v="3.17"/>
    <n v="56.51"/>
    <n v="10680.39"/>
  </r>
  <r>
    <x v="0"/>
    <x v="0"/>
    <x v="0"/>
    <n v="260"/>
    <n v="18"/>
    <n v="6.92"/>
    <n v="68.430000000000007"/>
    <n v="17791.8"/>
  </r>
  <r>
    <x v="0"/>
    <x v="0"/>
    <x v="0"/>
    <n v="89"/>
    <n v="1"/>
    <n v="1.1200000000000001"/>
    <n v="39.97"/>
    <n v="3557.33"/>
  </r>
  <r>
    <x v="1"/>
    <x v="0"/>
    <x v="1"/>
    <n v="279"/>
    <n v="12"/>
    <n v="4.3"/>
    <n v="21.79"/>
    <n v="6079.41"/>
  </r>
  <r>
    <x v="1"/>
    <x v="0"/>
    <x v="2"/>
    <n v="62"/>
    <n v="6"/>
    <n v="9.68"/>
    <n v="40.369999999999997"/>
    <n v="2502.94"/>
  </r>
  <r>
    <x v="1"/>
    <x v="0"/>
    <x v="1"/>
    <n v="95"/>
    <n v="7"/>
    <n v="7.37"/>
    <n v="55.17"/>
    <n v="5241.1499999999996"/>
  </r>
  <r>
    <x v="1"/>
    <x v="0"/>
    <x v="1"/>
    <n v="300"/>
    <n v="13"/>
    <n v="4.33"/>
    <n v="29.55"/>
    <n v="8865"/>
  </r>
  <r>
    <x v="2"/>
    <x v="0"/>
    <x v="2"/>
    <n v="260"/>
    <n v="13"/>
    <n v="5"/>
    <n v="65.790000000000006"/>
    <n v="17105.400000000001"/>
  </r>
  <r>
    <x v="2"/>
    <x v="0"/>
    <x v="2"/>
    <n v="296"/>
    <n v="4"/>
    <n v="1.35"/>
    <n v="21.55"/>
    <n v="6378.8"/>
  </r>
  <r>
    <x v="1"/>
    <x v="0"/>
    <x v="2"/>
    <n v="250"/>
    <n v="3"/>
    <n v="1.2"/>
    <n v="49.39"/>
    <n v="12347.5"/>
  </r>
  <r>
    <x v="2"/>
    <x v="0"/>
    <x v="2"/>
    <n v="173"/>
    <n v="17"/>
    <n v="9.83"/>
    <n v="63.57"/>
    <n v="10997.61"/>
  </r>
  <r>
    <x v="1"/>
    <x v="0"/>
    <x v="1"/>
    <n v="212"/>
    <n v="18"/>
    <n v="8.49"/>
    <n v="41.09"/>
    <n v="8711.08"/>
  </r>
  <r>
    <x v="2"/>
    <x v="0"/>
    <x v="2"/>
    <n v="261"/>
    <n v="8"/>
    <n v="3.07"/>
    <n v="11.69"/>
    <n v="3051.09"/>
  </r>
  <r>
    <x v="1"/>
    <x v="0"/>
    <x v="1"/>
    <n v="291"/>
    <n v="18"/>
    <n v="6.19"/>
    <n v="26.16"/>
    <n v="7612.56"/>
  </r>
  <r>
    <x v="0"/>
    <x v="0"/>
    <x v="2"/>
    <n v="287"/>
    <n v="21"/>
    <n v="7.32"/>
    <n v="11.38"/>
    <n v="3266.06"/>
  </r>
  <r>
    <x v="3"/>
    <x v="0"/>
    <x v="2"/>
    <n v="201"/>
    <n v="2"/>
    <n v="1"/>
    <n v="30.25"/>
    <n v="6080.25"/>
  </r>
  <r>
    <x v="0"/>
    <x v="0"/>
    <x v="2"/>
    <n v="238"/>
    <n v="20"/>
    <n v="8.4"/>
    <n v="55.39"/>
    <n v="13182.82"/>
  </r>
  <r>
    <x v="2"/>
    <x v="0"/>
    <x v="2"/>
    <n v="59"/>
    <n v="1"/>
    <n v="1.69"/>
    <n v="55.14"/>
    <n v="3253.26"/>
  </r>
  <r>
    <x v="2"/>
    <x v="0"/>
    <x v="2"/>
    <n v="161"/>
    <n v="3"/>
    <n v="1.86"/>
    <n v="40.33"/>
    <n v="6493.13"/>
  </r>
  <r>
    <x v="0"/>
    <x v="0"/>
    <x v="2"/>
    <n v="194"/>
    <n v="16"/>
    <n v="8.25"/>
    <n v="69.900000000000006"/>
    <n v="13560.6"/>
  </r>
  <r>
    <x v="0"/>
    <x v="0"/>
    <x v="0"/>
    <n v="283"/>
    <n v="11"/>
    <n v="3.89"/>
    <n v="55.35"/>
    <n v="15664.05"/>
  </r>
  <r>
    <x v="2"/>
    <x v="0"/>
    <x v="2"/>
    <n v="279"/>
    <n v="6"/>
    <n v="2.15"/>
    <n v="60.57"/>
    <n v="16899.03"/>
  </r>
  <r>
    <x v="1"/>
    <x v="0"/>
    <x v="2"/>
    <n v="278"/>
    <n v="4"/>
    <n v="1.44"/>
    <n v="24.7"/>
    <n v="6866.6"/>
  </r>
  <r>
    <x v="3"/>
    <x v="0"/>
    <x v="2"/>
    <n v="94"/>
    <n v="0"/>
    <n v="0"/>
    <n v="56.67"/>
    <n v="5326.98"/>
  </r>
  <r>
    <x v="1"/>
    <x v="0"/>
    <x v="2"/>
    <n v="68"/>
    <n v="1"/>
    <n v="1.47"/>
    <n v="18.079999999999998"/>
    <n v="1229.44"/>
  </r>
  <r>
    <x v="1"/>
    <x v="0"/>
    <x v="1"/>
    <n v="269"/>
    <n v="8"/>
    <n v="2.97"/>
    <n v="61.13"/>
    <n v="16443.97"/>
  </r>
  <r>
    <x v="2"/>
    <x v="0"/>
    <x v="2"/>
    <n v="291"/>
    <n v="20"/>
    <n v="6.87"/>
    <n v="15.39"/>
    <n v="4478.49"/>
  </r>
  <r>
    <x v="0"/>
    <x v="0"/>
    <x v="2"/>
    <n v="227"/>
    <n v="5"/>
    <n v="2.2000000000000002"/>
    <n v="55.88"/>
    <n v="12684.76"/>
  </r>
  <r>
    <x v="2"/>
    <x v="0"/>
    <x v="2"/>
    <n v="284"/>
    <n v="28"/>
    <n v="9.86"/>
    <n v="14.81"/>
    <n v="4206.04"/>
  </r>
  <r>
    <x v="1"/>
    <x v="0"/>
    <x v="1"/>
    <n v="253"/>
    <n v="2"/>
    <n v="0.79"/>
    <n v="52.17"/>
    <n v="13199.01"/>
  </r>
  <r>
    <x v="1"/>
    <x v="0"/>
    <x v="2"/>
    <n v="96"/>
    <n v="5"/>
    <n v="5.21"/>
    <n v="20.440000000000001"/>
    <n v="1962.24"/>
  </r>
  <r>
    <x v="1"/>
    <x v="0"/>
    <x v="1"/>
    <n v="89"/>
    <n v="8"/>
    <n v="8.99"/>
    <n v="9.3000000000000007"/>
    <n v="827.7"/>
  </r>
  <r>
    <x v="3"/>
    <x v="0"/>
    <x v="2"/>
    <n v="296"/>
    <n v="22"/>
    <n v="7.43"/>
    <n v="68.5"/>
    <n v="20276"/>
  </r>
  <r>
    <x v="2"/>
    <x v="0"/>
    <x v="2"/>
    <n v="143"/>
    <n v="13"/>
    <n v="9.09"/>
    <n v="19.420000000000002"/>
    <n v="2777.06"/>
  </r>
  <r>
    <x v="1"/>
    <x v="0"/>
    <x v="1"/>
    <n v="278"/>
    <n v="23"/>
    <n v="8.27"/>
    <n v="44.08"/>
    <n v="12254.24"/>
  </r>
  <r>
    <x v="0"/>
    <x v="0"/>
    <x v="2"/>
    <n v="159"/>
    <n v="7"/>
    <n v="4.4000000000000004"/>
    <n v="69.61"/>
    <n v="11067.99"/>
  </r>
  <r>
    <x v="1"/>
    <x v="0"/>
    <x v="2"/>
    <n v="108"/>
    <n v="9"/>
    <n v="8.33"/>
    <n v="68.77"/>
    <n v="7427.16"/>
  </r>
  <r>
    <x v="2"/>
    <x v="0"/>
    <x v="2"/>
    <n v="133"/>
    <n v="2"/>
    <n v="1.5"/>
    <n v="40.54"/>
    <n v="5391.82"/>
  </r>
  <r>
    <x v="1"/>
    <x v="0"/>
    <x v="1"/>
    <n v="284"/>
    <n v="5"/>
    <n v="1.76"/>
    <n v="45.31"/>
    <n v="12868.04"/>
  </r>
  <r>
    <x v="1"/>
    <x v="0"/>
    <x v="1"/>
    <n v="213"/>
    <n v="7"/>
    <n v="3.29"/>
    <n v="31.45"/>
    <n v="6698.85"/>
  </r>
  <r>
    <x v="3"/>
    <x v="0"/>
    <x v="2"/>
    <n v="55"/>
    <n v="5"/>
    <n v="9.09"/>
    <n v="23.29"/>
    <n v="1280.95"/>
  </r>
  <r>
    <x v="1"/>
    <x v="0"/>
    <x v="1"/>
    <n v="216"/>
    <n v="12"/>
    <n v="5.56"/>
    <n v="26.66"/>
    <n v="5758.56"/>
  </r>
  <r>
    <x v="0"/>
    <x v="0"/>
    <x v="2"/>
    <n v="85"/>
    <n v="4"/>
    <n v="4.71"/>
    <n v="25.82"/>
    <n v="2194.6999999999998"/>
  </r>
  <r>
    <x v="1"/>
    <x v="0"/>
    <x v="2"/>
    <n v="259"/>
    <n v="11"/>
    <n v="4.25"/>
    <n v="63.91"/>
    <n v="16552.689999999999"/>
  </r>
  <r>
    <x v="1"/>
    <x v="0"/>
    <x v="2"/>
    <n v="58"/>
    <n v="4"/>
    <n v="6.9"/>
    <n v="9.65"/>
    <n v="559.70000000000005"/>
  </r>
  <r>
    <x v="1"/>
    <x v="0"/>
    <x v="1"/>
    <n v="126"/>
    <n v="4"/>
    <n v="3.17"/>
    <n v="37.700000000000003"/>
    <n v="4750.2"/>
  </r>
  <r>
    <x v="0"/>
    <x v="0"/>
    <x v="2"/>
    <n v="99"/>
    <n v="2"/>
    <n v="2.02"/>
    <n v="38.29"/>
    <n v="3790.71"/>
  </r>
  <r>
    <x v="2"/>
    <x v="0"/>
    <x v="2"/>
    <n v="102"/>
    <n v="2"/>
    <n v="1.96"/>
    <n v="6.17"/>
    <n v="629.34"/>
  </r>
  <r>
    <x v="1"/>
    <x v="0"/>
    <x v="1"/>
    <n v="202"/>
    <n v="19"/>
    <n v="9.41"/>
    <n v="44.78"/>
    <n v="9045.56"/>
  </r>
  <r>
    <x v="1"/>
    <x v="0"/>
    <x v="1"/>
    <n v="298"/>
    <n v="5"/>
    <n v="1.68"/>
    <n v="10.07"/>
    <n v="3000.86"/>
  </r>
  <r>
    <x v="0"/>
    <x v="0"/>
    <x v="0"/>
    <n v="292"/>
    <n v="15"/>
    <n v="5.14"/>
    <n v="23.17"/>
    <n v="6765.64"/>
  </r>
  <r>
    <x v="1"/>
    <x v="0"/>
    <x v="1"/>
    <n v="237"/>
    <n v="23"/>
    <n v="9.6999999999999993"/>
    <n v="36.49"/>
    <n v="8648.1299999999992"/>
  </r>
  <r>
    <x v="1"/>
    <x v="0"/>
    <x v="1"/>
    <n v="54"/>
    <n v="2"/>
    <n v="3.7"/>
    <n v="26.69"/>
    <n v="1441.26"/>
  </r>
  <r>
    <x v="0"/>
    <x v="0"/>
    <x v="2"/>
    <n v="128"/>
    <n v="10"/>
    <n v="7.81"/>
    <n v="15"/>
    <n v="1920"/>
  </r>
  <r>
    <x v="2"/>
    <x v="0"/>
    <x v="2"/>
    <n v="164"/>
    <n v="2"/>
    <n v="1.22"/>
    <n v="57.51"/>
    <n v="9431.64"/>
  </r>
  <r>
    <x v="0"/>
    <x v="0"/>
    <x v="2"/>
    <n v="183"/>
    <n v="4"/>
    <n v="2.19"/>
    <n v="32.24"/>
    <n v="5899.92"/>
  </r>
  <r>
    <x v="2"/>
    <x v="0"/>
    <x v="2"/>
    <n v="208"/>
    <n v="7"/>
    <n v="3.37"/>
    <n v="42.13"/>
    <n v="8763.0400000000009"/>
  </r>
  <r>
    <x v="3"/>
    <x v="0"/>
    <x v="2"/>
    <n v="240"/>
    <n v="22"/>
    <n v="9.17"/>
    <n v="63.44"/>
    <n v="15225.6"/>
  </r>
  <r>
    <x v="1"/>
    <x v="0"/>
    <x v="2"/>
    <n v="93"/>
    <n v="3"/>
    <n v="3.23"/>
    <n v="16.010000000000002"/>
    <n v="1488.93"/>
  </r>
  <r>
    <x v="0"/>
    <x v="0"/>
    <x v="2"/>
    <n v="159"/>
    <n v="13"/>
    <n v="8.18"/>
    <n v="6.65"/>
    <n v="1057.3499999999999"/>
  </r>
  <r>
    <x v="2"/>
    <x v="0"/>
    <x v="2"/>
    <n v="108"/>
    <n v="10"/>
    <n v="9.26"/>
    <n v="57.89"/>
    <n v="6252.12"/>
  </r>
  <r>
    <x v="3"/>
    <x v="0"/>
    <x v="2"/>
    <n v="70"/>
    <n v="7"/>
    <n v="10"/>
    <n v="44.26"/>
    <n v="3098.2"/>
  </r>
  <r>
    <x v="2"/>
    <x v="0"/>
    <x v="2"/>
    <n v="100"/>
    <n v="5"/>
    <n v="5"/>
    <n v="39.81"/>
    <n v="3981"/>
  </r>
  <r>
    <x v="0"/>
    <x v="0"/>
    <x v="0"/>
    <n v="207"/>
    <n v="18"/>
    <n v="8.6999999999999993"/>
    <n v="40.15"/>
    <n v="8311.0499999999993"/>
  </r>
  <r>
    <x v="1"/>
    <x v="0"/>
    <x v="1"/>
    <n v="194"/>
    <n v="4"/>
    <n v="2.06"/>
    <n v="66.83"/>
    <n v="12965.02"/>
  </r>
  <r>
    <x v="2"/>
    <x v="0"/>
    <x v="2"/>
    <n v="56"/>
    <n v="4"/>
    <n v="7.14"/>
    <n v="50.78"/>
    <n v="2843.68"/>
  </r>
  <r>
    <x v="2"/>
    <x v="0"/>
    <x v="2"/>
    <n v="75"/>
    <n v="4"/>
    <n v="5.33"/>
    <n v="41.23"/>
    <n v="3092.25"/>
  </r>
  <r>
    <x v="2"/>
    <x v="0"/>
    <x v="2"/>
    <n v="181"/>
    <n v="17"/>
    <n v="9.39"/>
    <n v="14.15"/>
    <n v="2561.15"/>
  </r>
  <r>
    <x v="0"/>
    <x v="0"/>
    <x v="0"/>
    <n v="73"/>
    <n v="0"/>
    <n v="0"/>
    <n v="9.69"/>
    <n v="707.37"/>
  </r>
  <r>
    <x v="0"/>
    <x v="0"/>
    <x v="0"/>
    <n v="245"/>
    <n v="9"/>
    <n v="3.67"/>
    <n v="51.88"/>
    <n v="12710.6"/>
  </r>
  <r>
    <x v="1"/>
    <x v="0"/>
    <x v="2"/>
    <n v="268"/>
    <n v="16"/>
    <n v="5.97"/>
    <n v="8.57"/>
    <n v="2296.7600000000002"/>
  </r>
  <r>
    <x v="2"/>
    <x v="0"/>
    <x v="2"/>
    <n v="56"/>
    <n v="2"/>
    <n v="3.57"/>
    <n v="59.8"/>
    <n v="3348.8"/>
  </r>
  <r>
    <x v="2"/>
    <x v="0"/>
    <x v="2"/>
    <n v="51"/>
    <n v="4"/>
    <n v="7.84"/>
    <n v="58.75"/>
    <n v="2996.25"/>
  </r>
  <r>
    <x v="0"/>
    <x v="0"/>
    <x v="2"/>
    <n v="177"/>
    <n v="14"/>
    <n v="7.91"/>
    <n v="35.36"/>
    <n v="6258.72"/>
  </r>
  <r>
    <x v="1"/>
    <x v="0"/>
    <x v="2"/>
    <n v="105"/>
    <n v="10"/>
    <n v="9.52"/>
    <n v="62.35"/>
    <n v="6546.75"/>
  </r>
  <r>
    <x v="0"/>
    <x v="0"/>
    <x v="0"/>
    <n v="156"/>
    <n v="3"/>
    <n v="1.92"/>
    <n v="25.61"/>
    <n v="3995.16"/>
  </r>
  <r>
    <x v="3"/>
    <x v="0"/>
    <x v="2"/>
    <n v="144"/>
    <n v="12"/>
    <n v="8.33"/>
    <n v="15.98"/>
    <n v="2301.12"/>
  </r>
  <r>
    <x v="3"/>
    <x v="0"/>
    <x v="2"/>
    <n v="80"/>
    <n v="3"/>
    <n v="3.75"/>
    <n v="35.26"/>
    <n v="2820.8"/>
  </r>
  <r>
    <x v="1"/>
    <x v="0"/>
    <x v="2"/>
    <n v="141"/>
    <n v="12"/>
    <n v="8.51"/>
    <n v="5.17"/>
    <n v="728.97"/>
  </r>
  <r>
    <x v="2"/>
    <x v="0"/>
    <x v="2"/>
    <n v="174"/>
    <n v="8"/>
    <n v="4.5999999999999996"/>
    <n v="69.09"/>
    <n v="12021.66"/>
  </r>
  <r>
    <x v="3"/>
    <x v="0"/>
    <x v="2"/>
    <n v="143"/>
    <n v="12"/>
    <n v="8.39"/>
    <n v="49.53"/>
    <n v="7082.79"/>
  </r>
  <r>
    <x v="0"/>
    <x v="0"/>
    <x v="2"/>
    <n v="297"/>
    <n v="19"/>
    <n v="6.4"/>
    <n v="43.8"/>
    <n v="13008.6"/>
  </r>
  <r>
    <x v="0"/>
    <x v="0"/>
    <x v="2"/>
    <n v="64"/>
    <n v="5"/>
    <n v="7.81"/>
    <n v="31.2"/>
    <n v="1996.8"/>
  </r>
  <r>
    <x v="2"/>
    <x v="0"/>
    <x v="2"/>
    <n v="265"/>
    <n v="18"/>
    <n v="6.79"/>
    <n v="67.67"/>
    <n v="17932.55"/>
  </r>
  <r>
    <x v="1"/>
    <x v="0"/>
    <x v="2"/>
    <n v="228"/>
    <n v="6"/>
    <n v="2.63"/>
    <n v="36.79"/>
    <n v="8388.1200000000008"/>
  </r>
  <r>
    <x v="1"/>
    <x v="0"/>
    <x v="2"/>
    <n v="150"/>
    <n v="13"/>
    <n v="8.67"/>
    <n v="57.33"/>
    <n v="8599.5"/>
  </r>
  <r>
    <x v="2"/>
    <x v="0"/>
    <x v="2"/>
    <n v="184"/>
    <n v="3"/>
    <n v="1.63"/>
    <n v="19.46"/>
    <n v="3580.64"/>
  </r>
  <r>
    <x v="0"/>
    <x v="0"/>
    <x v="0"/>
    <n v="206"/>
    <n v="19"/>
    <n v="9.2200000000000006"/>
    <n v="28.39"/>
    <n v="5848.34"/>
  </r>
  <r>
    <x v="1"/>
    <x v="0"/>
    <x v="1"/>
    <n v="66"/>
    <n v="3"/>
    <n v="4.55"/>
    <n v="68.569999999999993"/>
    <n v="4525.62"/>
  </r>
  <r>
    <x v="3"/>
    <x v="0"/>
    <x v="2"/>
    <n v="72"/>
    <n v="5"/>
    <n v="6.94"/>
    <n v="6.76"/>
    <n v="486.72"/>
  </r>
  <r>
    <x v="1"/>
    <x v="0"/>
    <x v="2"/>
    <n v="171"/>
    <n v="17"/>
    <n v="9.94"/>
    <n v="59.73"/>
    <n v="10213.83"/>
  </r>
  <r>
    <x v="2"/>
    <x v="0"/>
    <x v="2"/>
    <n v="291"/>
    <n v="26"/>
    <n v="8.93"/>
    <n v="43.52"/>
    <n v="12664.32"/>
  </r>
  <r>
    <x v="0"/>
    <x v="0"/>
    <x v="2"/>
    <n v="171"/>
    <n v="1"/>
    <n v="0.57999999999999996"/>
    <n v="24.01"/>
    <n v="4105.71"/>
  </r>
  <r>
    <x v="3"/>
    <x v="0"/>
    <x v="2"/>
    <n v="299"/>
    <n v="0"/>
    <n v="0"/>
    <n v="16.989999999999998"/>
    <n v="5080.01"/>
  </r>
  <r>
    <x v="1"/>
    <x v="0"/>
    <x v="2"/>
    <n v="52"/>
    <n v="0"/>
    <n v="0"/>
    <n v="66.260000000000005"/>
    <n v="3445.52"/>
  </r>
  <r>
    <x v="0"/>
    <x v="0"/>
    <x v="2"/>
    <n v="90"/>
    <n v="9"/>
    <n v="10"/>
    <n v="19.440000000000001"/>
    <n v="1749.6"/>
  </r>
  <r>
    <x v="1"/>
    <x v="0"/>
    <x v="2"/>
    <n v="273"/>
    <n v="24"/>
    <n v="8.7899999999999991"/>
    <n v="13.67"/>
    <n v="3731.91"/>
  </r>
  <r>
    <x v="3"/>
    <x v="0"/>
    <x v="2"/>
    <n v="159"/>
    <n v="8"/>
    <n v="5.03"/>
    <n v="11.77"/>
    <n v="1871.43"/>
  </r>
  <r>
    <x v="0"/>
    <x v="0"/>
    <x v="2"/>
    <n v="292"/>
    <n v="15"/>
    <n v="5.14"/>
    <n v="43.62"/>
    <n v="12737.04"/>
  </r>
  <r>
    <x v="1"/>
    <x v="0"/>
    <x v="2"/>
    <n v="224"/>
    <n v="0"/>
    <n v="0"/>
    <n v="26.88"/>
    <n v="6021.12"/>
  </r>
  <r>
    <x v="1"/>
    <x v="0"/>
    <x v="1"/>
    <n v="260"/>
    <n v="2"/>
    <n v="0.77"/>
    <n v="18.93"/>
    <n v="4921.8"/>
  </r>
  <r>
    <x v="3"/>
    <x v="0"/>
    <x v="2"/>
    <n v="234"/>
    <n v="15"/>
    <n v="6.41"/>
    <n v="45.78"/>
    <n v="10712.52"/>
  </r>
  <r>
    <x v="1"/>
    <x v="0"/>
    <x v="2"/>
    <n v="293"/>
    <n v="0"/>
    <n v="0"/>
    <n v="19.71"/>
    <n v="5775.03"/>
  </r>
  <r>
    <x v="2"/>
    <x v="0"/>
    <x v="2"/>
    <n v="72"/>
    <n v="5"/>
    <n v="6.94"/>
    <n v="40.69"/>
    <n v="2929.68"/>
  </r>
  <r>
    <x v="0"/>
    <x v="0"/>
    <x v="2"/>
    <n v="289"/>
    <n v="9"/>
    <n v="3.11"/>
    <n v="40.72"/>
    <n v="11768.08"/>
  </r>
  <r>
    <x v="1"/>
    <x v="0"/>
    <x v="1"/>
    <n v="283"/>
    <n v="5"/>
    <n v="1.77"/>
    <n v="49.25"/>
    <n v="13937.75"/>
  </r>
  <r>
    <x v="3"/>
    <x v="0"/>
    <x v="2"/>
    <n v="77"/>
    <n v="0"/>
    <n v="0"/>
    <n v="11.15"/>
    <n v="858.55"/>
  </r>
  <r>
    <x v="1"/>
    <x v="0"/>
    <x v="1"/>
    <n v="298"/>
    <n v="29"/>
    <n v="9.73"/>
    <n v="49.65"/>
    <n v="14795.7"/>
  </r>
  <r>
    <x v="3"/>
    <x v="0"/>
    <x v="2"/>
    <n v="57"/>
    <n v="0"/>
    <n v="0"/>
    <n v="9.24"/>
    <n v="526.67999999999995"/>
  </r>
  <r>
    <x v="3"/>
    <x v="0"/>
    <x v="2"/>
    <n v="53"/>
    <n v="5"/>
    <n v="9.43"/>
    <n v="64.86"/>
    <n v="3437.58"/>
  </r>
  <r>
    <x v="2"/>
    <x v="0"/>
    <x v="2"/>
    <n v="80"/>
    <n v="1"/>
    <n v="1.25"/>
    <n v="44.38"/>
    <n v="3550.4"/>
  </r>
  <r>
    <x v="0"/>
    <x v="0"/>
    <x v="0"/>
    <n v="178"/>
    <n v="12"/>
    <n v="6.74"/>
    <n v="69.47"/>
    <n v="12365.66"/>
  </r>
  <r>
    <x v="2"/>
    <x v="0"/>
    <x v="2"/>
    <n v="177"/>
    <n v="17"/>
    <n v="9.6"/>
    <n v="67.569999999999993"/>
    <n v="11959.89"/>
  </r>
  <r>
    <x v="1"/>
    <x v="0"/>
    <x v="1"/>
    <n v="124"/>
    <n v="6"/>
    <n v="4.84"/>
    <n v="66.2"/>
    <n v="8208.7999999999993"/>
  </r>
  <r>
    <x v="0"/>
    <x v="0"/>
    <x v="0"/>
    <n v="181"/>
    <n v="13"/>
    <n v="7.18"/>
    <n v="10.64"/>
    <n v="1925.84"/>
  </r>
  <r>
    <x v="1"/>
    <x v="0"/>
    <x v="1"/>
    <n v="55"/>
    <n v="0"/>
    <n v="0"/>
    <n v="8.5"/>
    <n v="467.5"/>
  </r>
  <r>
    <x v="1"/>
    <x v="0"/>
    <x v="2"/>
    <n v="88"/>
    <n v="6"/>
    <n v="6.82"/>
    <n v="42.44"/>
    <n v="3734.72"/>
  </r>
  <r>
    <x v="0"/>
    <x v="0"/>
    <x v="0"/>
    <n v="101"/>
    <n v="1"/>
    <n v="0.99"/>
    <n v="32.29"/>
    <n v="3261.29"/>
  </r>
  <r>
    <x v="1"/>
    <x v="0"/>
    <x v="1"/>
    <n v="53"/>
    <n v="4"/>
    <n v="7.55"/>
    <n v="62.88"/>
    <n v="3332.64"/>
  </r>
  <r>
    <x v="1"/>
    <x v="0"/>
    <x v="1"/>
    <n v="252"/>
    <n v="22"/>
    <n v="8.73"/>
    <n v="17.12"/>
    <n v="4314.24"/>
  </r>
  <r>
    <x v="3"/>
    <x v="0"/>
    <x v="2"/>
    <n v="135"/>
    <n v="8"/>
    <n v="5.93"/>
    <n v="41.69"/>
    <n v="5628.15"/>
  </r>
  <r>
    <x v="3"/>
    <x v="0"/>
    <x v="2"/>
    <n v="81"/>
    <n v="2"/>
    <n v="2.4700000000000002"/>
    <n v="31.38"/>
    <n v="2541.7800000000002"/>
  </r>
  <r>
    <x v="0"/>
    <x v="0"/>
    <x v="0"/>
    <n v="144"/>
    <n v="7"/>
    <n v="4.8600000000000003"/>
    <n v="38.29"/>
    <n v="5513.76"/>
  </r>
  <r>
    <x v="1"/>
    <x v="0"/>
    <x v="2"/>
    <n v="255"/>
    <n v="12"/>
    <n v="4.71"/>
    <n v="58.02"/>
    <n v="14795.1"/>
  </r>
  <r>
    <x v="2"/>
    <x v="0"/>
    <x v="2"/>
    <n v="179"/>
    <n v="12"/>
    <n v="6.7"/>
    <n v="52.17"/>
    <n v="9338.43"/>
  </r>
  <r>
    <x v="0"/>
    <x v="0"/>
    <x v="2"/>
    <n v="187"/>
    <n v="15"/>
    <n v="8.02"/>
    <n v="28.34"/>
    <n v="5299.58"/>
  </r>
  <r>
    <x v="0"/>
    <x v="0"/>
    <x v="0"/>
    <n v="90"/>
    <n v="7"/>
    <n v="7.78"/>
    <n v="19.829999999999998"/>
    <n v="1784.7"/>
  </r>
  <r>
    <x v="2"/>
    <x v="0"/>
    <x v="2"/>
    <n v="212"/>
    <n v="2"/>
    <n v="0.94"/>
    <n v="46.06"/>
    <n v="9764.7199999999993"/>
  </r>
  <r>
    <x v="0"/>
    <x v="0"/>
    <x v="0"/>
    <n v="91"/>
    <n v="3"/>
    <n v="3.3"/>
    <n v="40.18"/>
    <n v="3656.38"/>
  </r>
  <r>
    <x v="2"/>
    <x v="0"/>
    <x v="2"/>
    <n v="260"/>
    <n v="23"/>
    <n v="8.85"/>
    <n v="13.57"/>
    <n v="3528.2"/>
  </r>
  <r>
    <x v="2"/>
    <x v="0"/>
    <x v="2"/>
    <n v="65"/>
    <n v="3"/>
    <n v="4.62"/>
    <n v="22.06"/>
    <n v="1433.9"/>
  </r>
  <r>
    <x v="2"/>
    <x v="0"/>
    <x v="2"/>
    <n v="201"/>
    <n v="5"/>
    <n v="2.4900000000000002"/>
    <n v="14.61"/>
    <n v="2936.61"/>
  </r>
  <r>
    <x v="0"/>
    <x v="0"/>
    <x v="2"/>
    <n v="111"/>
    <n v="2"/>
    <n v="1.8"/>
    <n v="34.85"/>
    <n v="3868.35"/>
  </r>
  <r>
    <x v="0"/>
    <x v="0"/>
    <x v="0"/>
    <n v="66"/>
    <n v="3"/>
    <n v="4.55"/>
    <n v="25.71"/>
    <n v="1696.86"/>
  </r>
  <r>
    <x v="2"/>
    <x v="0"/>
    <x v="2"/>
    <n v="163"/>
    <n v="15"/>
    <n v="9.1999999999999993"/>
    <n v="65.400000000000006"/>
    <n v="10660.2"/>
  </r>
  <r>
    <x v="1"/>
    <x v="0"/>
    <x v="2"/>
    <n v="121"/>
    <n v="12"/>
    <n v="9.92"/>
    <n v="63.81"/>
    <n v="7721.01"/>
  </r>
  <r>
    <x v="0"/>
    <x v="0"/>
    <x v="2"/>
    <n v="82"/>
    <n v="1"/>
    <n v="1.22"/>
    <n v="59.67"/>
    <n v="4892.9399999999996"/>
  </r>
  <r>
    <x v="3"/>
    <x v="0"/>
    <x v="2"/>
    <n v="263"/>
    <n v="7"/>
    <n v="2.66"/>
    <n v="55.3"/>
    <n v="14543.9"/>
  </r>
  <r>
    <x v="1"/>
    <x v="0"/>
    <x v="1"/>
    <n v="77"/>
    <n v="3"/>
    <n v="3.9"/>
    <n v="50.94"/>
    <n v="3922.38"/>
  </r>
  <r>
    <x v="0"/>
    <x v="0"/>
    <x v="0"/>
    <n v="159"/>
    <n v="4"/>
    <n v="2.52"/>
    <n v="9.82"/>
    <n v="1561.38"/>
  </r>
  <r>
    <x v="1"/>
    <x v="0"/>
    <x v="1"/>
    <n v="190"/>
    <n v="3"/>
    <n v="1.58"/>
    <n v="11.46"/>
    <n v="2177.4"/>
  </r>
  <r>
    <x v="1"/>
    <x v="0"/>
    <x v="1"/>
    <n v="183"/>
    <n v="6"/>
    <n v="3.28"/>
    <n v="28.97"/>
    <n v="5301.51"/>
  </r>
  <r>
    <x v="1"/>
    <x v="0"/>
    <x v="1"/>
    <n v="199"/>
    <n v="11"/>
    <n v="5.53"/>
    <n v="69.849999999999994"/>
    <n v="13900.15"/>
  </r>
  <r>
    <x v="1"/>
    <x v="0"/>
    <x v="1"/>
    <n v="124"/>
    <n v="5"/>
    <n v="4.03"/>
    <n v="54.52"/>
    <n v="6760.48"/>
  </r>
  <r>
    <x v="0"/>
    <x v="0"/>
    <x v="0"/>
    <n v="164"/>
    <n v="7"/>
    <n v="4.2699999999999996"/>
    <n v="28.66"/>
    <n v="4700.24"/>
  </r>
  <r>
    <x v="0"/>
    <x v="0"/>
    <x v="0"/>
    <n v="86"/>
    <n v="1"/>
    <n v="1.1599999999999999"/>
    <n v="53.49"/>
    <n v="4600.1400000000003"/>
  </r>
  <r>
    <x v="0"/>
    <x v="0"/>
    <x v="2"/>
    <n v="172"/>
    <n v="17"/>
    <n v="9.8800000000000008"/>
    <n v="31.59"/>
    <n v="5433.48"/>
  </r>
  <r>
    <x v="1"/>
    <x v="0"/>
    <x v="2"/>
    <n v="264"/>
    <n v="11"/>
    <n v="4.17"/>
    <n v="50.31"/>
    <n v="13281.84"/>
  </r>
  <r>
    <x v="3"/>
    <x v="0"/>
    <x v="2"/>
    <n v="123"/>
    <n v="1"/>
    <n v="0.81"/>
    <n v="68.53"/>
    <n v="8429.19"/>
  </r>
  <r>
    <x v="2"/>
    <x v="0"/>
    <x v="2"/>
    <n v="77"/>
    <n v="4"/>
    <n v="5.19"/>
    <n v="40.520000000000003"/>
    <n v="3120.04"/>
  </r>
  <r>
    <x v="0"/>
    <x v="0"/>
    <x v="0"/>
    <n v="297"/>
    <n v="28"/>
    <n v="9.43"/>
    <n v="55.17"/>
    <n v="16385.490000000002"/>
  </r>
  <r>
    <x v="2"/>
    <x v="0"/>
    <x v="2"/>
    <n v="271"/>
    <n v="19"/>
    <n v="7.01"/>
    <n v="48.42"/>
    <n v="13121.82"/>
  </r>
  <r>
    <x v="1"/>
    <x v="0"/>
    <x v="1"/>
    <n v="179"/>
    <n v="17"/>
    <n v="9.5"/>
    <n v="9.16"/>
    <n v="1639.64"/>
  </r>
  <r>
    <x v="3"/>
    <x v="0"/>
    <x v="2"/>
    <n v="177"/>
    <n v="2"/>
    <n v="1.1299999999999999"/>
    <n v="36.729999999999997"/>
    <n v="6501.21"/>
  </r>
  <r>
    <x v="0"/>
    <x v="0"/>
    <x v="0"/>
    <n v="292"/>
    <n v="21"/>
    <n v="7.19"/>
    <n v="31.16"/>
    <n v="9098.7199999999993"/>
  </r>
  <r>
    <x v="1"/>
    <x v="0"/>
    <x v="1"/>
    <n v="230"/>
    <n v="17"/>
    <n v="7.39"/>
    <n v="14.49"/>
    <n v="3332.7"/>
  </r>
  <r>
    <x v="3"/>
    <x v="0"/>
    <x v="2"/>
    <n v="105"/>
    <n v="2"/>
    <n v="1.9"/>
    <n v="52.29"/>
    <n v="5490.45"/>
  </r>
  <r>
    <x v="0"/>
    <x v="0"/>
    <x v="2"/>
    <n v="50"/>
    <n v="5"/>
    <n v="10"/>
    <n v="54.72"/>
    <n v="2736"/>
  </r>
  <r>
    <x v="3"/>
    <x v="0"/>
    <x v="2"/>
    <n v="298"/>
    <n v="28"/>
    <n v="9.4"/>
    <n v="69.319999999999993"/>
    <n v="20657.36"/>
  </r>
  <r>
    <x v="1"/>
    <x v="0"/>
    <x v="1"/>
    <n v="232"/>
    <n v="21"/>
    <n v="9.0500000000000007"/>
    <n v="8.6199999999999992"/>
    <n v="1999.84"/>
  </r>
  <r>
    <x v="0"/>
    <x v="0"/>
    <x v="0"/>
    <n v="244"/>
    <n v="5"/>
    <n v="2.0499999999999998"/>
    <n v="26"/>
    <n v="6344"/>
  </r>
  <r>
    <x v="1"/>
    <x v="0"/>
    <x v="1"/>
    <n v="267"/>
    <n v="10"/>
    <n v="3.75"/>
    <n v="64.73"/>
    <n v="17282.91"/>
  </r>
  <r>
    <x v="0"/>
    <x v="0"/>
    <x v="0"/>
    <n v="244"/>
    <n v="13"/>
    <n v="5.33"/>
    <n v="9.3699999999999992"/>
    <n v="2286.2800000000002"/>
  </r>
  <r>
    <x v="2"/>
    <x v="0"/>
    <x v="2"/>
    <n v="142"/>
    <n v="0"/>
    <n v="0"/>
    <n v="65.25"/>
    <n v="9265.5"/>
  </r>
  <r>
    <x v="1"/>
    <x v="0"/>
    <x v="1"/>
    <n v="77"/>
    <n v="0"/>
    <n v="0"/>
    <n v="58.91"/>
    <n v="4536.07"/>
  </r>
  <r>
    <x v="0"/>
    <x v="0"/>
    <x v="2"/>
    <n v="295"/>
    <n v="3"/>
    <n v="1.02"/>
    <n v="57.74"/>
    <n v="17033.3"/>
  </r>
  <r>
    <x v="1"/>
    <x v="0"/>
    <x v="2"/>
    <n v="81"/>
    <n v="4"/>
    <n v="4.9400000000000004"/>
    <n v="38.21"/>
    <n v="3095.01"/>
  </r>
  <r>
    <x v="0"/>
    <x v="0"/>
    <x v="2"/>
    <n v="273"/>
    <n v="26"/>
    <n v="9.52"/>
    <n v="34.22"/>
    <n v="9342.06"/>
  </r>
  <r>
    <x v="1"/>
    <x v="0"/>
    <x v="1"/>
    <n v="100"/>
    <n v="10"/>
    <n v="10"/>
    <n v="52.42"/>
    <n v="5242"/>
  </r>
  <r>
    <x v="0"/>
    <x v="0"/>
    <x v="2"/>
    <n v="120"/>
    <n v="4"/>
    <n v="3.33"/>
    <n v="48.56"/>
    <n v="5827.2"/>
  </r>
  <r>
    <x v="3"/>
    <x v="0"/>
    <x v="2"/>
    <n v="196"/>
    <n v="2"/>
    <n v="1.02"/>
    <n v="26.24"/>
    <n v="5143.04"/>
  </r>
  <r>
    <x v="3"/>
    <x v="0"/>
    <x v="2"/>
    <n v="147"/>
    <n v="13"/>
    <n v="8.84"/>
    <n v="33.06"/>
    <n v="4859.82"/>
  </r>
  <r>
    <x v="3"/>
    <x v="0"/>
    <x v="2"/>
    <n v="298"/>
    <n v="17"/>
    <n v="5.7"/>
    <n v="23.03"/>
    <n v="6862.94"/>
  </r>
  <r>
    <x v="1"/>
    <x v="0"/>
    <x v="1"/>
    <n v="256"/>
    <n v="24"/>
    <n v="9.3800000000000008"/>
    <n v="30.4"/>
    <n v="7782.4"/>
  </r>
  <r>
    <x v="2"/>
    <x v="0"/>
    <x v="2"/>
    <n v="213"/>
    <n v="11"/>
    <n v="5.16"/>
    <n v="50.12"/>
    <n v="10675.56"/>
  </r>
  <r>
    <x v="0"/>
    <x v="0"/>
    <x v="2"/>
    <n v="234"/>
    <n v="12"/>
    <n v="5.13"/>
    <n v="19.64"/>
    <n v="4595.76"/>
  </r>
  <r>
    <x v="3"/>
    <x v="0"/>
    <x v="2"/>
    <n v="298"/>
    <n v="3"/>
    <n v="1.01"/>
    <n v="61.57"/>
    <n v="18347.86"/>
  </r>
  <r>
    <x v="0"/>
    <x v="0"/>
    <x v="0"/>
    <n v="188"/>
    <n v="8"/>
    <n v="4.26"/>
    <n v="43.56"/>
    <n v="8189.28"/>
  </r>
  <r>
    <x v="1"/>
    <x v="0"/>
    <x v="2"/>
    <n v="127"/>
    <n v="12"/>
    <n v="9.4499999999999993"/>
    <n v="43.19"/>
    <n v="5485.13"/>
  </r>
  <r>
    <x v="1"/>
    <x v="0"/>
    <x v="1"/>
    <n v="146"/>
    <n v="0"/>
    <n v="0"/>
    <n v="27.41"/>
    <n v="4001.86"/>
  </r>
  <r>
    <x v="2"/>
    <x v="0"/>
    <x v="2"/>
    <n v="230"/>
    <n v="11"/>
    <n v="4.78"/>
    <n v="61.97"/>
    <n v="14253.1"/>
  </r>
  <r>
    <x v="3"/>
    <x v="0"/>
    <x v="2"/>
    <n v="168"/>
    <n v="2"/>
    <n v="1.19"/>
    <n v="55.19"/>
    <n v="9271.92"/>
  </r>
  <r>
    <x v="1"/>
    <x v="0"/>
    <x v="2"/>
    <n v="87"/>
    <n v="5"/>
    <n v="5.75"/>
    <n v="15.28"/>
    <n v="1329.36"/>
  </r>
  <r>
    <x v="0"/>
    <x v="0"/>
    <x v="2"/>
    <n v="150"/>
    <n v="15"/>
    <n v="10"/>
    <n v="17.52"/>
    <n v="2628"/>
  </r>
  <r>
    <x v="3"/>
    <x v="0"/>
    <x v="2"/>
    <n v="73"/>
    <n v="3"/>
    <n v="4.1100000000000003"/>
    <n v="12.44"/>
    <n v="908.12"/>
  </r>
  <r>
    <x v="1"/>
    <x v="0"/>
    <x v="1"/>
    <n v="236"/>
    <n v="8"/>
    <n v="3.39"/>
    <n v="60.69"/>
    <n v="14322.84"/>
  </r>
  <r>
    <x v="3"/>
    <x v="0"/>
    <x v="2"/>
    <n v="198"/>
    <n v="19"/>
    <n v="9.6"/>
    <n v="20.58"/>
    <n v="4074.84"/>
  </r>
  <r>
    <x v="1"/>
    <x v="0"/>
    <x v="1"/>
    <n v="131"/>
    <n v="9"/>
    <n v="6.87"/>
    <n v="24.64"/>
    <n v="3227.84"/>
  </r>
  <r>
    <x v="1"/>
    <x v="0"/>
    <x v="2"/>
    <n v="283"/>
    <n v="8"/>
    <n v="2.83"/>
    <n v="9.1"/>
    <n v="2575.3000000000002"/>
  </r>
  <r>
    <x v="2"/>
    <x v="0"/>
    <x v="2"/>
    <n v="95"/>
    <n v="1"/>
    <n v="1.05"/>
    <n v="39.43"/>
    <n v="3745.85"/>
  </r>
  <r>
    <x v="0"/>
    <x v="0"/>
    <x v="2"/>
    <n v="259"/>
    <n v="3"/>
    <n v="1.1599999999999999"/>
    <n v="49.21"/>
    <n v="12745.39"/>
  </r>
  <r>
    <x v="0"/>
    <x v="0"/>
    <x v="2"/>
    <n v="126"/>
    <n v="0"/>
    <n v="0"/>
    <n v="60.41"/>
    <n v="7611.66"/>
  </r>
  <r>
    <x v="1"/>
    <x v="0"/>
    <x v="2"/>
    <n v="150"/>
    <n v="14"/>
    <n v="9.33"/>
    <n v="49.54"/>
    <n v="7431"/>
  </r>
  <r>
    <x v="2"/>
    <x v="0"/>
    <x v="2"/>
    <n v="148"/>
    <n v="0"/>
    <n v="0"/>
    <n v="51.42"/>
    <n v="7610.16"/>
  </r>
  <r>
    <x v="0"/>
    <x v="0"/>
    <x v="0"/>
    <n v="206"/>
    <n v="7"/>
    <n v="3.4"/>
    <n v="15.63"/>
    <n v="3219.78"/>
  </r>
  <r>
    <x v="1"/>
    <x v="0"/>
    <x v="1"/>
    <n v="292"/>
    <n v="7"/>
    <n v="2.4"/>
    <n v="68.02"/>
    <n v="19861.84"/>
  </r>
  <r>
    <x v="0"/>
    <x v="0"/>
    <x v="2"/>
    <n v="251"/>
    <n v="24"/>
    <n v="9.56"/>
    <n v="58.65"/>
    <n v="14721.15"/>
  </r>
  <r>
    <x v="1"/>
    <x v="0"/>
    <x v="2"/>
    <n v="113"/>
    <n v="2"/>
    <n v="1.77"/>
    <n v="31.43"/>
    <n v="3551.59"/>
  </r>
  <r>
    <x v="1"/>
    <x v="0"/>
    <x v="1"/>
    <n v="241"/>
    <n v="3"/>
    <n v="1.24"/>
    <n v="22.12"/>
    <n v="5330.92"/>
  </r>
  <r>
    <x v="2"/>
    <x v="0"/>
    <x v="2"/>
    <n v="171"/>
    <n v="10"/>
    <n v="5.85"/>
    <n v="53.68"/>
    <n v="9179.2800000000007"/>
  </r>
  <r>
    <x v="3"/>
    <x v="0"/>
    <x v="2"/>
    <n v="110"/>
    <n v="2"/>
    <n v="1.82"/>
    <n v="54.25"/>
    <n v="5967.5"/>
  </r>
  <r>
    <x v="1"/>
    <x v="0"/>
    <x v="1"/>
    <n v="105"/>
    <n v="4"/>
    <n v="3.81"/>
    <n v="31.25"/>
    <n v="3281.25"/>
  </r>
  <r>
    <x v="0"/>
    <x v="0"/>
    <x v="2"/>
    <n v="83"/>
    <n v="0"/>
    <n v="0"/>
    <n v="16.41"/>
    <n v="1362.03"/>
  </r>
  <r>
    <x v="0"/>
    <x v="0"/>
    <x v="0"/>
    <n v="92"/>
    <n v="6"/>
    <n v="6.52"/>
    <n v="35.76"/>
    <n v="3289.92"/>
  </r>
  <r>
    <x v="0"/>
    <x v="0"/>
    <x v="0"/>
    <n v="289"/>
    <n v="4"/>
    <n v="1.38"/>
    <n v="69.239999999999995"/>
    <n v="20010.36"/>
  </r>
  <r>
    <x v="1"/>
    <x v="0"/>
    <x v="2"/>
    <n v="95"/>
    <n v="2"/>
    <n v="2.11"/>
    <n v="35.31"/>
    <n v="3354.45"/>
  </r>
  <r>
    <x v="2"/>
    <x v="0"/>
    <x v="2"/>
    <n v="62"/>
    <n v="3"/>
    <n v="4.84"/>
    <n v="49.54"/>
    <n v="3071.48"/>
  </r>
  <r>
    <x v="0"/>
    <x v="0"/>
    <x v="2"/>
    <n v="227"/>
    <n v="6"/>
    <n v="2.64"/>
    <n v="69.88"/>
    <n v="15862.76"/>
  </r>
  <r>
    <x v="1"/>
    <x v="0"/>
    <x v="2"/>
    <n v="204"/>
    <n v="6"/>
    <n v="2.94"/>
    <n v="37.79"/>
    <n v="7709.16"/>
  </r>
  <r>
    <x v="1"/>
    <x v="0"/>
    <x v="1"/>
    <n v="93"/>
    <n v="5"/>
    <n v="5.38"/>
    <n v="39.39"/>
    <n v="3663.27"/>
  </r>
  <r>
    <x v="1"/>
    <x v="0"/>
    <x v="2"/>
    <n v="275"/>
    <n v="24"/>
    <n v="8.73"/>
    <n v="8.25"/>
    <n v="2268.75"/>
  </r>
  <r>
    <x v="2"/>
    <x v="0"/>
    <x v="2"/>
    <n v="154"/>
    <n v="15"/>
    <n v="9.74"/>
    <n v="27"/>
    <n v="4158"/>
  </r>
  <r>
    <x v="1"/>
    <x v="0"/>
    <x v="1"/>
    <n v="168"/>
    <n v="12"/>
    <n v="7.14"/>
    <n v="25.28"/>
    <n v="4247.04"/>
  </r>
  <r>
    <x v="1"/>
    <x v="0"/>
    <x v="2"/>
    <n v="167"/>
    <n v="16"/>
    <n v="9.58"/>
    <n v="60.84"/>
    <n v="10160.280000000001"/>
  </r>
  <r>
    <x v="2"/>
    <x v="0"/>
    <x v="2"/>
    <n v="70"/>
    <n v="1"/>
    <n v="1.43"/>
    <n v="24.24"/>
    <n v="1696.8"/>
  </r>
  <r>
    <x v="2"/>
    <x v="0"/>
    <x v="2"/>
    <n v="175"/>
    <n v="14"/>
    <n v="8"/>
    <n v="26.52"/>
    <n v="4641"/>
  </r>
  <r>
    <x v="1"/>
    <x v="0"/>
    <x v="1"/>
    <n v="209"/>
    <n v="4"/>
    <n v="1.91"/>
    <n v="58.54"/>
    <n v="12234.86"/>
  </r>
  <r>
    <x v="1"/>
    <x v="0"/>
    <x v="1"/>
    <n v="194"/>
    <n v="8"/>
    <n v="4.12"/>
    <n v="5.69"/>
    <n v="1103.8599999999999"/>
  </r>
  <r>
    <x v="0"/>
    <x v="0"/>
    <x v="2"/>
    <n v="276"/>
    <n v="21"/>
    <n v="7.61"/>
    <n v="21.4"/>
    <n v="5906.4"/>
  </r>
  <r>
    <x v="3"/>
    <x v="0"/>
    <x v="2"/>
    <n v="86"/>
    <n v="7"/>
    <n v="8.14"/>
    <n v="33.15"/>
    <n v="2850.9"/>
  </r>
  <r>
    <x v="1"/>
    <x v="0"/>
    <x v="1"/>
    <n v="138"/>
    <n v="8"/>
    <n v="5.8"/>
    <n v="20"/>
    <n v="2760"/>
  </r>
  <r>
    <x v="3"/>
    <x v="0"/>
    <x v="2"/>
    <n v="210"/>
    <n v="5"/>
    <n v="2.38"/>
    <n v="7.13"/>
    <n v="1497.3"/>
  </r>
  <r>
    <x v="1"/>
    <x v="0"/>
    <x v="2"/>
    <n v="277"/>
    <n v="26"/>
    <n v="9.39"/>
    <n v="67.8"/>
    <n v="18780.599999999999"/>
  </r>
  <r>
    <x v="1"/>
    <x v="0"/>
    <x v="1"/>
    <n v="281"/>
    <n v="14"/>
    <n v="4.9800000000000004"/>
    <n v="13.64"/>
    <n v="3832.84"/>
  </r>
  <r>
    <x v="0"/>
    <x v="0"/>
    <x v="2"/>
    <n v="116"/>
    <n v="6"/>
    <n v="5.17"/>
    <n v="37.56"/>
    <n v="4356.96"/>
  </r>
  <r>
    <x v="3"/>
    <x v="0"/>
    <x v="2"/>
    <n v="94"/>
    <n v="5"/>
    <n v="5.32"/>
    <n v="52.86"/>
    <n v="4968.84"/>
  </r>
  <r>
    <x v="2"/>
    <x v="0"/>
    <x v="2"/>
    <n v="155"/>
    <n v="4"/>
    <n v="2.58"/>
    <n v="33.020000000000003"/>
    <n v="5118.1000000000004"/>
  </r>
  <r>
    <x v="1"/>
    <x v="0"/>
    <x v="2"/>
    <n v="237"/>
    <n v="18"/>
    <n v="7.59"/>
    <n v="58.83"/>
    <n v="13942.71"/>
  </r>
  <r>
    <x v="1"/>
    <x v="0"/>
    <x v="1"/>
    <n v="266"/>
    <n v="18"/>
    <n v="6.77"/>
    <n v="22.63"/>
    <n v="6019.58"/>
  </r>
  <r>
    <x v="0"/>
    <x v="0"/>
    <x v="2"/>
    <n v="226"/>
    <n v="8"/>
    <n v="3.54"/>
    <n v="68.540000000000006"/>
    <n v="15490.04"/>
  </r>
  <r>
    <x v="0"/>
    <x v="0"/>
    <x v="0"/>
    <n v="50"/>
    <n v="1"/>
    <n v="2"/>
    <n v="41.8"/>
    <n v="2090"/>
  </r>
  <r>
    <x v="2"/>
    <x v="0"/>
    <x v="2"/>
    <n v="62"/>
    <n v="0"/>
    <n v="0"/>
    <n v="58.03"/>
    <n v="3597.86"/>
  </r>
  <r>
    <x v="1"/>
    <x v="0"/>
    <x v="1"/>
    <n v="298"/>
    <n v="19"/>
    <n v="6.38"/>
    <n v="61.38"/>
    <n v="18291.240000000002"/>
  </r>
  <r>
    <x v="0"/>
    <x v="0"/>
    <x v="2"/>
    <n v="209"/>
    <n v="17"/>
    <n v="8.1300000000000008"/>
    <n v="68.33"/>
    <n v="14280.97"/>
  </r>
  <r>
    <x v="1"/>
    <x v="0"/>
    <x v="2"/>
    <n v="92"/>
    <n v="1"/>
    <n v="1.0900000000000001"/>
    <n v="51.45"/>
    <n v="4733.3999999999996"/>
  </r>
  <r>
    <x v="1"/>
    <x v="0"/>
    <x v="2"/>
    <n v="51"/>
    <n v="5"/>
    <n v="9.8000000000000007"/>
    <n v="36.72"/>
    <n v="1872.72"/>
  </r>
  <r>
    <x v="3"/>
    <x v="0"/>
    <x v="2"/>
    <n v="69"/>
    <n v="4"/>
    <n v="5.8"/>
    <n v="8.2200000000000006"/>
    <n v="567.17999999999995"/>
  </r>
  <r>
    <x v="0"/>
    <x v="0"/>
    <x v="0"/>
    <n v="172"/>
    <n v="14"/>
    <n v="8.14"/>
    <n v="62.77"/>
    <n v="10796.44"/>
  </r>
  <r>
    <x v="2"/>
    <x v="0"/>
    <x v="2"/>
    <n v="246"/>
    <n v="11"/>
    <n v="4.47"/>
    <n v="5.53"/>
    <n v="1360.38"/>
  </r>
  <r>
    <x v="0"/>
    <x v="0"/>
    <x v="2"/>
    <n v="114"/>
    <n v="8"/>
    <n v="7.02"/>
    <n v="64.86"/>
    <n v="7394.04"/>
  </r>
  <r>
    <x v="3"/>
    <x v="0"/>
    <x v="2"/>
    <n v="248"/>
    <n v="3"/>
    <n v="1.21"/>
    <n v="29.43"/>
    <n v="7298.64"/>
  </r>
  <r>
    <x v="0"/>
    <x v="0"/>
    <x v="2"/>
    <n v="147"/>
    <n v="5"/>
    <n v="3.4"/>
    <n v="43.08"/>
    <n v="6332.76"/>
  </r>
  <r>
    <x v="0"/>
    <x v="0"/>
    <x v="0"/>
    <n v="162"/>
    <n v="13"/>
    <n v="8.02"/>
    <n v="57.42"/>
    <n v="9302.0400000000009"/>
  </r>
  <r>
    <x v="1"/>
    <x v="0"/>
    <x v="2"/>
    <n v="113"/>
    <n v="11"/>
    <n v="9.73"/>
    <n v="53.57"/>
    <n v="6053.41"/>
  </r>
  <r>
    <x v="0"/>
    <x v="0"/>
    <x v="2"/>
    <n v="258"/>
    <n v="15"/>
    <n v="5.81"/>
    <n v="47.53"/>
    <n v="12262.74"/>
  </r>
  <r>
    <x v="0"/>
    <x v="0"/>
    <x v="2"/>
    <n v="215"/>
    <n v="9"/>
    <n v="4.1900000000000004"/>
    <n v="53.35"/>
    <n v="11470.25"/>
  </r>
  <r>
    <x v="3"/>
    <x v="0"/>
    <x v="2"/>
    <n v="263"/>
    <n v="1"/>
    <n v="0.38"/>
    <n v="29.94"/>
    <n v="7874.22"/>
  </r>
  <r>
    <x v="0"/>
    <x v="0"/>
    <x v="2"/>
    <n v="237"/>
    <n v="9"/>
    <n v="3.8"/>
    <n v="30.17"/>
    <n v="7150.29"/>
  </r>
  <r>
    <x v="1"/>
    <x v="0"/>
    <x v="2"/>
    <n v="181"/>
    <n v="2"/>
    <n v="1.1000000000000001"/>
    <n v="49.14"/>
    <n v="8894.34"/>
  </r>
  <r>
    <x v="0"/>
    <x v="0"/>
    <x v="0"/>
    <n v="296"/>
    <n v="23"/>
    <n v="7.77"/>
    <n v="37.71"/>
    <n v="11162.16"/>
  </r>
  <r>
    <x v="1"/>
    <x v="0"/>
    <x v="2"/>
    <n v="189"/>
    <n v="17"/>
    <n v="8.99"/>
    <n v="69.569999999999993"/>
    <n v="13148.73"/>
  </r>
  <r>
    <x v="0"/>
    <x v="0"/>
    <x v="2"/>
    <n v="106"/>
    <n v="0"/>
    <n v="0"/>
    <n v="21.91"/>
    <n v="2322.46"/>
  </r>
  <r>
    <x v="3"/>
    <x v="0"/>
    <x v="2"/>
    <n v="146"/>
    <n v="3"/>
    <n v="2.0499999999999998"/>
    <n v="68.489999999999995"/>
    <n v="9999.5400000000009"/>
  </r>
  <r>
    <x v="0"/>
    <x v="0"/>
    <x v="0"/>
    <n v="231"/>
    <n v="1"/>
    <n v="0.43"/>
    <n v="41.13"/>
    <n v="9501.0300000000007"/>
  </r>
  <r>
    <x v="2"/>
    <x v="0"/>
    <x v="2"/>
    <n v="55"/>
    <n v="4"/>
    <n v="7.27"/>
    <n v="58.34"/>
    <n v="3208.7"/>
  </r>
  <r>
    <x v="1"/>
    <x v="0"/>
    <x v="2"/>
    <n v="173"/>
    <n v="3"/>
    <n v="1.73"/>
    <n v="65.62"/>
    <n v="11352.26"/>
  </r>
  <r>
    <x v="3"/>
    <x v="0"/>
    <x v="2"/>
    <n v="238"/>
    <n v="3"/>
    <n v="1.26"/>
    <n v="38.75"/>
    <n v="9222.5"/>
  </r>
  <r>
    <x v="2"/>
    <x v="0"/>
    <x v="2"/>
    <n v="162"/>
    <n v="0"/>
    <n v="0"/>
    <n v="23.54"/>
    <n v="3813.48"/>
  </r>
  <r>
    <x v="3"/>
    <x v="0"/>
    <x v="2"/>
    <n v="246"/>
    <n v="20"/>
    <n v="8.1300000000000008"/>
    <n v="42.28"/>
    <n v="10400.879999999999"/>
  </r>
  <r>
    <x v="0"/>
    <x v="0"/>
    <x v="2"/>
    <n v="230"/>
    <n v="19"/>
    <n v="8.26"/>
    <n v="28.76"/>
    <n v="6614.8"/>
  </r>
  <r>
    <x v="0"/>
    <x v="0"/>
    <x v="0"/>
    <n v="129"/>
    <n v="6"/>
    <n v="4.6500000000000004"/>
    <n v="31.78"/>
    <n v="4099.62"/>
  </r>
  <r>
    <x v="1"/>
    <x v="0"/>
    <x v="2"/>
    <n v="148"/>
    <n v="6"/>
    <n v="4.05"/>
    <n v="11.86"/>
    <n v="1755.28"/>
  </r>
  <r>
    <x v="2"/>
    <x v="0"/>
    <x v="2"/>
    <n v="124"/>
    <n v="4"/>
    <n v="3.23"/>
    <n v="16.420000000000002"/>
    <n v="2036.08"/>
  </r>
  <r>
    <x v="2"/>
    <x v="0"/>
    <x v="2"/>
    <n v="113"/>
    <n v="5"/>
    <n v="4.42"/>
    <n v="35.46"/>
    <n v="4006.98"/>
  </r>
  <r>
    <x v="1"/>
    <x v="0"/>
    <x v="2"/>
    <n v="269"/>
    <n v="12"/>
    <n v="4.46"/>
    <n v="9.23"/>
    <n v="2482.87"/>
  </r>
  <r>
    <x v="1"/>
    <x v="0"/>
    <x v="1"/>
    <n v="175"/>
    <n v="9"/>
    <n v="5.14"/>
    <n v="63.46"/>
    <n v="11105.5"/>
  </r>
  <r>
    <x v="2"/>
    <x v="0"/>
    <x v="2"/>
    <n v="87"/>
    <n v="8"/>
    <n v="9.1999999999999993"/>
    <n v="64.78"/>
    <n v="5635.86"/>
  </r>
  <r>
    <x v="3"/>
    <x v="0"/>
    <x v="2"/>
    <n v="226"/>
    <n v="3"/>
    <n v="1.33"/>
    <n v="9.42"/>
    <n v="2128.92"/>
  </r>
  <r>
    <x v="0"/>
    <x v="0"/>
    <x v="2"/>
    <n v="228"/>
    <n v="17"/>
    <n v="7.46"/>
    <n v="26.9"/>
    <n v="6133.2"/>
  </r>
  <r>
    <x v="0"/>
    <x v="0"/>
    <x v="2"/>
    <n v="106"/>
    <n v="0"/>
    <n v="0"/>
    <n v="54.61"/>
    <n v="5788.66"/>
  </r>
  <r>
    <x v="1"/>
    <x v="0"/>
    <x v="1"/>
    <n v="211"/>
    <n v="14"/>
    <n v="6.64"/>
    <n v="45.82"/>
    <n v="9668.02"/>
  </r>
  <r>
    <x v="1"/>
    <x v="0"/>
    <x v="1"/>
    <n v="122"/>
    <n v="5"/>
    <n v="4.0999999999999996"/>
    <n v="13.31"/>
    <n v="1623.82"/>
  </r>
  <r>
    <x v="3"/>
    <x v="0"/>
    <x v="2"/>
    <n v="211"/>
    <n v="13"/>
    <n v="6.16"/>
    <n v="6.54"/>
    <n v="1379.94"/>
  </r>
  <r>
    <x v="0"/>
    <x v="0"/>
    <x v="0"/>
    <n v="212"/>
    <n v="11"/>
    <n v="5.19"/>
    <n v="63.5"/>
    <n v="13462"/>
  </r>
  <r>
    <x v="2"/>
    <x v="0"/>
    <x v="2"/>
    <n v="118"/>
    <n v="2"/>
    <n v="1.69"/>
    <n v="26.94"/>
    <n v="3178.92"/>
  </r>
  <r>
    <x v="1"/>
    <x v="0"/>
    <x v="2"/>
    <n v="139"/>
    <n v="9"/>
    <n v="6.47"/>
    <n v="65.3"/>
    <n v="9076.7000000000007"/>
  </r>
  <r>
    <x v="0"/>
    <x v="0"/>
    <x v="2"/>
    <n v="269"/>
    <n v="1"/>
    <n v="0.37"/>
    <n v="10.46"/>
    <n v="2813.74"/>
  </r>
  <r>
    <x v="2"/>
    <x v="0"/>
    <x v="2"/>
    <n v="271"/>
    <n v="23"/>
    <n v="8.49"/>
    <n v="65.599999999999994"/>
    <n v="17777.599999999999"/>
  </r>
  <r>
    <x v="3"/>
    <x v="0"/>
    <x v="2"/>
    <n v="132"/>
    <n v="10"/>
    <n v="7.58"/>
    <n v="10.85"/>
    <n v="1432.2"/>
  </r>
  <r>
    <x v="0"/>
    <x v="0"/>
    <x v="0"/>
    <n v="217"/>
    <n v="21"/>
    <n v="9.68"/>
    <n v="10.119999999999999"/>
    <n v="2196.04"/>
  </r>
  <r>
    <x v="0"/>
    <x v="0"/>
    <x v="2"/>
    <n v="121"/>
    <n v="0"/>
    <n v="0"/>
    <n v="65.53"/>
    <n v="7929.13"/>
  </r>
  <r>
    <x v="3"/>
    <x v="0"/>
    <x v="2"/>
    <n v="185"/>
    <n v="12"/>
    <n v="6.49"/>
    <n v="58.05"/>
    <n v="10739.25"/>
  </r>
  <r>
    <x v="0"/>
    <x v="0"/>
    <x v="2"/>
    <n v="280"/>
    <n v="28"/>
    <n v="10"/>
    <n v="20.5"/>
    <n v="5740"/>
  </r>
  <r>
    <x v="1"/>
    <x v="0"/>
    <x v="1"/>
    <n v="175"/>
    <n v="17"/>
    <n v="9.7100000000000009"/>
    <n v="21.13"/>
    <n v="3697.75"/>
  </r>
  <r>
    <x v="0"/>
    <x v="0"/>
    <x v="2"/>
    <n v="124"/>
    <n v="7"/>
    <n v="5.65"/>
    <n v="42.58"/>
    <n v="5279.92"/>
  </r>
  <r>
    <x v="1"/>
    <x v="0"/>
    <x v="1"/>
    <n v="93"/>
    <n v="5"/>
    <n v="5.38"/>
    <n v="34.76"/>
    <n v="3232.68"/>
  </r>
  <r>
    <x v="1"/>
    <x v="0"/>
    <x v="1"/>
    <n v="259"/>
    <n v="6"/>
    <n v="2.3199999999999998"/>
    <n v="20.07"/>
    <n v="5198.13"/>
  </r>
  <r>
    <x v="0"/>
    <x v="0"/>
    <x v="0"/>
    <n v="244"/>
    <n v="3"/>
    <n v="1.23"/>
    <n v="30.11"/>
    <n v="7346.84"/>
  </r>
  <r>
    <x v="0"/>
    <x v="0"/>
    <x v="2"/>
    <n v="288"/>
    <n v="21"/>
    <n v="7.29"/>
    <n v="59.24"/>
    <n v="17061.12"/>
  </r>
  <r>
    <x v="2"/>
    <x v="0"/>
    <x v="2"/>
    <n v="137"/>
    <n v="3"/>
    <n v="2.19"/>
    <n v="42.81"/>
    <n v="5864.97"/>
  </r>
  <r>
    <x v="0"/>
    <x v="0"/>
    <x v="2"/>
    <n v="236"/>
    <n v="18"/>
    <n v="7.63"/>
    <n v="41.05"/>
    <n v="9687.7999999999993"/>
  </r>
  <r>
    <x v="0"/>
    <x v="0"/>
    <x v="2"/>
    <n v="133"/>
    <n v="9"/>
    <n v="6.77"/>
    <n v="39.770000000000003"/>
    <n v="5289.41"/>
  </r>
  <r>
    <x v="1"/>
    <x v="0"/>
    <x v="2"/>
    <n v="202"/>
    <n v="8"/>
    <n v="3.96"/>
    <n v="51.56"/>
    <n v="10415.120000000001"/>
  </r>
  <r>
    <x v="1"/>
    <x v="0"/>
    <x v="1"/>
    <n v="283"/>
    <n v="0"/>
    <n v="0"/>
    <n v="32.950000000000003"/>
    <n v="9324.85"/>
  </r>
  <r>
    <x v="2"/>
    <x v="0"/>
    <x v="2"/>
    <n v="290"/>
    <n v="7"/>
    <n v="2.41"/>
    <n v="35.89"/>
    <n v="10408.1"/>
  </r>
  <r>
    <x v="2"/>
    <x v="0"/>
    <x v="2"/>
    <n v="260"/>
    <n v="10"/>
    <n v="3.85"/>
    <n v="17.399999999999999"/>
    <n v="4524"/>
  </r>
  <r>
    <x v="2"/>
    <x v="0"/>
    <x v="2"/>
    <n v="210"/>
    <n v="13"/>
    <n v="6.19"/>
    <n v="27.36"/>
    <n v="5745.6"/>
  </r>
  <r>
    <x v="2"/>
    <x v="0"/>
    <x v="2"/>
    <n v="193"/>
    <n v="1"/>
    <n v="0.52"/>
    <n v="25.09"/>
    <n v="4842.37"/>
  </r>
  <r>
    <x v="1"/>
    <x v="0"/>
    <x v="2"/>
    <n v="285"/>
    <n v="26"/>
    <n v="9.1199999999999992"/>
    <n v="28.97"/>
    <n v="8256.4500000000007"/>
  </r>
  <r>
    <x v="3"/>
    <x v="0"/>
    <x v="2"/>
    <n v="54"/>
    <n v="4"/>
    <n v="7.41"/>
    <n v="51"/>
    <n v="2754"/>
  </r>
  <r>
    <x v="1"/>
    <x v="0"/>
    <x v="1"/>
    <n v="66"/>
    <n v="3"/>
    <n v="4.55"/>
    <n v="67.099999999999994"/>
    <n v="4428.6000000000004"/>
  </r>
  <r>
    <x v="1"/>
    <x v="0"/>
    <x v="1"/>
    <n v="157"/>
    <n v="14"/>
    <n v="8.92"/>
    <n v="6.38"/>
    <n v="1001.66"/>
  </r>
  <r>
    <x v="1"/>
    <x v="0"/>
    <x v="2"/>
    <n v="281"/>
    <n v="20"/>
    <n v="7.12"/>
    <n v="14.23"/>
    <n v="3998.63"/>
  </r>
  <r>
    <x v="2"/>
    <x v="0"/>
    <x v="2"/>
    <n v="128"/>
    <n v="11"/>
    <n v="8.59"/>
    <n v="51.37"/>
    <n v="6575.36"/>
  </r>
  <r>
    <x v="0"/>
    <x v="0"/>
    <x v="2"/>
    <n v="283"/>
    <n v="2"/>
    <n v="0.71"/>
    <n v="58.43"/>
    <n v="16535.689999999999"/>
  </r>
  <r>
    <x v="0"/>
    <x v="0"/>
    <x v="0"/>
    <n v="105"/>
    <n v="9"/>
    <n v="8.57"/>
    <n v="27.85"/>
    <n v="2924.25"/>
  </r>
  <r>
    <x v="1"/>
    <x v="0"/>
    <x v="2"/>
    <n v="269"/>
    <n v="1"/>
    <n v="0.37"/>
    <n v="9.68"/>
    <n v="2603.92"/>
  </r>
  <r>
    <x v="3"/>
    <x v="0"/>
    <x v="2"/>
    <n v="120"/>
    <n v="6"/>
    <n v="5"/>
    <n v="16.07"/>
    <n v="1928.4"/>
  </r>
  <r>
    <x v="1"/>
    <x v="0"/>
    <x v="2"/>
    <n v="269"/>
    <n v="14"/>
    <n v="5.2"/>
    <n v="68.69"/>
    <n v="18477.61"/>
  </r>
  <r>
    <x v="1"/>
    <x v="0"/>
    <x v="1"/>
    <n v="65"/>
    <n v="5"/>
    <n v="7.69"/>
    <n v="13.04"/>
    <n v="847.6"/>
  </r>
  <r>
    <x v="2"/>
    <x v="0"/>
    <x v="2"/>
    <n v="60"/>
    <n v="5"/>
    <n v="8.33"/>
    <n v="55.19"/>
    <n v="3311.4"/>
  </r>
  <r>
    <x v="3"/>
    <x v="0"/>
    <x v="2"/>
    <n v="80"/>
    <n v="5"/>
    <n v="6.25"/>
    <n v="47.59"/>
    <n v="3807.2"/>
  </r>
  <r>
    <x v="0"/>
    <x v="0"/>
    <x v="2"/>
    <n v="184"/>
    <n v="13"/>
    <n v="7.07"/>
    <n v="68.959999999999994"/>
    <n v="12688.64"/>
  </r>
  <r>
    <x v="2"/>
    <x v="0"/>
    <x v="2"/>
    <n v="172"/>
    <n v="10"/>
    <n v="5.81"/>
    <n v="63.5"/>
    <n v="10922"/>
  </r>
  <r>
    <x v="1"/>
    <x v="0"/>
    <x v="1"/>
    <n v="254"/>
    <n v="23"/>
    <n v="9.06"/>
    <n v="11.15"/>
    <n v="2832.1"/>
  </r>
  <r>
    <x v="2"/>
    <x v="0"/>
    <x v="2"/>
    <n v="261"/>
    <n v="26"/>
    <n v="9.9600000000000009"/>
    <n v="23.03"/>
    <n v="6010.83"/>
  </r>
  <r>
    <x v="3"/>
    <x v="0"/>
    <x v="2"/>
    <n v="271"/>
    <n v="23"/>
    <n v="8.49"/>
    <n v="18.89"/>
    <n v="5119.1899999999996"/>
  </r>
  <r>
    <x v="0"/>
    <x v="0"/>
    <x v="0"/>
    <n v="69"/>
    <n v="4"/>
    <n v="5.8"/>
    <n v="28.1"/>
    <n v="1938.9"/>
  </r>
  <r>
    <x v="2"/>
    <x v="0"/>
    <x v="2"/>
    <n v="212"/>
    <n v="18"/>
    <n v="8.49"/>
    <n v="40.659999999999997"/>
    <n v="8619.92"/>
  </r>
  <r>
    <x v="0"/>
    <x v="0"/>
    <x v="2"/>
    <n v="196"/>
    <n v="19"/>
    <n v="9.69"/>
    <n v="42.7"/>
    <n v="8369.2000000000007"/>
  </r>
  <r>
    <x v="3"/>
    <x v="0"/>
    <x v="2"/>
    <n v="228"/>
    <n v="10"/>
    <n v="4.3899999999999997"/>
    <n v="68.84"/>
    <n v="15695.52"/>
  </r>
  <r>
    <x v="1"/>
    <x v="0"/>
    <x v="1"/>
    <n v="176"/>
    <n v="4"/>
    <n v="2.27"/>
    <n v="64.489999999999995"/>
    <n v="11350.24"/>
  </r>
  <r>
    <x v="3"/>
    <x v="0"/>
    <x v="2"/>
    <n v="80"/>
    <n v="8"/>
    <n v="10"/>
    <n v="9.58"/>
    <n v="766.4"/>
  </r>
  <r>
    <x v="0"/>
    <x v="0"/>
    <x v="2"/>
    <n v="212"/>
    <n v="16"/>
    <n v="7.55"/>
    <n v="24.96"/>
    <n v="5291.52"/>
  </r>
  <r>
    <x v="0"/>
    <x v="0"/>
    <x v="2"/>
    <n v="246"/>
    <n v="19"/>
    <n v="7.72"/>
    <n v="53.56"/>
    <n v="13175.76"/>
  </r>
  <r>
    <x v="0"/>
    <x v="0"/>
    <x v="0"/>
    <n v="74"/>
    <n v="6"/>
    <n v="8.11"/>
    <n v="9.24"/>
    <n v="683.76"/>
  </r>
  <r>
    <x v="1"/>
    <x v="0"/>
    <x v="1"/>
    <n v="122"/>
    <n v="4"/>
    <n v="3.28"/>
    <n v="68.510000000000005"/>
    <n v="8358.2199999999993"/>
  </r>
  <r>
    <x v="0"/>
    <x v="0"/>
    <x v="0"/>
    <n v="253"/>
    <n v="3"/>
    <n v="1.19"/>
    <n v="68.790000000000006"/>
    <n v="17403.87"/>
  </r>
  <r>
    <x v="2"/>
    <x v="0"/>
    <x v="2"/>
    <n v="170"/>
    <n v="1"/>
    <n v="0.59"/>
    <n v="8.32"/>
    <n v="1414.4"/>
  </r>
  <r>
    <x v="1"/>
    <x v="0"/>
    <x v="1"/>
    <n v="83"/>
    <n v="5"/>
    <n v="6.02"/>
    <n v="6.68"/>
    <n v="554.44000000000005"/>
  </r>
  <r>
    <x v="1"/>
    <x v="0"/>
    <x v="2"/>
    <n v="81"/>
    <n v="5"/>
    <n v="6.17"/>
    <n v="60.77"/>
    <n v="4922.37"/>
  </r>
  <r>
    <x v="0"/>
    <x v="0"/>
    <x v="2"/>
    <n v="260"/>
    <n v="19"/>
    <n v="7.31"/>
    <n v="23.67"/>
    <n v="6154.2"/>
  </r>
  <r>
    <x v="2"/>
    <x v="0"/>
    <x v="2"/>
    <n v="255"/>
    <n v="8"/>
    <n v="3.14"/>
    <n v="21.91"/>
    <n v="5587.05"/>
  </r>
  <r>
    <x v="1"/>
    <x v="0"/>
    <x v="2"/>
    <n v="181"/>
    <n v="9"/>
    <n v="4.97"/>
    <n v="35.03"/>
    <n v="6340.43"/>
  </r>
  <r>
    <x v="1"/>
    <x v="0"/>
    <x v="1"/>
    <n v="124"/>
    <n v="6"/>
    <n v="4.84"/>
    <n v="27.71"/>
    <n v="3436.04"/>
  </r>
  <r>
    <x v="2"/>
    <x v="0"/>
    <x v="2"/>
    <n v="160"/>
    <n v="8"/>
    <n v="5"/>
    <n v="22.47"/>
    <n v="3595.2"/>
  </r>
  <r>
    <x v="0"/>
    <x v="0"/>
    <x v="0"/>
    <n v="78"/>
    <n v="1"/>
    <n v="1.28"/>
    <n v="14.18"/>
    <n v="1106.04"/>
  </r>
  <r>
    <x v="1"/>
    <x v="0"/>
    <x v="1"/>
    <n v="50"/>
    <n v="0"/>
    <n v="0"/>
    <n v="41.06"/>
    <n v="2053"/>
  </r>
  <r>
    <x v="3"/>
    <x v="0"/>
    <x v="2"/>
    <n v="167"/>
    <n v="14"/>
    <n v="8.3800000000000008"/>
    <n v="26.57"/>
    <n v="4437.1899999999996"/>
  </r>
  <r>
    <x v="1"/>
    <x v="0"/>
    <x v="2"/>
    <n v="170"/>
    <n v="2"/>
    <n v="1.18"/>
    <n v="36.57"/>
    <n v="6216.9"/>
  </r>
  <r>
    <x v="0"/>
    <x v="0"/>
    <x v="0"/>
    <n v="294"/>
    <n v="19"/>
    <n v="6.46"/>
    <n v="50.46"/>
    <n v="14835.24"/>
  </r>
  <r>
    <x v="0"/>
    <x v="0"/>
    <x v="2"/>
    <n v="149"/>
    <n v="6"/>
    <n v="4.03"/>
    <n v="48.82"/>
    <n v="7274.18"/>
  </r>
  <r>
    <x v="3"/>
    <x v="0"/>
    <x v="2"/>
    <n v="235"/>
    <n v="18"/>
    <n v="7.66"/>
    <n v="61.58"/>
    <n v="14471.3"/>
  </r>
  <r>
    <x v="0"/>
    <x v="0"/>
    <x v="0"/>
    <n v="108"/>
    <n v="9"/>
    <n v="8.33"/>
    <n v="66.48"/>
    <n v="7179.84"/>
  </r>
  <r>
    <x v="1"/>
    <x v="0"/>
    <x v="2"/>
    <n v="209"/>
    <n v="7"/>
    <n v="3.35"/>
    <n v="24.66"/>
    <n v="5153.9399999999996"/>
  </r>
  <r>
    <x v="0"/>
    <x v="0"/>
    <x v="2"/>
    <n v="214"/>
    <n v="18"/>
    <n v="8.41"/>
    <n v="46.02"/>
    <n v="9848.2800000000007"/>
  </r>
  <r>
    <x v="2"/>
    <x v="0"/>
    <x v="2"/>
    <n v="164"/>
    <n v="12"/>
    <n v="7.32"/>
    <n v="49.79"/>
    <n v="8165.56"/>
  </r>
  <r>
    <x v="0"/>
    <x v="0"/>
    <x v="2"/>
    <n v="167"/>
    <n v="0"/>
    <n v="0"/>
    <n v="17.53"/>
    <n v="2927.51"/>
  </r>
  <r>
    <x v="2"/>
    <x v="0"/>
    <x v="2"/>
    <n v="222"/>
    <n v="7"/>
    <n v="3.15"/>
    <n v="10.85"/>
    <n v="2408.6999999999998"/>
  </r>
  <r>
    <x v="0"/>
    <x v="0"/>
    <x v="2"/>
    <n v="215"/>
    <n v="7"/>
    <n v="3.26"/>
    <n v="25.19"/>
    <n v="5415.85"/>
  </r>
  <r>
    <x v="0"/>
    <x v="0"/>
    <x v="0"/>
    <n v="274"/>
    <n v="8"/>
    <n v="2.92"/>
    <n v="40.299999999999997"/>
    <n v="11042.2"/>
  </r>
  <r>
    <x v="2"/>
    <x v="0"/>
    <x v="2"/>
    <n v="93"/>
    <n v="9"/>
    <n v="9.68"/>
    <n v="37.75"/>
    <n v="3510.75"/>
  </r>
  <r>
    <x v="1"/>
    <x v="0"/>
    <x v="1"/>
    <n v="96"/>
    <n v="1"/>
    <n v="1.04"/>
    <n v="39.89"/>
    <n v="3829.44"/>
  </r>
  <r>
    <x v="1"/>
    <x v="0"/>
    <x v="1"/>
    <n v="247"/>
    <n v="13"/>
    <n v="5.26"/>
    <n v="43.81"/>
    <n v="10821.07"/>
  </r>
  <r>
    <x v="1"/>
    <x v="0"/>
    <x v="1"/>
    <n v="226"/>
    <n v="3"/>
    <n v="1.33"/>
    <n v="13.54"/>
    <n v="3060.04"/>
  </r>
  <r>
    <x v="1"/>
    <x v="0"/>
    <x v="2"/>
    <n v="67"/>
    <n v="6"/>
    <n v="8.9600000000000009"/>
    <n v="42.17"/>
    <n v="2825.39"/>
  </r>
  <r>
    <x v="0"/>
    <x v="0"/>
    <x v="0"/>
    <n v="57"/>
    <n v="2"/>
    <n v="3.51"/>
    <n v="13.36"/>
    <n v="761.52"/>
  </r>
  <r>
    <x v="1"/>
    <x v="0"/>
    <x v="1"/>
    <n v="143"/>
    <n v="0"/>
    <n v="0"/>
    <n v="5.85"/>
    <n v="836.55"/>
  </r>
  <r>
    <x v="3"/>
    <x v="0"/>
    <x v="2"/>
    <n v="70"/>
    <n v="6"/>
    <n v="8.57"/>
    <n v="6.87"/>
    <n v="480.9"/>
  </r>
  <r>
    <x v="3"/>
    <x v="0"/>
    <x v="2"/>
    <n v="170"/>
    <n v="15"/>
    <n v="8.82"/>
    <n v="14.58"/>
    <n v="2478.6"/>
  </r>
  <r>
    <x v="2"/>
    <x v="0"/>
    <x v="2"/>
    <n v="67"/>
    <n v="4"/>
    <n v="5.97"/>
    <n v="14.13"/>
    <n v="946.71"/>
  </r>
  <r>
    <x v="2"/>
    <x v="0"/>
    <x v="2"/>
    <n v="126"/>
    <n v="11"/>
    <n v="8.73"/>
    <n v="27.38"/>
    <n v="3449.88"/>
  </r>
  <r>
    <x v="0"/>
    <x v="0"/>
    <x v="2"/>
    <n v="253"/>
    <n v="7"/>
    <n v="2.77"/>
    <n v="41.68"/>
    <n v="10545.04"/>
  </r>
  <r>
    <x v="3"/>
    <x v="0"/>
    <x v="2"/>
    <n v="210"/>
    <n v="0"/>
    <n v="0"/>
    <n v="42.19"/>
    <n v="8859.9"/>
  </r>
  <r>
    <x v="3"/>
    <x v="0"/>
    <x v="2"/>
    <n v="160"/>
    <n v="3"/>
    <n v="1.88"/>
    <n v="53.66"/>
    <n v="8585.6"/>
  </r>
  <r>
    <x v="1"/>
    <x v="0"/>
    <x v="2"/>
    <n v="293"/>
    <n v="17"/>
    <n v="5.8"/>
    <n v="30.64"/>
    <n v="8977.52"/>
  </r>
  <r>
    <x v="0"/>
    <x v="0"/>
    <x v="0"/>
    <n v="235"/>
    <n v="20"/>
    <n v="8.51"/>
    <n v="22.76"/>
    <n v="5348.6"/>
  </r>
  <r>
    <x v="1"/>
    <x v="0"/>
    <x v="1"/>
    <n v="112"/>
    <n v="3"/>
    <n v="2.68"/>
    <n v="52.19"/>
    <n v="5845.28"/>
  </r>
  <r>
    <x v="3"/>
    <x v="0"/>
    <x v="2"/>
    <n v="53"/>
    <n v="5"/>
    <n v="9.43"/>
    <n v="11.62"/>
    <n v="615.86"/>
  </r>
  <r>
    <x v="2"/>
    <x v="0"/>
    <x v="2"/>
    <n v="138"/>
    <n v="2"/>
    <n v="1.45"/>
    <n v="62.37"/>
    <n v="8607.06"/>
  </r>
  <r>
    <x v="1"/>
    <x v="0"/>
    <x v="1"/>
    <n v="272"/>
    <n v="17"/>
    <n v="6.25"/>
    <n v="62.89"/>
    <n v="17106.080000000002"/>
  </r>
  <r>
    <x v="1"/>
    <x v="0"/>
    <x v="1"/>
    <n v="227"/>
    <n v="9"/>
    <n v="3.96"/>
    <n v="46.34"/>
    <n v="10519.18"/>
  </r>
  <r>
    <x v="0"/>
    <x v="0"/>
    <x v="2"/>
    <n v="260"/>
    <n v="20"/>
    <n v="7.69"/>
    <n v="7.29"/>
    <n v="1895.4"/>
  </r>
  <r>
    <x v="3"/>
    <x v="0"/>
    <x v="2"/>
    <n v="287"/>
    <n v="24"/>
    <n v="8.36"/>
    <n v="58.43"/>
    <n v="16769.41"/>
  </r>
  <r>
    <x v="1"/>
    <x v="0"/>
    <x v="2"/>
    <n v="98"/>
    <n v="4"/>
    <n v="4.08"/>
    <n v="65.03"/>
    <n v="6372.94"/>
  </r>
  <r>
    <x v="1"/>
    <x v="0"/>
    <x v="1"/>
    <n v="215"/>
    <n v="6"/>
    <n v="2.79"/>
    <n v="15.24"/>
    <n v="3276.6"/>
  </r>
  <r>
    <x v="1"/>
    <x v="0"/>
    <x v="1"/>
    <n v="68"/>
    <n v="2"/>
    <n v="2.94"/>
    <n v="65.099999999999994"/>
    <n v="4426.8"/>
  </r>
  <r>
    <x v="0"/>
    <x v="0"/>
    <x v="0"/>
    <n v="208"/>
    <n v="14"/>
    <n v="6.73"/>
    <n v="68"/>
    <n v="14144"/>
  </r>
  <r>
    <x v="0"/>
    <x v="0"/>
    <x v="2"/>
    <n v="169"/>
    <n v="0"/>
    <n v="0"/>
    <n v="6.99"/>
    <n v="1181.31"/>
  </r>
  <r>
    <x v="0"/>
    <x v="0"/>
    <x v="2"/>
    <n v="284"/>
    <n v="22"/>
    <n v="7.75"/>
    <n v="24.24"/>
    <n v="6884.16"/>
  </r>
  <r>
    <x v="1"/>
    <x v="0"/>
    <x v="2"/>
    <n v="113"/>
    <n v="1"/>
    <n v="0.88"/>
    <n v="50.35"/>
    <n v="5689.55"/>
  </r>
  <r>
    <x v="0"/>
    <x v="0"/>
    <x v="2"/>
    <n v="88"/>
    <n v="1"/>
    <n v="1.1399999999999999"/>
    <n v="65.36"/>
    <n v="5751.68"/>
  </r>
  <r>
    <x v="3"/>
    <x v="0"/>
    <x v="2"/>
    <n v="213"/>
    <n v="0"/>
    <n v="0"/>
    <n v="34.99"/>
    <n v="7452.87"/>
  </r>
  <r>
    <x v="2"/>
    <x v="0"/>
    <x v="2"/>
    <n v="76"/>
    <n v="5"/>
    <n v="6.58"/>
    <n v="8.23"/>
    <n v="625.48"/>
  </r>
  <r>
    <x v="3"/>
    <x v="0"/>
    <x v="2"/>
    <n v="136"/>
    <n v="6"/>
    <n v="4.41"/>
    <n v="50.12"/>
    <n v="6816.32"/>
  </r>
  <r>
    <x v="0"/>
    <x v="0"/>
    <x v="0"/>
    <n v="170"/>
    <n v="2"/>
    <n v="1.18"/>
    <n v="26.89"/>
    <n v="4571.3"/>
  </r>
  <r>
    <x v="0"/>
    <x v="0"/>
    <x v="2"/>
    <n v="275"/>
    <n v="6"/>
    <n v="2.1800000000000002"/>
    <n v="46.67"/>
    <n v="12834.25"/>
  </r>
  <r>
    <x v="0"/>
    <x v="0"/>
    <x v="2"/>
    <n v="97"/>
    <n v="8"/>
    <n v="8.25"/>
    <n v="12.76"/>
    <n v="1237.72"/>
  </r>
  <r>
    <x v="1"/>
    <x v="0"/>
    <x v="1"/>
    <n v="178"/>
    <n v="8"/>
    <n v="4.49"/>
    <n v="25.21"/>
    <n v="4487.38"/>
  </r>
  <r>
    <x v="3"/>
    <x v="0"/>
    <x v="2"/>
    <n v="108"/>
    <n v="6"/>
    <n v="5.56"/>
    <n v="57.94"/>
    <n v="6257.52"/>
  </r>
  <r>
    <x v="0"/>
    <x v="0"/>
    <x v="2"/>
    <n v="189"/>
    <n v="6"/>
    <n v="3.17"/>
    <n v="37.43"/>
    <n v="7074.27"/>
  </r>
  <r>
    <x v="2"/>
    <x v="0"/>
    <x v="2"/>
    <n v="136"/>
    <n v="7"/>
    <n v="5.15"/>
    <n v="64.45"/>
    <n v="8765.2000000000007"/>
  </r>
  <r>
    <x v="2"/>
    <x v="0"/>
    <x v="2"/>
    <n v="297"/>
    <n v="10"/>
    <n v="3.37"/>
    <n v="34.950000000000003"/>
    <n v="10380.15"/>
  </r>
  <r>
    <x v="0"/>
    <x v="0"/>
    <x v="0"/>
    <n v="109"/>
    <n v="7"/>
    <n v="6.42"/>
    <n v="33.909999999999997"/>
    <n v="3696.19"/>
  </r>
  <r>
    <x v="0"/>
    <x v="0"/>
    <x v="2"/>
    <n v="173"/>
    <n v="9"/>
    <n v="5.2"/>
    <n v="64.010000000000005"/>
    <n v="11073.73"/>
  </r>
  <r>
    <x v="3"/>
    <x v="0"/>
    <x v="2"/>
    <n v="54"/>
    <n v="1"/>
    <n v="1.85"/>
    <n v="14.53"/>
    <n v="784.62"/>
  </r>
  <r>
    <x v="0"/>
    <x v="0"/>
    <x v="0"/>
    <n v="221"/>
    <n v="15"/>
    <n v="6.79"/>
    <n v="15.17"/>
    <n v="3352.57"/>
  </r>
  <r>
    <x v="3"/>
    <x v="0"/>
    <x v="2"/>
    <n v="56"/>
    <n v="3"/>
    <n v="5.36"/>
    <n v="51.92"/>
    <n v="2907.52"/>
  </r>
  <r>
    <x v="0"/>
    <x v="0"/>
    <x v="2"/>
    <n v="226"/>
    <n v="9"/>
    <n v="3.98"/>
    <n v="51.99"/>
    <n v="11749.74"/>
  </r>
  <r>
    <x v="0"/>
    <x v="0"/>
    <x v="0"/>
    <n v="75"/>
    <n v="7"/>
    <n v="9.33"/>
    <n v="51.61"/>
    <n v="3870.75"/>
  </r>
  <r>
    <x v="0"/>
    <x v="0"/>
    <x v="2"/>
    <n v="62"/>
    <n v="2"/>
    <n v="3.23"/>
    <n v="20.41"/>
    <n v="1265.42"/>
  </r>
  <r>
    <x v="0"/>
    <x v="0"/>
    <x v="2"/>
    <n v="281"/>
    <n v="1"/>
    <n v="0.36"/>
    <n v="28.46"/>
    <n v="7997.26"/>
  </r>
  <r>
    <x v="2"/>
    <x v="0"/>
    <x v="2"/>
    <n v="297"/>
    <n v="9"/>
    <n v="3.03"/>
    <n v="46.08"/>
    <n v="13685.76"/>
  </r>
  <r>
    <x v="2"/>
    <x v="0"/>
    <x v="2"/>
    <n v="286"/>
    <n v="19"/>
    <n v="6.64"/>
    <n v="37.200000000000003"/>
    <n v="10639.2"/>
  </r>
  <r>
    <x v="2"/>
    <x v="0"/>
    <x v="2"/>
    <n v="255"/>
    <n v="23"/>
    <n v="9.02"/>
    <n v="8.02"/>
    <n v="2045.1"/>
  </r>
  <r>
    <x v="0"/>
    <x v="0"/>
    <x v="0"/>
    <n v="63"/>
    <n v="0"/>
    <n v="0"/>
    <n v="25.63"/>
    <n v="1614.69"/>
  </r>
  <r>
    <x v="2"/>
    <x v="0"/>
    <x v="2"/>
    <n v="178"/>
    <n v="17"/>
    <n v="9.5500000000000007"/>
    <n v="66.08"/>
    <n v="11762.24"/>
  </r>
  <r>
    <x v="0"/>
    <x v="0"/>
    <x v="0"/>
    <n v="61"/>
    <n v="3"/>
    <n v="4.92"/>
    <n v="35.54"/>
    <n v="2167.94"/>
  </r>
  <r>
    <x v="0"/>
    <x v="0"/>
    <x v="0"/>
    <n v="245"/>
    <n v="23"/>
    <n v="9.39"/>
    <n v="46.24"/>
    <n v="11328.8"/>
  </r>
  <r>
    <x v="0"/>
    <x v="0"/>
    <x v="2"/>
    <n v="128"/>
    <n v="8"/>
    <n v="6.25"/>
    <n v="14.24"/>
    <n v="1822.72"/>
  </r>
  <r>
    <x v="1"/>
    <x v="0"/>
    <x v="1"/>
    <n v="253"/>
    <n v="24"/>
    <n v="9.49"/>
    <n v="43.19"/>
    <n v="10927.07"/>
  </r>
  <r>
    <x v="3"/>
    <x v="0"/>
    <x v="2"/>
    <n v="141"/>
    <n v="4"/>
    <n v="2.84"/>
    <n v="28.29"/>
    <n v="3988.89"/>
  </r>
  <r>
    <x v="3"/>
    <x v="0"/>
    <x v="2"/>
    <n v="183"/>
    <n v="8"/>
    <n v="4.37"/>
    <n v="18.77"/>
    <n v="3434.91"/>
  </r>
  <r>
    <x v="1"/>
    <x v="0"/>
    <x v="2"/>
    <n v="137"/>
    <n v="3"/>
    <n v="2.19"/>
    <n v="63.36"/>
    <n v="8680.32"/>
  </r>
  <r>
    <x v="2"/>
    <x v="0"/>
    <x v="2"/>
    <n v="157"/>
    <n v="9"/>
    <n v="5.73"/>
    <n v="12.32"/>
    <n v="1934.24"/>
  </r>
  <r>
    <x v="0"/>
    <x v="0"/>
    <x v="2"/>
    <n v="152"/>
    <n v="6"/>
    <n v="3.95"/>
    <n v="38.75"/>
    <n v="5890"/>
  </r>
  <r>
    <x v="0"/>
    <x v="0"/>
    <x v="0"/>
    <n v="85"/>
    <n v="6"/>
    <n v="7.06"/>
    <n v="24.06"/>
    <n v="2045.1"/>
  </r>
  <r>
    <x v="1"/>
    <x v="0"/>
    <x v="1"/>
    <n v="229"/>
    <n v="18"/>
    <n v="7.86"/>
    <n v="52.15"/>
    <n v="11942.35"/>
  </r>
  <r>
    <x v="2"/>
    <x v="0"/>
    <x v="2"/>
    <n v="99"/>
    <n v="6"/>
    <n v="6.06"/>
    <n v="14.85"/>
    <n v="1470.15"/>
  </r>
  <r>
    <x v="1"/>
    <x v="0"/>
    <x v="2"/>
    <n v="51"/>
    <n v="0"/>
    <n v="0"/>
    <n v="17.3"/>
    <n v="882.3"/>
  </r>
  <r>
    <x v="1"/>
    <x v="0"/>
    <x v="2"/>
    <n v="60"/>
    <n v="2"/>
    <n v="3.33"/>
    <n v="40.49"/>
    <n v="2429.4"/>
  </r>
  <r>
    <x v="1"/>
    <x v="0"/>
    <x v="2"/>
    <n v="131"/>
    <n v="13"/>
    <n v="9.92"/>
    <n v="20.350000000000001"/>
    <n v="2665.85"/>
  </r>
  <r>
    <x v="1"/>
    <x v="0"/>
    <x v="2"/>
    <n v="244"/>
    <n v="7"/>
    <n v="2.87"/>
    <n v="39.270000000000003"/>
    <n v="9581.8799999999992"/>
  </r>
  <r>
    <x v="0"/>
    <x v="0"/>
    <x v="2"/>
    <n v="183"/>
    <n v="7"/>
    <n v="3.83"/>
    <n v="66.19"/>
    <n v="12112.77"/>
  </r>
  <r>
    <x v="1"/>
    <x v="0"/>
    <x v="2"/>
    <n v="91"/>
    <n v="8"/>
    <n v="8.7899999999999991"/>
    <n v="43.71"/>
    <n v="3977.61"/>
  </r>
  <r>
    <x v="3"/>
    <x v="0"/>
    <x v="2"/>
    <n v="100"/>
    <n v="7"/>
    <n v="7"/>
    <n v="44.24"/>
    <n v="4424"/>
  </r>
  <r>
    <x v="1"/>
    <x v="0"/>
    <x v="1"/>
    <n v="231"/>
    <n v="20"/>
    <n v="8.66"/>
    <n v="60.38"/>
    <n v="13947.78"/>
  </r>
  <r>
    <x v="0"/>
    <x v="0"/>
    <x v="0"/>
    <n v="221"/>
    <n v="8"/>
    <n v="3.62"/>
    <n v="47.63"/>
    <n v="10526.23"/>
  </r>
  <r>
    <x v="1"/>
    <x v="0"/>
    <x v="1"/>
    <n v="86"/>
    <n v="0"/>
    <n v="0"/>
    <n v="67.23"/>
    <n v="5781.78"/>
  </r>
  <r>
    <x v="0"/>
    <x v="0"/>
    <x v="2"/>
    <n v="160"/>
    <n v="1"/>
    <n v="0.62"/>
    <n v="60.87"/>
    <n v="9739.2000000000007"/>
  </r>
  <r>
    <x v="0"/>
    <x v="0"/>
    <x v="0"/>
    <n v="112"/>
    <n v="6"/>
    <n v="5.36"/>
    <n v="33.08"/>
    <n v="3704.96"/>
  </r>
  <r>
    <x v="0"/>
    <x v="0"/>
    <x v="2"/>
    <n v="171"/>
    <n v="16"/>
    <n v="9.36"/>
    <n v="47.86"/>
    <n v="8184.06"/>
  </r>
  <r>
    <x v="2"/>
    <x v="0"/>
    <x v="2"/>
    <n v="272"/>
    <n v="25"/>
    <n v="9.19"/>
    <n v="44.72"/>
    <n v="12163.84"/>
  </r>
  <r>
    <x v="1"/>
    <x v="0"/>
    <x v="1"/>
    <n v="214"/>
    <n v="14"/>
    <n v="6.54"/>
    <n v="65.16"/>
    <n v="13944.24"/>
  </r>
  <r>
    <x v="0"/>
    <x v="0"/>
    <x v="0"/>
    <n v="300"/>
    <n v="29"/>
    <n v="9.67"/>
    <n v="15.34"/>
    <n v="4602"/>
  </r>
  <r>
    <x v="0"/>
    <x v="0"/>
    <x v="0"/>
    <n v="248"/>
    <n v="21"/>
    <n v="8.4700000000000006"/>
    <n v="37.909999999999997"/>
    <n v="9401.68"/>
  </r>
  <r>
    <x v="1"/>
    <x v="0"/>
    <x v="1"/>
    <n v="78"/>
    <n v="4"/>
    <n v="5.13"/>
    <n v="34.159999999999997"/>
    <n v="2664.48"/>
  </r>
  <r>
    <x v="1"/>
    <x v="0"/>
    <x v="2"/>
    <n v="204"/>
    <n v="18"/>
    <n v="8.82"/>
    <n v="56.47"/>
    <n v="11519.88"/>
  </r>
  <r>
    <x v="0"/>
    <x v="0"/>
    <x v="0"/>
    <n v="120"/>
    <n v="4"/>
    <n v="3.33"/>
    <n v="8.4600000000000009"/>
    <n v="1015.2"/>
  </r>
  <r>
    <x v="0"/>
    <x v="0"/>
    <x v="2"/>
    <n v="262"/>
    <n v="7"/>
    <n v="2.67"/>
    <n v="50.19"/>
    <n v="13149.78"/>
  </r>
  <r>
    <x v="1"/>
    <x v="0"/>
    <x v="1"/>
    <n v="220"/>
    <n v="9"/>
    <n v="4.09"/>
    <n v="17.190000000000001"/>
    <n v="3781.8"/>
  </r>
  <r>
    <x v="3"/>
    <x v="0"/>
    <x v="2"/>
    <n v="185"/>
    <n v="7"/>
    <n v="3.78"/>
    <n v="22"/>
    <n v="4070"/>
  </r>
  <r>
    <x v="1"/>
    <x v="0"/>
    <x v="1"/>
    <n v="215"/>
    <n v="0"/>
    <n v="0"/>
    <n v="60.94"/>
    <n v="13102.1"/>
  </r>
  <r>
    <x v="1"/>
    <x v="0"/>
    <x v="2"/>
    <n v="89"/>
    <n v="0"/>
    <n v="0"/>
    <n v="14.24"/>
    <n v="1267.3599999999999"/>
  </r>
  <r>
    <x v="0"/>
    <x v="0"/>
    <x v="2"/>
    <n v="193"/>
    <n v="4"/>
    <n v="2.0699999999999998"/>
    <n v="25.68"/>
    <n v="4956.24"/>
  </r>
  <r>
    <x v="0"/>
    <x v="0"/>
    <x v="0"/>
    <n v="71"/>
    <n v="0"/>
    <n v="0"/>
    <n v="51.77"/>
    <n v="3675.67"/>
  </r>
  <r>
    <x v="0"/>
    <x v="0"/>
    <x v="0"/>
    <n v="155"/>
    <n v="4"/>
    <n v="2.58"/>
    <n v="32.549999999999997"/>
    <n v="5045.25"/>
  </r>
  <r>
    <x v="2"/>
    <x v="0"/>
    <x v="2"/>
    <n v="121"/>
    <n v="10"/>
    <n v="8.26"/>
    <n v="37.06"/>
    <n v="4484.26"/>
  </r>
  <r>
    <x v="3"/>
    <x v="0"/>
    <x v="2"/>
    <n v="227"/>
    <n v="6"/>
    <n v="2.64"/>
    <n v="31.69"/>
    <n v="7193.63"/>
  </r>
  <r>
    <x v="3"/>
    <x v="0"/>
    <x v="2"/>
    <n v="210"/>
    <n v="5"/>
    <n v="2.38"/>
    <n v="37.17"/>
    <n v="7805.7"/>
  </r>
  <r>
    <x v="0"/>
    <x v="0"/>
    <x v="2"/>
    <n v="92"/>
    <n v="0"/>
    <n v="0"/>
    <n v="16.63"/>
    <n v="1529.96"/>
  </r>
  <r>
    <x v="0"/>
    <x v="0"/>
    <x v="2"/>
    <n v="162"/>
    <n v="1"/>
    <n v="0.62"/>
    <n v="62.3"/>
    <n v="10092.6"/>
  </r>
  <r>
    <x v="3"/>
    <x v="0"/>
    <x v="2"/>
    <n v="220"/>
    <n v="5"/>
    <n v="2.27"/>
    <n v="44.29"/>
    <n v="9743.7999999999993"/>
  </r>
  <r>
    <x v="0"/>
    <x v="0"/>
    <x v="2"/>
    <n v="184"/>
    <n v="11"/>
    <n v="5.98"/>
    <n v="39.65"/>
    <n v="7295.6"/>
  </r>
  <r>
    <x v="1"/>
    <x v="0"/>
    <x v="2"/>
    <n v="292"/>
    <n v="24"/>
    <n v="8.2200000000000006"/>
    <n v="28.71"/>
    <n v="8383.32"/>
  </r>
  <r>
    <x v="0"/>
    <x v="0"/>
    <x v="2"/>
    <n v="56"/>
    <n v="0"/>
    <n v="0"/>
    <n v="15.92"/>
    <n v="891.52"/>
  </r>
  <r>
    <x v="3"/>
    <x v="0"/>
    <x v="2"/>
    <n v="103"/>
    <n v="8"/>
    <n v="7.77"/>
    <n v="41.7"/>
    <n v="4295.1000000000004"/>
  </r>
  <r>
    <x v="0"/>
    <x v="0"/>
    <x v="2"/>
    <n v="170"/>
    <n v="5"/>
    <n v="2.94"/>
    <n v="5.15"/>
    <n v="875.5"/>
  </r>
  <r>
    <x v="0"/>
    <x v="0"/>
    <x v="0"/>
    <n v="81"/>
    <n v="5"/>
    <n v="6.17"/>
    <n v="13.9"/>
    <n v="1125.9000000000001"/>
  </r>
  <r>
    <x v="2"/>
    <x v="0"/>
    <x v="2"/>
    <n v="97"/>
    <n v="6"/>
    <n v="6.19"/>
    <n v="22.34"/>
    <n v="2166.98"/>
  </r>
  <r>
    <x v="2"/>
    <x v="0"/>
    <x v="2"/>
    <n v="130"/>
    <n v="6"/>
    <n v="4.62"/>
    <n v="16.97"/>
    <n v="2206.1"/>
  </r>
  <r>
    <x v="1"/>
    <x v="0"/>
    <x v="1"/>
    <n v="119"/>
    <n v="9"/>
    <n v="7.56"/>
    <n v="25.43"/>
    <n v="3026.17"/>
  </r>
  <r>
    <x v="1"/>
    <x v="0"/>
    <x v="1"/>
    <n v="208"/>
    <n v="9"/>
    <n v="4.33"/>
    <n v="19.07"/>
    <n v="3966.56"/>
  </r>
  <r>
    <x v="0"/>
    <x v="0"/>
    <x v="0"/>
    <n v="90"/>
    <n v="9"/>
    <n v="10"/>
    <n v="41.57"/>
    <n v="3741.3"/>
  </r>
  <r>
    <x v="0"/>
    <x v="0"/>
    <x v="2"/>
    <n v="256"/>
    <n v="24"/>
    <n v="9.3800000000000008"/>
    <n v="63.93"/>
    <n v="16366.08"/>
  </r>
  <r>
    <x v="3"/>
    <x v="0"/>
    <x v="2"/>
    <n v="167"/>
    <n v="9"/>
    <n v="5.39"/>
    <n v="32.729999999999997"/>
    <n v="5465.91"/>
  </r>
  <r>
    <x v="0"/>
    <x v="0"/>
    <x v="2"/>
    <n v="64"/>
    <n v="1"/>
    <n v="1.56"/>
    <n v="23.18"/>
    <n v="1483.52"/>
  </r>
  <r>
    <x v="3"/>
    <x v="0"/>
    <x v="2"/>
    <n v="94"/>
    <n v="0"/>
    <n v="0"/>
    <n v="57.37"/>
    <n v="5392.78"/>
  </r>
  <r>
    <x v="1"/>
    <x v="0"/>
    <x v="1"/>
    <n v="155"/>
    <n v="12"/>
    <n v="7.74"/>
    <n v="24.5"/>
    <n v="3797.5"/>
  </r>
  <r>
    <x v="0"/>
    <x v="0"/>
    <x v="2"/>
    <n v="172"/>
    <n v="8"/>
    <n v="4.6500000000000004"/>
    <n v="14.9"/>
    <n v="2562.8000000000002"/>
  </r>
  <r>
    <x v="3"/>
    <x v="0"/>
    <x v="2"/>
    <n v="82"/>
    <n v="1"/>
    <n v="1.22"/>
    <n v="42.52"/>
    <n v="3486.64"/>
  </r>
  <r>
    <x v="1"/>
    <x v="0"/>
    <x v="1"/>
    <n v="264"/>
    <n v="17"/>
    <n v="6.44"/>
    <n v="46.78"/>
    <n v="12349.92"/>
  </r>
  <r>
    <x v="0"/>
    <x v="0"/>
    <x v="0"/>
    <n v="296"/>
    <n v="0"/>
    <n v="0"/>
    <n v="61.76"/>
    <n v="18280.96"/>
  </r>
  <r>
    <x v="0"/>
    <x v="0"/>
    <x v="0"/>
    <n v="270"/>
    <n v="14"/>
    <n v="5.19"/>
    <n v="53.07"/>
    <n v="14328.9"/>
  </r>
  <r>
    <x v="1"/>
    <x v="0"/>
    <x v="1"/>
    <n v="208"/>
    <n v="2"/>
    <n v="0.96"/>
    <n v="55.3"/>
    <n v="11502.4"/>
  </r>
  <r>
    <x v="1"/>
    <x v="0"/>
    <x v="2"/>
    <n v="296"/>
    <n v="19"/>
    <n v="6.42"/>
    <n v="40.4"/>
    <n v="11958.4"/>
  </r>
  <r>
    <x v="1"/>
    <x v="0"/>
    <x v="1"/>
    <n v="96"/>
    <n v="8"/>
    <n v="8.33"/>
    <n v="59.91"/>
    <n v="5751.36"/>
  </r>
  <r>
    <x v="2"/>
    <x v="0"/>
    <x v="2"/>
    <n v="82"/>
    <n v="7"/>
    <n v="8.5399999999999991"/>
    <n v="65.44"/>
    <n v="5366.08"/>
  </r>
  <r>
    <x v="0"/>
    <x v="0"/>
    <x v="0"/>
    <n v="107"/>
    <n v="4"/>
    <n v="3.74"/>
    <n v="23.07"/>
    <n v="2468.4899999999998"/>
  </r>
  <r>
    <x v="2"/>
    <x v="0"/>
    <x v="2"/>
    <n v="263"/>
    <n v="18"/>
    <n v="6.84"/>
    <n v="32.35"/>
    <n v="8508.0499999999993"/>
  </r>
  <r>
    <x v="1"/>
    <x v="0"/>
    <x v="1"/>
    <n v="130"/>
    <n v="10"/>
    <n v="7.69"/>
    <n v="42.56"/>
    <n v="5532.8"/>
  </r>
  <r>
    <x v="0"/>
    <x v="0"/>
    <x v="2"/>
    <n v="164"/>
    <n v="9"/>
    <n v="5.49"/>
    <n v="44.09"/>
    <n v="7230.76"/>
  </r>
  <r>
    <x v="1"/>
    <x v="0"/>
    <x v="2"/>
    <n v="108"/>
    <n v="4"/>
    <n v="3.7"/>
    <n v="39.090000000000003"/>
    <n v="4221.72"/>
  </r>
  <r>
    <x v="2"/>
    <x v="0"/>
    <x v="2"/>
    <n v="111"/>
    <n v="0"/>
    <n v="0"/>
    <n v="26.26"/>
    <n v="2914.86"/>
  </r>
  <r>
    <x v="2"/>
    <x v="0"/>
    <x v="2"/>
    <n v="288"/>
    <n v="12"/>
    <n v="4.17"/>
    <n v="68.55"/>
    <n v="19742.400000000001"/>
  </r>
  <r>
    <x v="2"/>
    <x v="0"/>
    <x v="2"/>
    <n v="66"/>
    <n v="5"/>
    <n v="7.58"/>
    <n v="34.75"/>
    <n v="2293.5"/>
  </r>
  <r>
    <x v="0"/>
    <x v="0"/>
    <x v="2"/>
    <n v="165"/>
    <n v="11"/>
    <n v="6.67"/>
    <n v="69.02"/>
    <n v="11388.3"/>
  </r>
  <r>
    <x v="1"/>
    <x v="0"/>
    <x v="1"/>
    <n v="294"/>
    <n v="5"/>
    <n v="1.7"/>
    <n v="29.53"/>
    <n v="8681.82"/>
  </r>
  <r>
    <x v="0"/>
    <x v="0"/>
    <x v="0"/>
    <n v="254"/>
    <n v="24"/>
    <n v="9.4499999999999993"/>
    <n v="67.599999999999994"/>
    <n v="17170.400000000001"/>
  </r>
  <r>
    <x v="0"/>
    <x v="0"/>
    <x v="0"/>
    <n v="279"/>
    <n v="19"/>
    <n v="6.81"/>
    <n v="12.96"/>
    <n v="3615.84"/>
  </r>
  <r>
    <x v="0"/>
    <x v="0"/>
    <x v="2"/>
    <n v="91"/>
    <n v="5"/>
    <n v="5.49"/>
    <n v="66.209999999999994"/>
    <n v="6025.11"/>
  </r>
  <r>
    <x v="2"/>
    <x v="0"/>
    <x v="2"/>
    <n v="124"/>
    <n v="3"/>
    <n v="2.42"/>
    <n v="24.38"/>
    <n v="3023.12"/>
  </r>
  <r>
    <x v="3"/>
    <x v="0"/>
    <x v="2"/>
    <n v="190"/>
    <n v="18"/>
    <n v="9.4700000000000006"/>
    <n v="44.45"/>
    <n v="8445.5"/>
  </r>
  <r>
    <x v="0"/>
    <x v="0"/>
    <x v="0"/>
    <n v="266"/>
    <n v="17"/>
    <n v="6.39"/>
    <n v="47.39"/>
    <n v="12605.74"/>
  </r>
  <r>
    <x v="0"/>
    <x v="0"/>
    <x v="0"/>
    <n v="78"/>
    <n v="3"/>
    <n v="3.85"/>
    <n v="59.36"/>
    <n v="4630.08"/>
  </r>
  <r>
    <x v="3"/>
    <x v="0"/>
    <x v="2"/>
    <n v="196"/>
    <n v="4"/>
    <n v="2.04"/>
    <n v="67.39"/>
    <n v="13208.44"/>
  </r>
  <r>
    <x v="0"/>
    <x v="0"/>
    <x v="0"/>
    <n v="95"/>
    <n v="3"/>
    <n v="3.16"/>
    <n v="63.15"/>
    <n v="5999.25"/>
  </r>
  <r>
    <x v="2"/>
    <x v="0"/>
    <x v="2"/>
    <n v="62"/>
    <n v="2"/>
    <n v="3.23"/>
    <n v="15.24"/>
    <n v="944.88"/>
  </r>
  <r>
    <x v="1"/>
    <x v="0"/>
    <x v="1"/>
    <n v="118"/>
    <n v="10"/>
    <n v="8.4700000000000006"/>
    <n v="8.08"/>
    <n v="953.44"/>
  </r>
  <r>
    <x v="0"/>
    <x v="0"/>
    <x v="2"/>
    <n v="158"/>
    <n v="8"/>
    <n v="5.0599999999999996"/>
    <n v="68.599999999999994"/>
    <n v="10838.8"/>
  </r>
  <r>
    <x v="0"/>
    <x v="0"/>
    <x v="0"/>
    <n v="287"/>
    <n v="15"/>
    <n v="5.23"/>
    <n v="65.180000000000007"/>
    <n v="18706.66"/>
  </r>
  <r>
    <x v="1"/>
    <x v="0"/>
    <x v="1"/>
    <n v="252"/>
    <n v="9"/>
    <n v="3.57"/>
    <n v="39.159999999999997"/>
    <n v="9868.32"/>
  </r>
  <r>
    <x v="1"/>
    <x v="0"/>
    <x v="1"/>
    <n v="141"/>
    <n v="3"/>
    <n v="2.13"/>
    <n v="51.78"/>
    <n v="7300.98"/>
  </r>
  <r>
    <x v="0"/>
    <x v="0"/>
    <x v="2"/>
    <n v="203"/>
    <n v="18"/>
    <n v="8.8699999999999992"/>
    <n v="55.14"/>
    <n v="11193.42"/>
  </r>
  <r>
    <x v="1"/>
    <x v="0"/>
    <x v="2"/>
    <n v="75"/>
    <n v="7"/>
    <n v="9.33"/>
    <n v="20.5"/>
    <n v="1537.5"/>
  </r>
  <r>
    <x v="0"/>
    <x v="0"/>
    <x v="2"/>
    <n v="121"/>
    <n v="4"/>
    <n v="3.31"/>
    <n v="52.44"/>
    <n v="6345.24"/>
  </r>
  <r>
    <x v="1"/>
    <x v="0"/>
    <x v="1"/>
    <n v="140"/>
    <n v="14"/>
    <n v="10"/>
    <n v="34.630000000000003"/>
    <n v="4848.2"/>
  </r>
  <r>
    <x v="0"/>
    <x v="0"/>
    <x v="0"/>
    <n v="64"/>
    <n v="0"/>
    <n v="0"/>
    <n v="41.49"/>
    <n v="2655.36"/>
  </r>
  <r>
    <x v="1"/>
    <x v="0"/>
    <x v="1"/>
    <n v="135"/>
    <n v="13"/>
    <n v="9.6300000000000008"/>
    <n v="17.760000000000002"/>
    <n v="2397.6"/>
  </r>
  <r>
    <x v="1"/>
    <x v="0"/>
    <x v="1"/>
    <n v="170"/>
    <n v="17"/>
    <n v="10"/>
    <n v="7.85"/>
    <n v="1334.5"/>
  </r>
  <r>
    <x v="1"/>
    <x v="0"/>
    <x v="1"/>
    <n v="176"/>
    <n v="5"/>
    <n v="2.84"/>
    <n v="56.68"/>
    <n v="9975.68"/>
  </r>
  <r>
    <x v="3"/>
    <x v="0"/>
    <x v="2"/>
    <n v="262"/>
    <n v="21"/>
    <n v="8.02"/>
    <n v="30.55"/>
    <n v="8004.1"/>
  </r>
  <r>
    <x v="1"/>
    <x v="0"/>
    <x v="2"/>
    <n v="162"/>
    <n v="12"/>
    <n v="7.41"/>
    <n v="45.3"/>
    <n v="7338.6"/>
  </r>
  <r>
    <x v="3"/>
    <x v="0"/>
    <x v="2"/>
    <n v="236"/>
    <n v="4"/>
    <n v="1.69"/>
    <n v="60.81"/>
    <n v="14351.16"/>
  </r>
  <r>
    <x v="0"/>
    <x v="0"/>
    <x v="2"/>
    <n v="81"/>
    <n v="6"/>
    <n v="7.41"/>
    <n v="47.56"/>
    <n v="3852.36"/>
  </r>
  <r>
    <x v="2"/>
    <x v="0"/>
    <x v="2"/>
    <n v="103"/>
    <n v="0"/>
    <n v="0"/>
    <n v="68.64"/>
    <n v="7069.92"/>
  </r>
  <r>
    <x v="0"/>
    <x v="0"/>
    <x v="0"/>
    <n v="259"/>
    <n v="23"/>
    <n v="8.8800000000000008"/>
    <n v="55.56"/>
    <n v="14390.04"/>
  </r>
  <r>
    <x v="2"/>
    <x v="0"/>
    <x v="2"/>
    <n v="245"/>
    <n v="13"/>
    <n v="5.31"/>
    <n v="14.64"/>
    <n v="3586.8"/>
  </r>
  <r>
    <x v="3"/>
    <x v="0"/>
    <x v="2"/>
    <n v="216"/>
    <n v="14"/>
    <n v="6.48"/>
    <n v="9.81"/>
    <n v="2118.96"/>
  </r>
  <r>
    <x v="0"/>
    <x v="0"/>
    <x v="0"/>
    <n v="159"/>
    <n v="15"/>
    <n v="9.43"/>
    <n v="16.34"/>
    <n v="2598.06"/>
  </r>
  <r>
    <x v="0"/>
    <x v="0"/>
    <x v="0"/>
    <n v="165"/>
    <n v="7"/>
    <n v="4.24"/>
    <n v="23.67"/>
    <n v="3905.55"/>
  </r>
  <r>
    <x v="0"/>
    <x v="0"/>
    <x v="2"/>
    <n v="236"/>
    <n v="18"/>
    <n v="7.63"/>
    <n v="9.43"/>
    <n v="2225.48"/>
  </r>
  <r>
    <x v="2"/>
    <x v="0"/>
    <x v="2"/>
    <n v="91"/>
    <n v="6"/>
    <n v="6.59"/>
    <n v="44.73"/>
    <n v="4070.43"/>
  </r>
  <r>
    <x v="0"/>
    <x v="0"/>
    <x v="2"/>
    <n v="224"/>
    <n v="22"/>
    <n v="9.82"/>
    <n v="55.65"/>
    <n v="12465.6"/>
  </r>
  <r>
    <x v="0"/>
    <x v="0"/>
    <x v="0"/>
    <n v="71"/>
    <n v="4"/>
    <n v="5.63"/>
    <n v="12.21"/>
    <n v="866.91"/>
  </r>
  <r>
    <x v="0"/>
    <x v="0"/>
    <x v="0"/>
    <n v="196"/>
    <n v="11"/>
    <n v="5.61"/>
    <n v="20.99"/>
    <n v="4114.04"/>
  </r>
  <r>
    <x v="2"/>
    <x v="0"/>
    <x v="2"/>
    <n v="238"/>
    <n v="19"/>
    <n v="7.98"/>
    <n v="30.23"/>
    <n v="7194.74"/>
  </r>
  <r>
    <x v="1"/>
    <x v="0"/>
    <x v="1"/>
    <n v="94"/>
    <n v="9"/>
    <n v="9.57"/>
    <n v="37.65"/>
    <n v="3539.1"/>
  </r>
  <r>
    <x v="1"/>
    <x v="0"/>
    <x v="2"/>
    <n v="192"/>
    <n v="1"/>
    <n v="0.52"/>
    <n v="24.73"/>
    <n v="4748.16"/>
  </r>
  <r>
    <x v="2"/>
    <x v="0"/>
    <x v="2"/>
    <n v="233"/>
    <n v="10"/>
    <n v="4.29"/>
    <n v="68.540000000000006"/>
    <n v="15969.82"/>
  </r>
  <r>
    <x v="3"/>
    <x v="0"/>
    <x v="2"/>
    <n v="231"/>
    <n v="23"/>
    <n v="9.9600000000000009"/>
    <n v="19.05"/>
    <n v="4400.55"/>
  </r>
  <r>
    <x v="1"/>
    <x v="0"/>
    <x v="1"/>
    <n v="257"/>
    <n v="5"/>
    <n v="1.95"/>
    <n v="5.57"/>
    <n v="1431.49"/>
  </r>
  <r>
    <x v="1"/>
    <x v="0"/>
    <x v="2"/>
    <n v="279"/>
    <n v="1"/>
    <n v="0.36"/>
    <n v="8.0299999999999994"/>
    <n v="2240.37"/>
  </r>
  <r>
    <x v="0"/>
    <x v="0"/>
    <x v="2"/>
    <n v="136"/>
    <n v="6"/>
    <n v="4.41"/>
    <n v="34.130000000000003"/>
    <n v="4641.68"/>
  </r>
  <r>
    <x v="1"/>
    <x v="0"/>
    <x v="1"/>
    <n v="280"/>
    <n v="24"/>
    <n v="8.57"/>
    <n v="38.159999999999997"/>
    <n v="10684.8"/>
  </r>
  <r>
    <x v="0"/>
    <x v="0"/>
    <x v="2"/>
    <n v="224"/>
    <n v="17"/>
    <n v="7.59"/>
    <n v="45.92"/>
    <n v="10286.08"/>
  </r>
  <r>
    <x v="0"/>
    <x v="0"/>
    <x v="0"/>
    <n v="247"/>
    <n v="21"/>
    <n v="8.5"/>
    <n v="48.87"/>
    <n v="12070.89"/>
  </r>
  <r>
    <x v="3"/>
    <x v="0"/>
    <x v="2"/>
    <n v="176"/>
    <n v="4"/>
    <n v="2.27"/>
    <n v="18.54"/>
    <n v="3263.04"/>
  </r>
  <r>
    <x v="0"/>
    <x v="0"/>
    <x v="2"/>
    <n v="138"/>
    <n v="1"/>
    <n v="0.72"/>
    <n v="41.52"/>
    <n v="5729.76"/>
  </r>
  <r>
    <x v="0"/>
    <x v="0"/>
    <x v="2"/>
    <n v="277"/>
    <n v="20"/>
    <n v="7.22"/>
    <n v="31.08"/>
    <n v="8609.16"/>
  </r>
  <r>
    <x v="3"/>
    <x v="0"/>
    <x v="2"/>
    <n v="176"/>
    <n v="14"/>
    <n v="7.95"/>
    <n v="52.56"/>
    <n v="9250.56"/>
  </r>
  <r>
    <x v="0"/>
    <x v="0"/>
    <x v="2"/>
    <n v="200"/>
    <n v="16"/>
    <n v="8"/>
    <n v="62.31"/>
    <n v="12462"/>
  </r>
  <r>
    <x v="3"/>
    <x v="0"/>
    <x v="2"/>
    <n v="235"/>
    <n v="4"/>
    <n v="1.7"/>
    <n v="51.2"/>
    <n v="12032"/>
  </r>
  <r>
    <x v="3"/>
    <x v="0"/>
    <x v="2"/>
    <n v="216"/>
    <n v="1"/>
    <n v="0.46"/>
    <n v="29.27"/>
    <n v="6322.32"/>
  </r>
  <r>
    <x v="3"/>
    <x v="0"/>
    <x v="2"/>
    <n v="159"/>
    <n v="15"/>
    <n v="9.43"/>
    <n v="35.85"/>
    <n v="5700.15"/>
  </r>
  <r>
    <x v="1"/>
    <x v="0"/>
    <x v="2"/>
    <n v="249"/>
    <n v="13"/>
    <n v="5.22"/>
    <n v="53.66"/>
    <n v="13361.34"/>
  </r>
  <r>
    <x v="2"/>
    <x v="0"/>
    <x v="2"/>
    <n v="149"/>
    <n v="13"/>
    <n v="8.7200000000000006"/>
    <n v="44.9"/>
    <n v="6690.1"/>
  </r>
  <r>
    <x v="2"/>
    <x v="0"/>
    <x v="2"/>
    <n v="223"/>
    <n v="3"/>
    <n v="1.35"/>
    <n v="65.67"/>
    <n v="14644.41"/>
  </r>
  <r>
    <x v="0"/>
    <x v="0"/>
    <x v="0"/>
    <n v="59"/>
    <n v="1"/>
    <n v="1.69"/>
    <n v="34.119999999999997"/>
    <n v="2013.08"/>
  </r>
  <r>
    <x v="0"/>
    <x v="0"/>
    <x v="0"/>
    <n v="182"/>
    <n v="8"/>
    <n v="4.4000000000000004"/>
    <n v="17.54"/>
    <n v="3192.28"/>
  </r>
  <r>
    <x v="2"/>
    <x v="0"/>
    <x v="2"/>
    <n v="92"/>
    <n v="8"/>
    <n v="8.6999999999999993"/>
    <n v="60.04"/>
    <n v="5523.68"/>
  </r>
  <r>
    <x v="3"/>
    <x v="0"/>
    <x v="2"/>
    <n v="185"/>
    <n v="16"/>
    <n v="8.65"/>
    <n v="58.84"/>
    <n v="10885.4"/>
  </r>
  <r>
    <x v="0"/>
    <x v="0"/>
    <x v="0"/>
    <n v="203"/>
    <n v="15"/>
    <n v="7.39"/>
    <n v="17.77"/>
    <n v="3607.31"/>
  </r>
  <r>
    <x v="1"/>
    <x v="0"/>
    <x v="1"/>
    <n v="204"/>
    <n v="2"/>
    <n v="0.98"/>
    <n v="55.06"/>
    <n v="11232.24"/>
  </r>
  <r>
    <x v="1"/>
    <x v="0"/>
    <x v="2"/>
    <n v="136"/>
    <n v="8"/>
    <n v="5.88"/>
    <n v="16.53"/>
    <n v="2248.08"/>
  </r>
  <r>
    <x v="0"/>
    <x v="0"/>
    <x v="0"/>
    <n v="67"/>
    <n v="0"/>
    <n v="0"/>
    <n v="64.23"/>
    <n v="4303.41"/>
  </r>
  <r>
    <x v="0"/>
    <x v="0"/>
    <x v="0"/>
    <n v="291"/>
    <n v="11"/>
    <n v="3.78"/>
    <n v="41.92"/>
    <n v="12198.72"/>
  </r>
  <r>
    <x v="0"/>
    <x v="0"/>
    <x v="2"/>
    <n v="161"/>
    <n v="10"/>
    <n v="6.21"/>
    <n v="24.86"/>
    <n v="4002.46"/>
  </r>
  <r>
    <x v="2"/>
    <x v="0"/>
    <x v="2"/>
    <n v="68"/>
    <n v="4"/>
    <n v="5.88"/>
    <n v="18.89"/>
    <n v="1284.52"/>
  </r>
  <r>
    <x v="3"/>
    <x v="0"/>
    <x v="2"/>
    <n v="144"/>
    <n v="1"/>
    <n v="0.69"/>
    <n v="17.53"/>
    <n v="2524.3200000000002"/>
  </r>
  <r>
    <x v="1"/>
    <x v="0"/>
    <x v="1"/>
    <n v="261"/>
    <n v="7"/>
    <n v="2.68"/>
    <n v="56.41"/>
    <n v="14723.01"/>
  </r>
  <r>
    <x v="0"/>
    <x v="0"/>
    <x v="2"/>
    <n v="211"/>
    <n v="17"/>
    <n v="8.06"/>
    <n v="58.39"/>
    <n v="12320.29"/>
  </r>
  <r>
    <x v="1"/>
    <x v="0"/>
    <x v="1"/>
    <n v="78"/>
    <n v="5"/>
    <n v="6.41"/>
    <n v="31.65"/>
    <n v="2468.6999999999998"/>
  </r>
  <r>
    <x v="1"/>
    <x v="0"/>
    <x v="1"/>
    <n v="154"/>
    <n v="8"/>
    <n v="5.19"/>
    <n v="67.64"/>
    <n v="10416.56"/>
  </r>
  <r>
    <x v="3"/>
    <x v="0"/>
    <x v="2"/>
    <n v="238"/>
    <n v="17"/>
    <n v="7.14"/>
    <n v="29.48"/>
    <n v="7016.24"/>
  </r>
  <r>
    <x v="2"/>
    <x v="0"/>
    <x v="2"/>
    <n v="56"/>
    <n v="4"/>
    <n v="7.14"/>
    <n v="13.81"/>
    <n v="773.36"/>
  </r>
  <r>
    <x v="1"/>
    <x v="0"/>
    <x v="2"/>
    <n v="112"/>
    <n v="9"/>
    <n v="8.0399999999999991"/>
    <n v="8.1300000000000008"/>
    <n v="910.56"/>
  </r>
  <r>
    <x v="1"/>
    <x v="0"/>
    <x v="1"/>
    <n v="195"/>
    <n v="3"/>
    <n v="1.54"/>
    <n v="21.61"/>
    <n v="4213.95"/>
  </r>
  <r>
    <x v="0"/>
    <x v="0"/>
    <x v="0"/>
    <n v="118"/>
    <n v="0"/>
    <n v="0"/>
    <n v="12.55"/>
    <n v="1480.9"/>
  </r>
  <r>
    <x v="2"/>
    <x v="0"/>
    <x v="2"/>
    <n v="88"/>
    <n v="0"/>
    <n v="0"/>
    <n v="50.65"/>
    <n v="4457.2"/>
  </r>
  <r>
    <x v="2"/>
    <x v="0"/>
    <x v="2"/>
    <n v="95"/>
    <n v="2"/>
    <n v="2.11"/>
    <n v="15.47"/>
    <n v="1469.65"/>
  </r>
  <r>
    <x v="3"/>
    <x v="0"/>
    <x v="2"/>
    <n v="161"/>
    <n v="2"/>
    <n v="1.24"/>
    <n v="9.19"/>
    <n v="1479.59"/>
  </r>
  <r>
    <x v="1"/>
    <x v="0"/>
    <x v="2"/>
    <n v="90"/>
    <n v="1"/>
    <n v="1.1100000000000001"/>
    <n v="25.49"/>
    <n v="2294.1"/>
  </r>
  <r>
    <x v="3"/>
    <x v="0"/>
    <x v="2"/>
    <n v="128"/>
    <n v="9"/>
    <n v="7.03"/>
    <n v="34.93"/>
    <n v="4471.04"/>
  </r>
  <r>
    <x v="0"/>
    <x v="0"/>
    <x v="0"/>
    <n v="94"/>
    <n v="7"/>
    <n v="7.45"/>
    <n v="40.93"/>
    <n v="3847.42"/>
  </r>
  <r>
    <x v="3"/>
    <x v="0"/>
    <x v="2"/>
    <n v="64"/>
    <n v="1"/>
    <n v="1.56"/>
    <n v="27.12"/>
    <n v="1735.68"/>
  </r>
  <r>
    <x v="0"/>
    <x v="0"/>
    <x v="0"/>
    <n v="95"/>
    <n v="5"/>
    <n v="5.26"/>
    <n v="29.2"/>
    <n v="2774"/>
  </r>
  <r>
    <x v="3"/>
    <x v="0"/>
    <x v="2"/>
    <n v="77"/>
    <n v="4"/>
    <n v="5.19"/>
    <n v="54.66"/>
    <n v="4208.82"/>
  </r>
  <r>
    <x v="0"/>
    <x v="0"/>
    <x v="0"/>
    <n v="288"/>
    <n v="13"/>
    <n v="4.51"/>
    <n v="24.97"/>
    <n v="7191.36"/>
  </r>
  <r>
    <x v="0"/>
    <x v="0"/>
    <x v="0"/>
    <n v="133"/>
    <n v="5"/>
    <n v="3.76"/>
    <n v="53.01"/>
    <n v="7050.33"/>
  </r>
  <r>
    <x v="3"/>
    <x v="0"/>
    <x v="2"/>
    <n v="258"/>
    <n v="24"/>
    <n v="9.3000000000000007"/>
    <n v="8.1199999999999992"/>
    <n v="2094.96"/>
  </r>
  <r>
    <x v="3"/>
    <x v="0"/>
    <x v="2"/>
    <n v="284"/>
    <n v="24"/>
    <n v="8.4499999999999993"/>
    <n v="9.5299999999999994"/>
    <n v="2706.52"/>
  </r>
  <r>
    <x v="1"/>
    <x v="0"/>
    <x v="1"/>
    <n v="286"/>
    <n v="11"/>
    <n v="3.85"/>
    <n v="10.67"/>
    <n v="3051.62"/>
  </r>
  <r>
    <x v="0"/>
    <x v="0"/>
    <x v="2"/>
    <n v="187"/>
    <n v="5"/>
    <n v="2.67"/>
    <n v="41.74"/>
    <n v="7805.38"/>
  </r>
  <r>
    <x v="3"/>
    <x v="0"/>
    <x v="2"/>
    <n v="222"/>
    <n v="1"/>
    <n v="0.45"/>
    <n v="63.41"/>
    <n v="14077.02"/>
  </r>
  <r>
    <x v="1"/>
    <x v="0"/>
    <x v="2"/>
    <n v="120"/>
    <n v="1"/>
    <n v="0.83"/>
    <n v="50.37"/>
    <n v="6044.4"/>
  </r>
  <r>
    <x v="1"/>
    <x v="0"/>
    <x v="2"/>
    <n v="297"/>
    <n v="0"/>
    <n v="0"/>
    <n v="52.71"/>
    <n v="15654.87"/>
  </r>
  <r>
    <x v="1"/>
    <x v="0"/>
    <x v="1"/>
    <n v="78"/>
    <n v="5"/>
    <n v="6.41"/>
    <n v="12.29"/>
    <n v="958.62"/>
  </r>
  <r>
    <x v="1"/>
    <x v="0"/>
    <x v="1"/>
    <n v="236"/>
    <n v="7"/>
    <n v="2.97"/>
    <n v="38.28"/>
    <n v="9034.08"/>
  </r>
  <r>
    <x v="2"/>
    <x v="0"/>
    <x v="2"/>
    <n v="99"/>
    <n v="2"/>
    <n v="2.02"/>
    <n v="68.36"/>
    <n v="6767.64"/>
  </r>
  <r>
    <x v="0"/>
    <x v="0"/>
    <x v="0"/>
    <n v="270"/>
    <n v="1"/>
    <n v="0.37"/>
    <n v="16.86"/>
    <n v="4552.2"/>
  </r>
  <r>
    <x v="1"/>
    <x v="0"/>
    <x v="2"/>
    <n v="132"/>
    <n v="5"/>
    <n v="3.79"/>
    <n v="11.49"/>
    <n v="1516.68"/>
  </r>
  <r>
    <x v="1"/>
    <x v="0"/>
    <x v="1"/>
    <n v="57"/>
    <n v="4"/>
    <n v="7.02"/>
    <n v="13.96"/>
    <n v="795.72"/>
  </r>
  <r>
    <x v="0"/>
    <x v="0"/>
    <x v="2"/>
    <n v="191"/>
    <n v="4"/>
    <n v="2.09"/>
    <n v="30.4"/>
    <n v="5806.4"/>
  </r>
  <r>
    <x v="0"/>
    <x v="0"/>
    <x v="0"/>
    <n v="162"/>
    <n v="2"/>
    <n v="1.23"/>
    <n v="8.17"/>
    <n v="1323.54"/>
  </r>
  <r>
    <x v="1"/>
    <x v="0"/>
    <x v="1"/>
    <n v="240"/>
    <n v="16"/>
    <n v="6.67"/>
    <n v="64.13"/>
    <n v="15391.2"/>
  </r>
  <r>
    <x v="3"/>
    <x v="0"/>
    <x v="2"/>
    <n v="247"/>
    <n v="15"/>
    <n v="6.07"/>
    <n v="47.68"/>
    <n v="11776.96"/>
  </r>
  <r>
    <x v="0"/>
    <x v="0"/>
    <x v="0"/>
    <n v="245"/>
    <n v="8"/>
    <n v="3.27"/>
    <n v="27.17"/>
    <n v="6656.65"/>
  </r>
  <r>
    <x v="2"/>
    <x v="0"/>
    <x v="2"/>
    <n v="252"/>
    <n v="21"/>
    <n v="8.33"/>
    <n v="55.44"/>
    <n v="13970.88"/>
  </r>
  <r>
    <x v="1"/>
    <x v="0"/>
    <x v="1"/>
    <n v="279"/>
    <n v="21"/>
    <n v="7.53"/>
    <n v="46.31"/>
    <n v="12920.49"/>
  </r>
  <r>
    <x v="0"/>
    <x v="0"/>
    <x v="0"/>
    <n v="254"/>
    <n v="7"/>
    <n v="2.76"/>
    <n v="41.72"/>
    <n v="10596.88"/>
  </r>
  <r>
    <x v="0"/>
    <x v="0"/>
    <x v="2"/>
    <n v="124"/>
    <n v="11"/>
    <n v="8.8699999999999992"/>
    <n v="55.82"/>
    <n v="6921.68"/>
  </r>
  <r>
    <x v="0"/>
    <x v="0"/>
    <x v="2"/>
    <n v="264"/>
    <n v="26"/>
    <n v="9.85"/>
    <n v="6.51"/>
    <n v="1718.64"/>
  </r>
  <r>
    <x v="0"/>
    <x v="0"/>
    <x v="0"/>
    <n v="205"/>
    <n v="2"/>
    <n v="0.98"/>
    <n v="7.54"/>
    <n v="1545.7"/>
  </r>
  <r>
    <x v="3"/>
    <x v="0"/>
    <x v="2"/>
    <n v="159"/>
    <n v="11"/>
    <n v="6.92"/>
    <n v="69.55"/>
    <n v="11058.45"/>
  </r>
  <r>
    <x v="0"/>
    <x v="0"/>
    <x v="2"/>
    <n v="215"/>
    <n v="15"/>
    <n v="6.98"/>
    <n v="25.49"/>
    <n v="5480.35"/>
  </r>
  <r>
    <x v="1"/>
    <x v="0"/>
    <x v="2"/>
    <n v="263"/>
    <n v="12"/>
    <n v="4.5599999999999996"/>
    <n v="49.17"/>
    <n v="12931.71"/>
  </r>
  <r>
    <x v="1"/>
    <x v="0"/>
    <x v="2"/>
    <n v="141"/>
    <n v="13"/>
    <n v="9.2200000000000006"/>
    <n v="17.420000000000002"/>
    <n v="2456.2199999999998"/>
  </r>
  <r>
    <x v="0"/>
    <x v="0"/>
    <x v="0"/>
    <n v="188"/>
    <n v="8"/>
    <n v="4.26"/>
    <n v="61.08"/>
    <n v="11483.04"/>
  </r>
  <r>
    <x v="1"/>
    <x v="0"/>
    <x v="2"/>
    <n v="261"/>
    <n v="3"/>
    <n v="1.1499999999999999"/>
    <n v="18.82"/>
    <n v="4912.0200000000004"/>
  </r>
  <r>
    <x v="0"/>
    <x v="0"/>
    <x v="2"/>
    <n v="82"/>
    <n v="8"/>
    <n v="9.76"/>
    <n v="57.18"/>
    <n v="4688.76"/>
  </r>
  <r>
    <x v="1"/>
    <x v="0"/>
    <x v="2"/>
    <n v="66"/>
    <n v="4"/>
    <n v="6.06"/>
    <n v="42.26"/>
    <n v="2789.16"/>
  </r>
  <r>
    <x v="0"/>
    <x v="0"/>
    <x v="2"/>
    <n v="197"/>
    <n v="11"/>
    <n v="5.58"/>
    <n v="42.78"/>
    <n v="8427.66"/>
  </r>
  <r>
    <x v="0"/>
    <x v="0"/>
    <x v="2"/>
    <n v="143"/>
    <n v="2"/>
    <n v="1.4"/>
    <n v="47.34"/>
    <n v="6769.62"/>
  </r>
  <r>
    <x v="1"/>
    <x v="0"/>
    <x v="1"/>
    <n v="151"/>
    <n v="8"/>
    <n v="5.3"/>
    <n v="21.77"/>
    <n v="3287.27"/>
  </r>
  <r>
    <x v="0"/>
    <x v="0"/>
    <x v="2"/>
    <n v="50"/>
    <n v="5"/>
    <n v="10"/>
    <n v="31.98"/>
    <n v="1599"/>
  </r>
  <r>
    <x v="1"/>
    <x v="0"/>
    <x v="2"/>
    <n v="115"/>
    <n v="6"/>
    <n v="5.22"/>
    <n v="54.85"/>
    <n v="6307.75"/>
  </r>
  <r>
    <x v="0"/>
    <x v="0"/>
    <x v="0"/>
    <n v="129"/>
    <n v="6"/>
    <n v="4.6500000000000004"/>
    <n v="10.27"/>
    <n v="1324.83"/>
  </r>
  <r>
    <x v="0"/>
    <x v="0"/>
    <x v="0"/>
    <n v="284"/>
    <n v="1"/>
    <n v="0.35"/>
    <n v="69.84"/>
    <n v="19834.560000000001"/>
  </r>
  <r>
    <x v="2"/>
    <x v="0"/>
    <x v="2"/>
    <n v="261"/>
    <n v="3"/>
    <n v="1.1499999999999999"/>
    <n v="47.51"/>
    <n v="12400.11"/>
  </r>
  <r>
    <x v="3"/>
    <x v="0"/>
    <x v="2"/>
    <n v="208"/>
    <n v="16"/>
    <n v="7.69"/>
    <n v="60.54"/>
    <n v="12592.32"/>
  </r>
  <r>
    <x v="1"/>
    <x v="0"/>
    <x v="1"/>
    <n v="249"/>
    <n v="8"/>
    <n v="3.21"/>
    <n v="5.93"/>
    <n v="1476.57"/>
  </r>
  <r>
    <x v="1"/>
    <x v="0"/>
    <x v="1"/>
    <n v="50"/>
    <n v="4"/>
    <n v="8"/>
    <n v="43.98"/>
    <n v="2199"/>
  </r>
  <r>
    <x v="0"/>
    <x v="0"/>
    <x v="0"/>
    <n v="163"/>
    <n v="3"/>
    <n v="1.84"/>
    <n v="36.200000000000003"/>
    <n v="5900.6"/>
  </r>
  <r>
    <x v="1"/>
    <x v="0"/>
    <x v="2"/>
    <n v="58"/>
    <n v="5"/>
    <n v="8.6199999999999992"/>
    <n v="8.5"/>
    <n v="493"/>
  </r>
  <r>
    <x v="0"/>
    <x v="0"/>
    <x v="0"/>
    <n v="157"/>
    <n v="3"/>
    <n v="1.91"/>
    <n v="65.959999999999994"/>
    <n v="10355.719999999999"/>
  </r>
  <r>
    <x v="0"/>
    <x v="0"/>
    <x v="2"/>
    <n v="240"/>
    <n v="21"/>
    <n v="8.75"/>
    <n v="54.47"/>
    <n v="13072.8"/>
  </r>
  <r>
    <x v="0"/>
    <x v="0"/>
    <x v="2"/>
    <n v="277"/>
    <n v="24"/>
    <n v="8.66"/>
    <n v="29.75"/>
    <n v="8240.75"/>
  </r>
  <r>
    <x v="1"/>
    <x v="0"/>
    <x v="2"/>
    <n v="74"/>
    <n v="5"/>
    <n v="6.76"/>
    <n v="52.48"/>
    <n v="3883.52"/>
  </r>
  <r>
    <x v="1"/>
    <x v="0"/>
    <x v="2"/>
    <n v="299"/>
    <n v="3"/>
    <n v="1"/>
    <n v="46.45"/>
    <n v="13888.55"/>
  </r>
  <r>
    <x v="0"/>
    <x v="0"/>
    <x v="2"/>
    <n v="222"/>
    <n v="11"/>
    <n v="4.95"/>
    <n v="22.34"/>
    <n v="4959.4799999999996"/>
  </r>
  <r>
    <x v="1"/>
    <x v="0"/>
    <x v="2"/>
    <n v="242"/>
    <n v="16"/>
    <n v="6.61"/>
    <n v="27.74"/>
    <n v="6713.08"/>
  </r>
  <r>
    <x v="2"/>
    <x v="0"/>
    <x v="2"/>
    <n v="198"/>
    <n v="12"/>
    <n v="6.06"/>
    <n v="21.52"/>
    <n v="4260.96"/>
  </r>
  <r>
    <x v="2"/>
    <x v="0"/>
    <x v="2"/>
    <n v="119"/>
    <n v="10"/>
    <n v="8.4"/>
    <n v="18.02"/>
    <n v="2144.38"/>
  </r>
  <r>
    <x v="3"/>
    <x v="0"/>
    <x v="2"/>
    <n v="62"/>
    <n v="5"/>
    <n v="8.06"/>
    <n v="33.56"/>
    <n v="2080.7199999999998"/>
  </r>
  <r>
    <x v="3"/>
    <x v="0"/>
    <x v="2"/>
    <n v="118"/>
    <n v="9"/>
    <n v="7.63"/>
    <n v="9"/>
    <n v="1062"/>
  </r>
  <r>
    <x v="0"/>
    <x v="0"/>
    <x v="0"/>
    <n v="115"/>
    <n v="6"/>
    <n v="5.22"/>
    <n v="41.27"/>
    <n v="4746.05"/>
  </r>
  <r>
    <x v="1"/>
    <x v="0"/>
    <x v="1"/>
    <n v="57"/>
    <n v="3"/>
    <n v="5.26"/>
    <n v="23.52"/>
    <n v="1340.64"/>
  </r>
  <r>
    <x v="1"/>
    <x v="0"/>
    <x v="1"/>
    <n v="58"/>
    <n v="3"/>
    <n v="5.17"/>
    <n v="64.400000000000006"/>
    <n v="3735.2"/>
  </r>
  <r>
    <x v="0"/>
    <x v="0"/>
    <x v="0"/>
    <n v="69"/>
    <n v="2"/>
    <n v="2.9"/>
    <n v="11.08"/>
    <n v="764.52"/>
  </r>
  <r>
    <x v="1"/>
    <x v="0"/>
    <x v="1"/>
    <n v="206"/>
    <n v="0"/>
    <n v="0"/>
    <n v="30.87"/>
    <n v="6359.22"/>
  </r>
  <r>
    <x v="2"/>
    <x v="0"/>
    <x v="2"/>
    <n v="83"/>
    <n v="4"/>
    <n v="4.82"/>
    <n v="59.78"/>
    <n v="4961.74"/>
  </r>
  <r>
    <x v="0"/>
    <x v="0"/>
    <x v="0"/>
    <n v="161"/>
    <n v="11"/>
    <n v="6.83"/>
    <n v="43.36"/>
    <n v="6980.96"/>
  </r>
  <r>
    <x v="2"/>
    <x v="0"/>
    <x v="2"/>
    <n v="235"/>
    <n v="14"/>
    <n v="5.96"/>
    <n v="30.18"/>
    <n v="7092.3"/>
  </r>
  <r>
    <x v="0"/>
    <x v="0"/>
    <x v="0"/>
    <n v="250"/>
    <n v="24"/>
    <n v="9.6"/>
    <n v="16.78"/>
    <n v="4195"/>
  </r>
  <r>
    <x v="1"/>
    <x v="0"/>
    <x v="2"/>
    <n v="90"/>
    <n v="3"/>
    <n v="3.33"/>
    <n v="51.9"/>
    <n v="4671"/>
  </r>
  <r>
    <x v="0"/>
    <x v="0"/>
    <x v="0"/>
    <n v="151"/>
    <n v="10"/>
    <n v="6.62"/>
    <n v="62.97"/>
    <n v="9508.4699999999993"/>
  </r>
  <r>
    <x v="0"/>
    <x v="0"/>
    <x v="0"/>
    <n v="238"/>
    <n v="9"/>
    <n v="3.78"/>
    <n v="9.7799999999999994"/>
    <n v="2327.64"/>
  </r>
  <r>
    <x v="1"/>
    <x v="0"/>
    <x v="2"/>
    <n v="281"/>
    <n v="8"/>
    <n v="2.85"/>
    <n v="34.630000000000003"/>
    <n v="9731.0300000000007"/>
  </r>
  <r>
    <x v="0"/>
    <x v="0"/>
    <x v="0"/>
    <n v="114"/>
    <n v="10"/>
    <n v="8.77"/>
    <n v="29.2"/>
    <n v="3328.8"/>
  </r>
  <r>
    <x v="2"/>
    <x v="0"/>
    <x v="2"/>
    <n v="260"/>
    <n v="24"/>
    <n v="9.23"/>
    <n v="30.86"/>
    <n v="8023.6"/>
  </r>
  <r>
    <x v="2"/>
    <x v="0"/>
    <x v="2"/>
    <n v="258"/>
    <n v="10"/>
    <n v="3.88"/>
    <n v="55.87"/>
    <n v="14414.46"/>
  </r>
  <r>
    <x v="1"/>
    <x v="0"/>
    <x v="1"/>
    <n v="182"/>
    <n v="8"/>
    <n v="4.4000000000000004"/>
    <n v="5.16"/>
    <n v="939.12"/>
  </r>
  <r>
    <x v="0"/>
    <x v="0"/>
    <x v="2"/>
    <n v="190"/>
    <n v="18"/>
    <n v="9.4700000000000006"/>
    <n v="44.91"/>
    <n v="8532.9"/>
  </r>
  <r>
    <x v="1"/>
    <x v="0"/>
    <x v="1"/>
    <n v="161"/>
    <n v="4"/>
    <n v="2.48"/>
    <n v="41.58"/>
    <n v="6694.38"/>
  </r>
  <r>
    <x v="1"/>
    <x v="0"/>
    <x v="2"/>
    <n v="242"/>
    <n v="16"/>
    <n v="6.61"/>
    <n v="5.92"/>
    <n v="1432.64"/>
  </r>
  <r>
    <x v="1"/>
    <x v="0"/>
    <x v="2"/>
    <n v="244"/>
    <n v="11"/>
    <n v="4.51"/>
    <n v="49.34"/>
    <n v="12038.96"/>
  </r>
  <r>
    <x v="1"/>
    <x v="0"/>
    <x v="2"/>
    <n v="265"/>
    <n v="22"/>
    <n v="8.3000000000000007"/>
    <n v="47.63"/>
    <n v="12621.95"/>
  </r>
  <r>
    <x v="2"/>
    <x v="0"/>
    <x v="2"/>
    <n v="207"/>
    <n v="1"/>
    <n v="0.48"/>
    <n v="26.85"/>
    <n v="5557.95"/>
  </r>
  <r>
    <x v="0"/>
    <x v="0"/>
    <x v="2"/>
    <n v="250"/>
    <n v="6"/>
    <n v="2.4"/>
    <n v="52.12"/>
    <n v="13030"/>
  </r>
  <r>
    <x v="0"/>
    <x v="0"/>
    <x v="0"/>
    <n v="258"/>
    <n v="6"/>
    <n v="2.33"/>
    <n v="58.9"/>
    <n v="15196.2"/>
  </r>
  <r>
    <x v="3"/>
    <x v="0"/>
    <x v="2"/>
    <n v="211"/>
    <n v="19"/>
    <n v="9"/>
    <n v="31.44"/>
    <n v="6633.84"/>
  </r>
  <r>
    <x v="1"/>
    <x v="0"/>
    <x v="2"/>
    <n v="300"/>
    <n v="1"/>
    <n v="0.33"/>
    <n v="59.28"/>
    <n v="17784"/>
  </r>
  <r>
    <x v="3"/>
    <x v="0"/>
    <x v="2"/>
    <n v="55"/>
    <n v="0"/>
    <n v="0"/>
    <n v="53.27"/>
    <n v="2929.85"/>
  </r>
  <r>
    <x v="1"/>
    <x v="0"/>
    <x v="1"/>
    <n v="247"/>
    <n v="15"/>
    <n v="6.07"/>
    <n v="23.62"/>
    <n v="5834.14"/>
  </r>
  <r>
    <x v="2"/>
    <x v="0"/>
    <x v="2"/>
    <n v="150"/>
    <n v="10"/>
    <n v="6.67"/>
    <n v="23.34"/>
    <n v="3501"/>
  </r>
  <r>
    <x v="3"/>
    <x v="0"/>
    <x v="2"/>
    <n v="204"/>
    <n v="14"/>
    <n v="6.86"/>
    <n v="69.34"/>
    <n v="14145.36"/>
  </r>
  <r>
    <x v="1"/>
    <x v="0"/>
    <x v="1"/>
    <n v="249"/>
    <n v="8"/>
    <n v="3.21"/>
    <n v="35.35"/>
    <n v="8802.15"/>
  </r>
  <r>
    <x v="2"/>
    <x v="0"/>
    <x v="2"/>
    <n v="297"/>
    <n v="7"/>
    <n v="2.36"/>
    <n v="14.16"/>
    <n v="4205.5200000000004"/>
  </r>
  <r>
    <x v="2"/>
    <x v="0"/>
    <x v="2"/>
    <n v="267"/>
    <n v="9"/>
    <n v="3.37"/>
    <n v="62.13"/>
    <n v="16588.71"/>
  </r>
  <r>
    <x v="0"/>
    <x v="0"/>
    <x v="0"/>
    <n v="158"/>
    <n v="13"/>
    <n v="8.23"/>
    <n v="42.51"/>
    <n v="6716.58"/>
  </r>
  <r>
    <x v="0"/>
    <x v="0"/>
    <x v="0"/>
    <n v="109"/>
    <n v="1"/>
    <n v="0.92"/>
    <n v="34.53"/>
    <n v="3763.77"/>
  </r>
  <r>
    <x v="2"/>
    <x v="0"/>
    <x v="2"/>
    <n v="245"/>
    <n v="5"/>
    <n v="2.04"/>
    <n v="45.69"/>
    <n v="11194.05"/>
  </r>
  <r>
    <x v="0"/>
    <x v="0"/>
    <x v="2"/>
    <n v="66"/>
    <n v="1"/>
    <n v="1.52"/>
    <n v="30.75"/>
    <n v="2029.5"/>
  </r>
  <r>
    <x v="2"/>
    <x v="0"/>
    <x v="2"/>
    <n v="236"/>
    <n v="15"/>
    <n v="6.36"/>
    <n v="36.33"/>
    <n v="8573.8799999999992"/>
  </r>
  <r>
    <x v="0"/>
    <x v="0"/>
    <x v="2"/>
    <n v="184"/>
    <n v="12"/>
    <n v="6.52"/>
    <n v="68.81"/>
    <n v="12661.04"/>
  </r>
  <r>
    <x v="1"/>
    <x v="0"/>
    <x v="1"/>
    <n v="262"/>
    <n v="3"/>
    <n v="1.1499999999999999"/>
    <n v="62.49"/>
    <n v="16372.38"/>
  </r>
  <r>
    <x v="2"/>
    <x v="0"/>
    <x v="2"/>
    <n v="288"/>
    <n v="13"/>
    <n v="4.51"/>
    <n v="31.07"/>
    <n v="8948.16"/>
  </r>
  <r>
    <x v="0"/>
    <x v="0"/>
    <x v="2"/>
    <n v="63"/>
    <n v="6"/>
    <n v="9.52"/>
    <n v="37.01"/>
    <n v="2331.63"/>
  </r>
  <r>
    <x v="0"/>
    <x v="0"/>
    <x v="2"/>
    <n v="182"/>
    <n v="2"/>
    <n v="1.1000000000000001"/>
    <n v="13.6"/>
    <n v="2475.1999999999998"/>
  </r>
  <r>
    <x v="1"/>
    <x v="0"/>
    <x v="1"/>
    <n v="63"/>
    <n v="4"/>
    <n v="6.35"/>
    <n v="37.950000000000003"/>
    <n v="2390.85"/>
  </r>
  <r>
    <x v="0"/>
    <x v="0"/>
    <x v="0"/>
    <n v="205"/>
    <n v="11"/>
    <n v="5.37"/>
    <n v="61.88"/>
    <n v="12685.4"/>
  </r>
  <r>
    <x v="3"/>
    <x v="0"/>
    <x v="2"/>
    <n v="177"/>
    <n v="9"/>
    <n v="5.08"/>
    <n v="26.27"/>
    <n v="4649.79"/>
  </r>
  <r>
    <x v="1"/>
    <x v="0"/>
    <x v="1"/>
    <n v="135"/>
    <n v="2"/>
    <n v="1.48"/>
    <n v="25.85"/>
    <n v="3489.75"/>
  </r>
  <r>
    <x v="1"/>
    <x v="0"/>
    <x v="2"/>
    <n v="195"/>
    <n v="6"/>
    <n v="3.08"/>
    <n v="43.84"/>
    <n v="8548.7999999999993"/>
  </r>
  <r>
    <x v="1"/>
    <x v="0"/>
    <x v="1"/>
    <n v="157"/>
    <n v="11"/>
    <n v="7.01"/>
    <n v="23.82"/>
    <n v="3739.74"/>
  </r>
  <r>
    <x v="2"/>
    <x v="0"/>
    <x v="2"/>
    <n v="192"/>
    <n v="3"/>
    <n v="1.56"/>
    <n v="13.82"/>
    <n v="2653.44"/>
  </r>
  <r>
    <x v="3"/>
    <x v="0"/>
    <x v="2"/>
    <n v="111"/>
    <n v="0"/>
    <n v="0"/>
    <n v="42.48"/>
    <n v="4715.28"/>
  </r>
  <r>
    <x v="1"/>
    <x v="0"/>
    <x v="2"/>
    <n v="248"/>
    <n v="21"/>
    <n v="8.4700000000000006"/>
    <n v="65.16"/>
    <n v="16159.68"/>
  </r>
  <r>
    <x v="1"/>
    <x v="0"/>
    <x v="2"/>
    <n v="137"/>
    <n v="13"/>
    <n v="9.49"/>
    <n v="26.27"/>
    <n v="3598.99"/>
  </r>
  <r>
    <x v="3"/>
    <x v="0"/>
    <x v="2"/>
    <n v="268"/>
    <n v="14"/>
    <n v="5.22"/>
    <n v="48.96"/>
    <n v="13121.28"/>
  </r>
  <r>
    <x v="0"/>
    <x v="0"/>
    <x v="0"/>
    <n v="236"/>
    <n v="15"/>
    <n v="6.36"/>
    <n v="7.34"/>
    <n v="1732.24"/>
  </r>
  <r>
    <x v="0"/>
    <x v="0"/>
    <x v="2"/>
    <n v="260"/>
    <n v="13"/>
    <n v="5"/>
    <n v="25.55"/>
    <n v="6643"/>
  </r>
  <r>
    <x v="2"/>
    <x v="0"/>
    <x v="2"/>
    <n v="100"/>
    <n v="0"/>
    <n v="0"/>
    <n v="18.38"/>
    <n v="1838"/>
  </r>
  <r>
    <x v="0"/>
    <x v="0"/>
    <x v="2"/>
    <n v="64"/>
    <n v="4"/>
    <n v="6.25"/>
    <n v="25.71"/>
    <n v="1645.44"/>
  </r>
  <r>
    <x v="2"/>
    <x v="0"/>
    <x v="2"/>
    <n v="114"/>
    <n v="9"/>
    <n v="7.89"/>
    <n v="56.13"/>
    <n v="6398.82"/>
  </r>
  <r>
    <x v="1"/>
    <x v="0"/>
    <x v="2"/>
    <n v="260"/>
    <n v="10"/>
    <n v="3.85"/>
    <n v="33.43"/>
    <n v="8691.7999999999993"/>
  </r>
  <r>
    <x v="1"/>
    <x v="0"/>
    <x v="2"/>
    <n v="156"/>
    <n v="3"/>
    <n v="1.92"/>
    <n v="53.2"/>
    <n v="8299.2000000000007"/>
  </r>
  <r>
    <x v="1"/>
    <x v="0"/>
    <x v="1"/>
    <n v="277"/>
    <n v="17"/>
    <n v="6.14"/>
    <n v="40.28"/>
    <n v="11157.56"/>
  </r>
  <r>
    <x v="1"/>
    <x v="0"/>
    <x v="1"/>
    <n v="117"/>
    <n v="11"/>
    <n v="9.4"/>
    <n v="17.43"/>
    <n v="2039.31"/>
  </r>
  <r>
    <x v="1"/>
    <x v="0"/>
    <x v="1"/>
    <n v="166"/>
    <n v="9"/>
    <n v="5.42"/>
    <n v="49.79"/>
    <n v="8265.14"/>
  </r>
  <r>
    <x v="0"/>
    <x v="0"/>
    <x v="0"/>
    <n v="87"/>
    <n v="0"/>
    <n v="0"/>
    <n v="20.82"/>
    <n v="1811.34"/>
  </r>
  <r>
    <x v="0"/>
    <x v="0"/>
    <x v="2"/>
    <n v="56"/>
    <n v="0"/>
    <n v="0"/>
    <n v="64.62"/>
    <n v="3618.72"/>
  </r>
  <r>
    <x v="2"/>
    <x v="0"/>
    <x v="2"/>
    <n v="130"/>
    <n v="12"/>
    <n v="9.23"/>
    <n v="48.27"/>
    <n v="6275.1"/>
  </r>
  <r>
    <x v="1"/>
    <x v="0"/>
    <x v="1"/>
    <n v="266"/>
    <n v="21"/>
    <n v="7.89"/>
    <n v="15.37"/>
    <n v="4088.42"/>
  </r>
  <r>
    <x v="3"/>
    <x v="0"/>
    <x v="2"/>
    <n v="284"/>
    <n v="18"/>
    <n v="6.34"/>
    <n v="68.290000000000006"/>
    <n v="19394.36"/>
  </r>
  <r>
    <x v="0"/>
    <x v="0"/>
    <x v="2"/>
    <n v="125"/>
    <n v="8"/>
    <n v="6.4"/>
    <n v="23.45"/>
    <n v="2931.25"/>
  </r>
  <r>
    <x v="3"/>
    <x v="0"/>
    <x v="2"/>
    <n v="174"/>
    <n v="1"/>
    <n v="0.56999999999999995"/>
    <n v="49.61"/>
    <n v="8632.14"/>
  </r>
  <r>
    <x v="1"/>
    <x v="0"/>
    <x v="2"/>
    <n v="168"/>
    <n v="12"/>
    <n v="7.14"/>
    <n v="10.19"/>
    <n v="1711.92"/>
  </r>
  <r>
    <x v="1"/>
    <x v="0"/>
    <x v="1"/>
    <n v="84"/>
    <n v="7"/>
    <n v="8.33"/>
    <n v="60.36"/>
    <n v="5070.24"/>
  </r>
  <r>
    <x v="3"/>
    <x v="0"/>
    <x v="2"/>
    <n v="53"/>
    <n v="2"/>
    <n v="3.77"/>
    <n v="50.55"/>
    <n v="2679.15"/>
  </r>
  <r>
    <x v="2"/>
    <x v="0"/>
    <x v="2"/>
    <n v="204"/>
    <n v="18"/>
    <n v="8.82"/>
    <n v="61.99"/>
    <n v="12645.96"/>
  </r>
  <r>
    <x v="1"/>
    <x v="0"/>
    <x v="1"/>
    <n v="294"/>
    <n v="14"/>
    <n v="4.76"/>
    <n v="62.53"/>
    <n v="18383.82"/>
  </r>
  <r>
    <x v="0"/>
    <x v="0"/>
    <x v="0"/>
    <n v="123"/>
    <n v="5"/>
    <n v="4.07"/>
    <n v="13.07"/>
    <n v="1607.61"/>
  </r>
  <r>
    <x v="3"/>
    <x v="0"/>
    <x v="2"/>
    <n v="262"/>
    <n v="0"/>
    <n v="0"/>
    <n v="51.13"/>
    <n v="13396.06"/>
  </r>
  <r>
    <x v="1"/>
    <x v="0"/>
    <x v="1"/>
    <n v="55"/>
    <n v="2"/>
    <n v="3.64"/>
    <n v="10.68"/>
    <n v="587.4"/>
  </r>
  <r>
    <x v="2"/>
    <x v="0"/>
    <x v="2"/>
    <n v="137"/>
    <n v="8"/>
    <n v="5.84"/>
    <n v="31.46"/>
    <n v="4310.0200000000004"/>
  </r>
  <r>
    <x v="0"/>
    <x v="0"/>
    <x v="0"/>
    <n v="66"/>
    <n v="3"/>
    <n v="4.55"/>
    <n v="12.09"/>
    <n v="797.94"/>
  </r>
  <r>
    <x v="1"/>
    <x v="0"/>
    <x v="1"/>
    <n v="287"/>
    <n v="27"/>
    <n v="9.41"/>
    <n v="66.11"/>
    <n v="18973.57"/>
  </r>
  <r>
    <x v="1"/>
    <x v="0"/>
    <x v="1"/>
    <n v="92"/>
    <n v="7"/>
    <n v="7.61"/>
    <n v="18.18"/>
    <n v="1672.56"/>
  </r>
  <r>
    <x v="2"/>
    <x v="0"/>
    <x v="2"/>
    <n v="136"/>
    <n v="9"/>
    <n v="6.62"/>
    <n v="58"/>
    <n v="7888"/>
  </r>
  <r>
    <x v="1"/>
    <x v="0"/>
    <x v="1"/>
    <n v="87"/>
    <n v="7"/>
    <n v="8.0500000000000007"/>
    <n v="25.85"/>
    <n v="2248.9499999999998"/>
  </r>
  <r>
    <x v="2"/>
    <x v="0"/>
    <x v="2"/>
    <n v="276"/>
    <n v="2"/>
    <n v="0.72"/>
    <n v="11.09"/>
    <n v="3060.84"/>
  </r>
  <r>
    <x v="2"/>
    <x v="0"/>
    <x v="2"/>
    <n v="123"/>
    <n v="3"/>
    <n v="2.44"/>
    <n v="48.55"/>
    <n v="5971.65"/>
  </r>
  <r>
    <x v="2"/>
    <x v="0"/>
    <x v="2"/>
    <n v="80"/>
    <n v="1"/>
    <n v="1.25"/>
    <n v="45.04"/>
    <n v="3603.2"/>
  </r>
  <r>
    <x v="2"/>
    <x v="0"/>
    <x v="2"/>
    <n v="267"/>
    <n v="17"/>
    <n v="6.37"/>
    <n v="24.08"/>
    <n v="6429.36"/>
  </r>
  <r>
    <x v="2"/>
    <x v="0"/>
    <x v="2"/>
    <n v="72"/>
    <n v="7"/>
    <n v="9.7200000000000006"/>
    <n v="64.7"/>
    <n v="4658.3999999999996"/>
  </r>
  <r>
    <x v="3"/>
    <x v="0"/>
    <x v="2"/>
    <n v="268"/>
    <n v="20"/>
    <n v="7.46"/>
    <n v="12.68"/>
    <n v="3398.24"/>
  </r>
  <r>
    <x v="1"/>
    <x v="0"/>
    <x v="2"/>
    <n v="55"/>
    <n v="5"/>
    <n v="9.09"/>
    <n v="55.83"/>
    <n v="3070.65"/>
  </r>
  <r>
    <x v="1"/>
    <x v="0"/>
    <x v="2"/>
    <n v="158"/>
    <n v="10"/>
    <n v="6.33"/>
    <n v="49.91"/>
    <n v="7885.78"/>
  </r>
  <r>
    <x v="3"/>
    <x v="0"/>
    <x v="2"/>
    <n v="191"/>
    <n v="8"/>
    <n v="4.1900000000000004"/>
    <n v="19.59"/>
    <n v="3741.69"/>
  </r>
  <r>
    <x v="0"/>
    <x v="0"/>
    <x v="0"/>
    <n v="60"/>
    <n v="2"/>
    <n v="3.33"/>
    <n v="48.97"/>
    <n v="2938.2"/>
  </r>
  <r>
    <x v="1"/>
    <x v="0"/>
    <x v="1"/>
    <n v="266"/>
    <n v="12"/>
    <n v="4.51"/>
    <n v="61.21"/>
    <n v="16281.86"/>
  </r>
  <r>
    <x v="0"/>
    <x v="0"/>
    <x v="0"/>
    <n v="296"/>
    <n v="17"/>
    <n v="5.74"/>
    <n v="24.48"/>
    <n v="7246.08"/>
  </r>
  <r>
    <x v="1"/>
    <x v="0"/>
    <x v="1"/>
    <n v="166"/>
    <n v="1"/>
    <n v="0.6"/>
    <n v="37.840000000000003"/>
    <n v="6281.44"/>
  </r>
  <r>
    <x v="3"/>
    <x v="0"/>
    <x v="2"/>
    <n v="159"/>
    <n v="14"/>
    <n v="8.81"/>
    <n v="30.3"/>
    <n v="4817.7"/>
  </r>
  <r>
    <x v="0"/>
    <x v="0"/>
    <x v="0"/>
    <n v="292"/>
    <n v="1"/>
    <n v="0.34"/>
    <n v="49.92"/>
    <n v="14576.64"/>
  </r>
  <r>
    <x v="1"/>
    <x v="0"/>
    <x v="1"/>
    <n v="189"/>
    <n v="13"/>
    <n v="6.88"/>
    <n v="43.82"/>
    <n v="8281.98"/>
  </r>
  <r>
    <x v="2"/>
    <x v="0"/>
    <x v="2"/>
    <n v="138"/>
    <n v="7"/>
    <n v="5.07"/>
    <n v="62.15"/>
    <n v="8576.7000000000007"/>
  </r>
  <r>
    <x v="3"/>
    <x v="0"/>
    <x v="2"/>
    <n v="53"/>
    <n v="5"/>
    <n v="9.43"/>
    <n v="45.7"/>
    <n v="2422.1"/>
  </r>
  <r>
    <x v="2"/>
    <x v="0"/>
    <x v="2"/>
    <n v="123"/>
    <n v="5"/>
    <n v="4.07"/>
    <n v="14.14"/>
    <n v="1739.22"/>
  </r>
  <r>
    <x v="0"/>
    <x v="0"/>
    <x v="0"/>
    <n v="124"/>
    <n v="1"/>
    <n v="0.81"/>
    <n v="13.01"/>
    <n v="1613.24"/>
  </r>
  <r>
    <x v="3"/>
    <x v="0"/>
    <x v="2"/>
    <n v="169"/>
    <n v="10"/>
    <n v="5.92"/>
    <n v="64"/>
    <n v="10816"/>
  </r>
  <r>
    <x v="1"/>
    <x v="0"/>
    <x v="2"/>
    <n v="189"/>
    <n v="16"/>
    <n v="8.4700000000000006"/>
    <n v="38.880000000000003"/>
    <n v="7348.32"/>
  </r>
  <r>
    <x v="2"/>
    <x v="0"/>
    <x v="2"/>
    <n v="174"/>
    <n v="15"/>
    <n v="8.6199999999999992"/>
    <n v="17.07"/>
    <n v="2970.18"/>
  </r>
  <r>
    <x v="0"/>
    <x v="0"/>
    <x v="0"/>
    <n v="243"/>
    <n v="14"/>
    <n v="5.76"/>
    <n v="34.700000000000003"/>
    <n v="8432.1"/>
  </r>
  <r>
    <x v="2"/>
    <x v="0"/>
    <x v="2"/>
    <n v="104"/>
    <n v="2"/>
    <n v="1.92"/>
    <n v="51.59"/>
    <n v="5365.36"/>
  </r>
  <r>
    <x v="3"/>
    <x v="0"/>
    <x v="2"/>
    <n v="228"/>
    <n v="13"/>
    <n v="5.7"/>
    <n v="17.920000000000002"/>
    <n v="4085.76"/>
  </r>
  <r>
    <x v="0"/>
    <x v="0"/>
    <x v="2"/>
    <n v="205"/>
    <n v="18"/>
    <n v="8.7799999999999994"/>
    <n v="42.63"/>
    <n v="8739.15"/>
  </r>
  <r>
    <x v="1"/>
    <x v="0"/>
    <x v="1"/>
    <n v="125"/>
    <n v="3"/>
    <n v="2.4"/>
    <n v="24.18"/>
    <n v="3022.5"/>
  </r>
  <r>
    <x v="2"/>
    <x v="0"/>
    <x v="2"/>
    <n v="128"/>
    <n v="10"/>
    <n v="7.81"/>
    <n v="14.84"/>
    <n v="1899.52"/>
  </r>
  <r>
    <x v="3"/>
    <x v="0"/>
    <x v="2"/>
    <n v="62"/>
    <n v="3"/>
    <n v="4.84"/>
    <n v="58.21"/>
    <n v="3609.02"/>
  </r>
  <r>
    <x v="2"/>
    <x v="0"/>
    <x v="2"/>
    <n v="75"/>
    <n v="7"/>
    <n v="9.33"/>
    <n v="48.96"/>
    <n v="3672"/>
  </r>
  <r>
    <x v="3"/>
    <x v="0"/>
    <x v="2"/>
    <n v="209"/>
    <n v="8"/>
    <n v="3.83"/>
    <n v="11.68"/>
    <n v="2441.12"/>
  </r>
  <r>
    <x v="0"/>
    <x v="0"/>
    <x v="0"/>
    <n v="237"/>
    <n v="22"/>
    <n v="9.2799999999999994"/>
    <n v="52.51"/>
    <n v="12444.87"/>
  </r>
  <r>
    <x v="3"/>
    <x v="0"/>
    <x v="2"/>
    <n v="97"/>
    <n v="7"/>
    <n v="7.22"/>
    <n v="6.74"/>
    <n v="653.78"/>
  </r>
  <r>
    <x v="1"/>
    <x v="0"/>
    <x v="1"/>
    <n v="62"/>
    <n v="0"/>
    <n v="0"/>
    <n v="14.39"/>
    <n v="892.18"/>
  </r>
  <r>
    <x v="1"/>
    <x v="0"/>
    <x v="1"/>
    <n v="265"/>
    <n v="1"/>
    <n v="0.38"/>
    <n v="55.03"/>
    <n v="14582.95"/>
  </r>
  <r>
    <x v="1"/>
    <x v="0"/>
    <x v="2"/>
    <n v="298"/>
    <n v="1"/>
    <n v="0.34"/>
    <n v="54.4"/>
    <n v="16211.2"/>
  </r>
  <r>
    <x v="1"/>
    <x v="0"/>
    <x v="2"/>
    <n v="262"/>
    <n v="10"/>
    <n v="3.82"/>
    <n v="28.05"/>
    <n v="7349.1"/>
  </r>
  <r>
    <x v="1"/>
    <x v="0"/>
    <x v="1"/>
    <n v="113"/>
    <n v="9"/>
    <n v="7.96"/>
    <n v="51.86"/>
    <n v="5860.18"/>
  </r>
  <r>
    <x v="0"/>
    <x v="0"/>
    <x v="2"/>
    <n v="50"/>
    <n v="2"/>
    <n v="4"/>
    <n v="21.45"/>
    <n v="1072.5"/>
  </r>
  <r>
    <x v="2"/>
    <x v="0"/>
    <x v="2"/>
    <n v="288"/>
    <n v="1"/>
    <n v="0.35"/>
    <n v="67.760000000000005"/>
    <n v="19514.88"/>
  </r>
  <r>
    <x v="0"/>
    <x v="0"/>
    <x v="0"/>
    <n v="95"/>
    <n v="1"/>
    <n v="1.05"/>
    <n v="24.07"/>
    <n v="2286.65"/>
  </r>
  <r>
    <x v="1"/>
    <x v="0"/>
    <x v="1"/>
    <n v="129"/>
    <n v="8"/>
    <n v="6.2"/>
    <n v="11.94"/>
    <n v="1540.26"/>
  </r>
  <r>
    <x v="2"/>
    <x v="0"/>
    <x v="2"/>
    <n v="285"/>
    <n v="15"/>
    <n v="5.26"/>
    <n v="28.28"/>
    <n v="8059.8"/>
  </r>
  <r>
    <x v="3"/>
    <x v="0"/>
    <x v="2"/>
    <n v="134"/>
    <n v="0"/>
    <n v="0"/>
    <n v="27.04"/>
    <n v="3623.36"/>
  </r>
  <r>
    <x v="0"/>
    <x v="0"/>
    <x v="0"/>
    <n v="229"/>
    <n v="19"/>
    <n v="8.3000000000000007"/>
    <n v="57.69"/>
    <n v="13211.01"/>
  </r>
  <r>
    <x v="1"/>
    <x v="0"/>
    <x v="2"/>
    <n v="267"/>
    <n v="4"/>
    <n v="1.5"/>
    <n v="10.14"/>
    <n v="2707.38"/>
  </r>
  <r>
    <x v="1"/>
    <x v="0"/>
    <x v="2"/>
    <n v="133"/>
    <n v="9"/>
    <n v="6.77"/>
    <n v="40.42"/>
    <n v="5375.86"/>
  </r>
  <r>
    <x v="1"/>
    <x v="0"/>
    <x v="2"/>
    <n v="153"/>
    <n v="9"/>
    <n v="5.88"/>
    <n v="61"/>
    <n v="9333"/>
  </r>
  <r>
    <x v="3"/>
    <x v="0"/>
    <x v="2"/>
    <n v="268"/>
    <n v="7"/>
    <n v="2.61"/>
    <n v="50.55"/>
    <n v="13547.4"/>
  </r>
  <r>
    <x v="1"/>
    <x v="0"/>
    <x v="2"/>
    <n v="265"/>
    <n v="22"/>
    <n v="8.3000000000000007"/>
    <n v="28.81"/>
    <n v="7634.65"/>
  </r>
  <r>
    <x v="2"/>
    <x v="0"/>
    <x v="2"/>
    <n v="246"/>
    <n v="21"/>
    <n v="8.5399999999999991"/>
    <n v="36.33"/>
    <n v="8937.18"/>
  </r>
  <r>
    <x v="0"/>
    <x v="0"/>
    <x v="2"/>
    <n v="108"/>
    <n v="2"/>
    <n v="1.85"/>
    <n v="26.03"/>
    <n v="2811.24"/>
  </r>
  <r>
    <x v="1"/>
    <x v="0"/>
    <x v="1"/>
    <n v="111"/>
    <n v="4"/>
    <n v="3.6"/>
    <n v="29.3"/>
    <n v="3252.3"/>
  </r>
  <r>
    <x v="3"/>
    <x v="0"/>
    <x v="2"/>
    <n v="143"/>
    <n v="5"/>
    <n v="3.5"/>
    <n v="25.78"/>
    <n v="3686.54"/>
  </r>
  <r>
    <x v="0"/>
    <x v="0"/>
    <x v="0"/>
    <n v="123"/>
    <n v="6"/>
    <n v="4.88"/>
    <n v="11.98"/>
    <n v="1473.54"/>
  </r>
  <r>
    <x v="1"/>
    <x v="0"/>
    <x v="1"/>
    <n v="166"/>
    <n v="4"/>
    <n v="2.41"/>
    <n v="63.43"/>
    <n v="10529.38"/>
  </r>
  <r>
    <x v="2"/>
    <x v="0"/>
    <x v="2"/>
    <n v="252"/>
    <n v="0"/>
    <n v="0"/>
    <n v="39.68"/>
    <n v="9999.36"/>
  </r>
  <r>
    <x v="2"/>
    <x v="0"/>
    <x v="2"/>
    <n v="240"/>
    <n v="0"/>
    <n v="0"/>
    <n v="17.920000000000002"/>
    <n v="4300.8"/>
  </r>
  <r>
    <x v="2"/>
    <x v="0"/>
    <x v="2"/>
    <n v="221"/>
    <n v="4"/>
    <n v="1.81"/>
    <n v="14.7"/>
    <n v="3248.7"/>
  </r>
  <r>
    <x v="0"/>
    <x v="0"/>
    <x v="2"/>
    <n v="246"/>
    <n v="6"/>
    <n v="2.44"/>
    <n v="36.83"/>
    <n v="9060.18"/>
  </r>
  <r>
    <x v="3"/>
    <x v="0"/>
    <x v="2"/>
    <n v="259"/>
    <n v="25"/>
    <n v="9.65"/>
    <n v="56.94"/>
    <n v="14747.46"/>
  </r>
  <r>
    <x v="3"/>
    <x v="0"/>
    <x v="2"/>
    <n v="214"/>
    <n v="9"/>
    <n v="4.21"/>
    <n v="41.91"/>
    <n v="8968.74"/>
  </r>
  <r>
    <x v="0"/>
    <x v="0"/>
    <x v="2"/>
    <n v="265"/>
    <n v="21"/>
    <n v="7.92"/>
    <n v="57.4"/>
    <n v="15211"/>
  </r>
  <r>
    <x v="0"/>
    <x v="0"/>
    <x v="2"/>
    <n v="89"/>
    <n v="3"/>
    <n v="3.37"/>
    <n v="42.7"/>
    <n v="3800.3"/>
  </r>
  <r>
    <x v="3"/>
    <x v="0"/>
    <x v="2"/>
    <n v="225"/>
    <n v="20"/>
    <n v="8.89"/>
    <n v="52.5"/>
    <n v="11812.5"/>
  </r>
  <r>
    <x v="3"/>
    <x v="0"/>
    <x v="2"/>
    <n v="131"/>
    <n v="3"/>
    <n v="2.29"/>
    <n v="40.130000000000003"/>
    <n v="5257.03"/>
  </r>
  <r>
    <x v="2"/>
    <x v="0"/>
    <x v="2"/>
    <n v="98"/>
    <n v="8"/>
    <n v="8.16"/>
    <n v="40.26"/>
    <n v="3945.48"/>
  </r>
  <r>
    <x v="1"/>
    <x v="0"/>
    <x v="1"/>
    <n v="151"/>
    <n v="6"/>
    <n v="3.97"/>
    <n v="58.58"/>
    <n v="8845.58"/>
  </r>
  <r>
    <x v="3"/>
    <x v="0"/>
    <x v="2"/>
    <n v="219"/>
    <n v="17"/>
    <n v="7.76"/>
    <n v="26.53"/>
    <n v="5810.07"/>
  </r>
  <r>
    <x v="0"/>
    <x v="0"/>
    <x v="2"/>
    <n v="143"/>
    <n v="13"/>
    <n v="9.09"/>
    <n v="14.99"/>
    <n v="2143.5700000000002"/>
  </r>
  <r>
    <x v="1"/>
    <x v="0"/>
    <x v="2"/>
    <n v="178"/>
    <n v="0"/>
    <n v="0"/>
    <n v="29.12"/>
    <n v="5183.3599999999997"/>
  </r>
  <r>
    <x v="0"/>
    <x v="0"/>
    <x v="0"/>
    <n v="283"/>
    <n v="13"/>
    <n v="4.59"/>
    <n v="29.49"/>
    <n v="8345.67"/>
  </r>
  <r>
    <x v="0"/>
    <x v="0"/>
    <x v="0"/>
    <n v="86"/>
    <n v="5"/>
    <n v="5.81"/>
    <n v="32.26"/>
    <n v="2774.36"/>
  </r>
  <r>
    <x v="1"/>
    <x v="0"/>
    <x v="2"/>
    <n v="60"/>
    <n v="0"/>
    <n v="0"/>
    <n v="65.61"/>
    <n v="3936.6"/>
  </r>
  <r>
    <x v="0"/>
    <x v="0"/>
    <x v="2"/>
    <n v="208"/>
    <n v="17"/>
    <n v="8.17"/>
    <n v="63.92"/>
    <n v="13295.36"/>
  </r>
  <r>
    <x v="0"/>
    <x v="0"/>
    <x v="0"/>
    <n v="143"/>
    <n v="6"/>
    <n v="4.2"/>
    <n v="57.59"/>
    <n v="8235.3700000000008"/>
  </r>
  <r>
    <x v="2"/>
    <x v="0"/>
    <x v="2"/>
    <n v="252"/>
    <n v="2"/>
    <n v="0.79"/>
    <n v="38.799999999999997"/>
    <n v="9777.6"/>
  </r>
  <r>
    <x v="2"/>
    <x v="0"/>
    <x v="2"/>
    <n v="181"/>
    <n v="9"/>
    <n v="4.97"/>
    <n v="42.96"/>
    <n v="7775.76"/>
  </r>
  <r>
    <x v="1"/>
    <x v="0"/>
    <x v="1"/>
    <n v="147"/>
    <n v="6"/>
    <n v="4.08"/>
    <n v="66.91"/>
    <n v="9835.77"/>
  </r>
  <r>
    <x v="1"/>
    <x v="0"/>
    <x v="1"/>
    <n v="239"/>
    <n v="9"/>
    <n v="3.77"/>
    <n v="18.86"/>
    <n v="4507.54"/>
  </r>
  <r>
    <x v="1"/>
    <x v="0"/>
    <x v="2"/>
    <n v="193"/>
    <n v="19"/>
    <n v="9.84"/>
    <n v="54.3"/>
    <n v="10479.9"/>
  </r>
  <r>
    <x v="0"/>
    <x v="0"/>
    <x v="2"/>
    <n v="133"/>
    <n v="13"/>
    <n v="9.77"/>
    <n v="47.23"/>
    <n v="6281.59"/>
  </r>
  <r>
    <x v="3"/>
    <x v="0"/>
    <x v="2"/>
    <n v="238"/>
    <n v="22"/>
    <n v="9.24"/>
    <n v="60.27"/>
    <n v="14344.26"/>
  </r>
  <r>
    <x v="3"/>
    <x v="0"/>
    <x v="2"/>
    <n v="211"/>
    <n v="18"/>
    <n v="8.5299999999999994"/>
    <n v="10.33"/>
    <n v="2179.63"/>
  </r>
  <r>
    <x v="1"/>
    <x v="0"/>
    <x v="2"/>
    <n v="199"/>
    <n v="14"/>
    <n v="7.04"/>
    <n v="25.6"/>
    <n v="5094.3999999999996"/>
  </r>
  <r>
    <x v="3"/>
    <x v="0"/>
    <x v="2"/>
    <n v="299"/>
    <n v="21"/>
    <n v="7.02"/>
    <n v="32.369999999999997"/>
    <n v="9678.6299999999992"/>
  </r>
  <r>
    <x v="3"/>
    <x v="0"/>
    <x v="2"/>
    <n v="79"/>
    <n v="6"/>
    <n v="7.59"/>
    <n v="69.739999999999995"/>
    <n v="5509.46"/>
  </r>
  <r>
    <x v="1"/>
    <x v="0"/>
    <x v="2"/>
    <n v="104"/>
    <n v="4"/>
    <n v="3.85"/>
    <n v="57.82"/>
    <n v="6013.28"/>
  </r>
  <r>
    <x v="1"/>
    <x v="0"/>
    <x v="2"/>
    <n v="63"/>
    <n v="3"/>
    <n v="4.76"/>
    <n v="34.21"/>
    <n v="2155.23"/>
  </r>
  <r>
    <x v="3"/>
    <x v="0"/>
    <x v="2"/>
    <n v="157"/>
    <n v="6"/>
    <n v="3.82"/>
    <n v="9.5399999999999991"/>
    <n v="1497.78"/>
  </r>
  <r>
    <x v="0"/>
    <x v="0"/>
    <x v="0"/>
    <n v="87"/>
    <n v="4"/>
    <n v="4.5999999999999996"/>
    <n v="22.92"/>
    <n v="1994.04"/>
  </r>
  <r>
    <x v="1"/>
    <x v="0"/>
    <x v="1"/>
    <n v="171"/>
    <n v="13"/>
    <n v="7.6"/>
    <n v="7.47"/>
    <n v="1277.3699999999999"/>
  </r>
  <r>
    <x v="1"/>
    <x v="0"/>
    <x v="2"/>
    <n v="175"/>
    <n v="4"/>
    <n v="2.29"/>
    <n v="45.54"/>
    <n v="7969.5"/>
  </r>
  <r>
    <x v="2"/>
    <x v="0"/>
    <x v="2"/>
    <n v="124"/>
    <n v="6"/>
    <n v="4.84"/>
    <n v="43.15"/>
    <n v="5350.6"/>
  </r>
  <r>
    <x v="1"/>
    <x v="0"/>
    <x v="2"/>
    <n v="199"/>
    <n v="1"/>
    <n v="0.5"/>
    <n v="24.39"/>
    <n v="4853.6099999999997"/>
  </r>
  <r>
    <x v="3"/>
    <x v="0"/>
    <x v="2"/>
    <n v="275"/>
    <n v="13"/>
    <n v="4.7300000000000004"/>
    <n v="54.9"/>
    <n v="15097.5"/>
  </r>
  <r>
    <x v="1"/>
    <x v="0"/>
    <x v="1"/>
    <n v="245"/>
    <n v="1"/>
    <n v="0.41"/>
    <n v="57.81"/>
    <n v="14163.45"/>
  </r>
  <r>
    <x v="0"/>
    <x v="0"/>
    <x v="2"/>
    <n v="74"/>
    <n v="5"/>
    <n v="6.76"/>
    <n v="40.619999999999997"/>
    <n v="3005.88"/>
  </r>
  <r>
    <x v="3"/>
    <x v="0"/>
    <x v="2"/>
    <n v="291"/>
    <n v="15"/>
    <n v="5.15"/>
    <n v="60.74"/>
    <n v="17675.34"/>
  </r>
  <r>
    <x v="0"/>
    <x v="0"/>
    <x v="2"/>
    <n v="73"/>
    <n v="1"/>
    <n v="1.37"/>
    <n v="69.989999999999995"/>
    <n v="5109.2700000000004"/>
  </r>
  <r>
    <x v="0"/>
    <x v="0"/>
    <x v="0"/>
    <n v="130"/>
    <n v="2"/>
    <n v="1.54"/>
    <n v="67.78"/>
    <n v="8811.4"/>
  </r>
  <r>
    <x v="1"/>
    <x v="0"/>
    <x v="2"/>
    <n v="171"/>
    <n v="6"/>
    <n v="3.51"/>
    <n v="42.88"/>
    <n v="7332.48"/>
  </r>
  <r>
    <x v="1"/>
    <x v="0"/>
    <x v="2"/>
    <n v="56"/>
    <n v="3"/>
    <n v="5.36"/>
    <n v="61.13"/>
    <n v="3423.28"/>
  </r>
  <r>
    <x v="2"/>
    <x v="0"/>
    <x v="2"/>
    <n v="162"/>
    <n v="0"/>
    <n v="0"/>
    <n v="59.21"/>
    <n v="9592.02"/>
  </r>
  <r>
    <x v="0"/>
    <x v="0"/>
    <x v="0"/>
    <n v="196"/>
    <n v="4"/>
    <n v="2.04"/>
    <n v="58.65"/>
    <n v="11495.4"/>
  </r>
  <r>
    <x v="1"/>
    <x v="0"/>
    <x v="1"/>
    <n v="111"/>
    <n v="10"/>
    <n v="9.01"/>
    <n v="47.09"/>
    <n v="5226.99"/>
  </r>
  <r>
    <x v="0"/>
    <x v="0"/>
    <x v="2"/>
    <n v="288"/>
    <n v="6"/>
    <n v="2.08"/>
    <n v="61.9"/>
    <n v="17827.2"/>
  </r>
  <r>
    <x v="1"/>
    <x v="0"/>
    <x v="2"/>
    <n v="151"/>
    <n v="8"/>
    <n v="5.3"/>
    <n v="47.62"/>
    <n v="7190.62"/>
  </r>
  <r>
    <x v="0"/>
    <x v="0"/>
    <x v="0"/>
    <n v="185"/>
    <n v="13"/>
    <n v="7.03"/>
    <n v="67.2"/>
    <n v="12432"/>
  </r>
  <r>
    <x v="1"/>
    <x v="0"/>
    <x v="2"/>
    <n v="93"/>
    <n v="5"/>
    <n v="5.38"/>
    <n v="67.12"/>
    <n v="6242.16"/>
  </r>
  <r>
    <x v="0"/>
    <x v="0"/>
    <x v="0"/>
    <n v="244"/>
    <n v="4"/>
    <n v="1.64"/>
    <n v="17.3"/>
    <n v="4221.2"/>
  </r>
  <r>
    <x v="1"/>
    <x v="0"/>
    <x v="2"/>
    <n v="89"/>
    <n v="0"/>
    <n v="0"/>
    <n v="24.08"/>
    <n v="2143.12"/>
  </r>
  <r>
    <x v="2"/>
    <x v="0"/>
    <x v="2"/>
    <n v="186"/>
    <n v="18"/>
    <n v="9.68"/>
    <n v="68.16"/>
    <n v="12677.76"/>
  </r>
  <r>
    <x v="3"/>
    <x v="0"/>
    <x v="2"/>
    <n v="177"/>
    <n v="3"/>
    <n v="1.69"/>
    <n v="40.06"/>
    <n v="7090.62"/>
  </r>
  <r>
    <x v="0"/>
    <x v="0"/>
    <x v="0"/>
    <n v="288"/>
    <n v="26"/>
    <n v="9.0299999999999994"/>
    <n v="9.34"/>
    <n v="2689.92"/>
  </r>
  <r>
    <x v="2"/>
    <x v="0"/>
    <x v="2"/>
    <n v="91"/>
    <n v="7"/>
    <n v="7.69"/>
    <n v="60.43"/>
    <n v="5499.13"/>
  </r>
  <r>
    <x v="1"/>
    <x v="0"/>
    <x v="2"/>
    <n v="78"/>
    <n v="1"/>
    <n v="1.28"/>
    <n v="52.4"/>
    <n v="4087.2"/>
  </r>
  <r>
    <x v="1"/>
    <x v="0"/>
    <x v="2"/>
    <n v="267"/>
    <n v="1"/>
    <n v="0.37"/>
    <n v="37.92"/>
    <n v="10124.64"/>
  </r>
  <r>
    <x v="0"/>
    <x v="0"/>
    <x v="2"/>
    <n v="156"/>
    <n v="1"/>
    <n v="0.64"/>
    <n v="5.8"/>
    <n v="904.8"/>
  </r>
  <r>
    <x v="0"/>
    <x v="0"/>
    <x v="2"/>
    <n v="161"/>
    <n v="2"/>
    <n v="1.24"/>
    <n v="69.040000000000006"/>
    <n v="11115.44"/>
  </r>
  <r>
    <x v="1"/>
    <x v="0"/>
    <x v="1"/>
    <n v="273"/>
    <n v="21"/>
    <n v="7.69"/>
    <n v="60"/>
    <n v="16380"/>
  </r>
  <r>
    <x v="1"/>
    <x v="0"/>
    <x v="1"/>
    <n v="169"/>
    <n v="0"/>
    <n v="0"/>
    <n v="26.42"/>
    <n v="4464.9799999999996"/>
  </r>
  <r>
    <x v="1"/>
    <x v="0"/>
    <x v="2"/>
    <n v="274"/>
    <n v="1"/>
    <n v="0.36"/>
    <n v="5.82"/>
    <n v="1594.68"/>
  </r>
  <r>
    <x v="0"/>
    <x v="0"/>
    <x v="2"/>
    <n v="179"/>
    <n v="4"/>
    <n v="2.23"/>
    <n v="5.63"/>
    <n v="1007.77"/>
  </r>
  <r>
    <x v="0"/>
    <x v="0"/>
    <x v="0"/>
    <n v="127"/>
    <n v="10"/>
    <n v="7.87"/>
    <n v="27.97"/>
    <n v="3552.19"/>
  </r>
  <r>
    <x v="0"/>
    <x v="0"/>
    <x v="2"/>
    <n v="180"/>
    <n v="14"/>
    <n v="7.78"/>
    <n v="62.39"/>
    <n v="11230.2"/>
  </r>
  <r>
    <x v="1"/>
    <x v="0"/>
    <x v="2"/>
    <n v="77"/>
    <n v="0"/>
    <n v="0"/>
    <n v="25.1"/>
    <n v="1932.7"/>
  </r>
  <r>
    <x v="1"/>
    <x v="0"/>
    <x v="1"/>
    <n v="102"/>
    <n v="10"/>
    <n v="9.8000000000000007"/>
    <n v="39.43"/>
    <n v="4021.86"/>
  </r>
  <r>
    <x v="0"/>
    <x v="0"/>
    <x v="2"/>
    <n v="262"/>
    <n v="9"/>
    <n v="3.44"/>
    <n v="5.98"/>
    <n v="1566.76"/>
  </r>
  <r>
    <x v="3"/>
    <x v="0"/>
    <x v="2"/>
    <n v="74"/>
    <n v="6"/>
    <n v="8.11"/>
    <n v="28.65"/>
    <n v="2120.1"/>
  </r>
  <r>
    <x v="0"/>
    <x v="0"/>
    <x v="0"/>
    <n v="288"/>
    <n v="18"/>
    <n v="6.25"/>
    <n v="68.83"/>
    <n v="19823.04"/>
  </r>
  <r>
    <x v="3"/>
    <x v="0"/>
    <x v="2"/>
    <n v="124"/>
    <n v="7"/>
    <n v="5.65"/>
    <n v="8"/>
    <n v="992"/>
  </r>
  <r>
    <x v="1"/>
    <x v="0"/>
    <x v="2"/>
    <n v="74"/>
    <n v="3"/>
    <n v="4.05"/>
    <n v="44.27"/>
    <n v="3275.98"/>
  </r>
  <r>
    <x v="0"/>
    <x v="0"/>
    <x v="2"/>
    <n v="231"/>
    <n v="5"/>
    <n v="2.16"/>
    <n v="67.61"/>
    <n v="15617.91"/>
  </r>
  <r>
    <x v="0"/>
    <x v="0"/>
    <x v="2"/>
    <n v="243"/>
    <n v="6"/>
    <n v="2.4700000000000002"/>
    <n v="28.84"/>
    <n v="7008.12"/>
  </r>
  <r>
    <x v="2"/>
    <x v="0"/>
    <x v="2"/>
    <n v="127"/>
    <n v="4"/>
    <n v="3.15"/>
    <n v="27.76"/>
    <n v="3525.52"/>
  </r>
  <r>
    <x v="0"/>
    <x v="0"/>
    <x v="2"/>
    <n v="229"/>
    <n v="3"/>
    <n v="1.31"/>
    <n v="20.83"/>
    <n v="4770.07"/>
  </r>
  <r>
    <x v="3"/>
    <x v="0"/>
    <x v="2"/>
    <n v="66"/>
    <n v="1"/>
    <n v="1.52"/>
    <n v="46.49"/>
    <n v="3068.34"/>
  </r>
  <r>
    <x v="2"/>
    <x v="0"/>
    <x v="2"/>
    <n v="236"/>
    <n v="9"/>
    <n v="3.81"/>
    <n v="8.56"/>
    <n v="2020.16"/>
  </r>
  <r>
    <x v="2"/>
    <x v="0"/>
    <x v="2"/>
    <n v="250"/>
    <n v="3"/>
    <n v="1.2"/>
    <n v="54.35"/>
    <n v="13587.5"/>
  </r>
  <r>
    <x v="2"/>
    <x v="0"/>
    <x v="2"/>
    <n v="130"/>
    <n v="12"/>
    <n v="9.23"/>
    <n v="5.36"/>
    <n v="696.8"/>
  </r>
  <r>
    <x v="2"/>
    <x v="0"/>
    <x v="2"/>
    <n v="164"/>
    <n v="4"/>
    <n v="2.44"/>
    <n v="26.18"/>
    <n v="4293.5200000000004"/>
  </r>
  <r>
    <x v="1"/>
    <x v="0"/>
    <x v="2"/>
    <n v="192"/>
    <n v="9"/>
    <n v="4.6900000000000004"/>
    <n v="55.09"/>
    <n v="10577.28"/>
  </r>
  <r>
    <x v="1"/>
    <x v="0"/>
    <x v="2"/>
    <n v="279"/>
    <n v="13"/>
    <n v="4.66"/>
    <n v="49.08"/>
    <n v="13693.32"/>
  </r>
  <r>
    <x v="0"/>
    <x v="0"/>
    <x v="2"/>
    <n v="61"/>
    <n v="2"/>
    <n v="3.28"/>
    <n v="14.74"/>
    <n v="899.14"/>
  </r>
  <r>
    <x v="0"/>
    <x v="0"/>
    <x v="2"/>
    <n v="232"/>
    <n v="15"/>
    <n v="6.47"/>
    <n v="6.12"/>
    <n v="1419.84"/>
  </r>
  <r>
    <x v="0"/>
    <x v="0"/>
    <x v="0"/>
    <n v="87"/>
    <n v="1"/>
    <n v="1.1499999999999999"/>
    <n v="10.43"/>
    <n v="907.41"/>
  </r>
  <r>
    <x v="1"/>
    <x v="0"/>
    <x v="1"/>
    <n v="205"/>
    <n v="7"/>
    <n v="3.41"/>
    <n v="55.87"/>
    <n v="11453.35"/>
  </r>
  <r>
    <x v="0"/>
    <x v="0"/>
    <x v="0"/>
    <n v="202"/>
    <n v="20"/>
    <n v="9.9"/>
    <n v="17.559999999999999"/>
    <n v="3547.12"/>
  </r>
  <r>
    <x v="0"/>
    <x v="0"/>
    <x v="0"/>
    <n v="246"/>
    <n v="14"/>
    <n v="5.69"/>
    <n v="45.51"/>
    <n v="11195.46"/>
  </r>
  <r>
    <x v="1"/>
    <x v="0"/>
    <x v="1"/>
    <n v="273"/>
    <n v="12"/>
    <n v="4.4000000000000004"/>
    <n v="15.79"/>
    <n v="4310.67"/>
  </r>
  <r>
    <x v="3"/>
    <x v="0"/>
    <x v="2"/>
    <n v="189"/>
    <n v="2"/>
    <n v="1.06"/>
    <n v="33.32"/>
    <n v="6297.48"/>
  </r>
  <r>
    <x v="1"/>
    <x v="0"/>
    <x v="1"/>
    <n v="162"/>
    <n v="3"/>
    <n v="1.85"/>
    <n v="25.96"/>
    <n v="4205.5200000000004"/>
  </r>
  <r>
    <x v="2"/>
    <x v="0"/>
    <x v="2"/>
    <n v="269"/>
    <n v="23"/>
    <n v="8.5500000000000007"/>
    <n v="43.84"/>
    <n v="11792.96"/>
  </r>
  <r>
    <x v="0"/>
    <x v="0"/>
    <x v="0"/>
    <n v="129"/>
    <n v="2"/>
    <n v="1.55"/>
    <n v="17.7"/>
    <n v="2283.3000000000002"/>
  </r>
  <r>
    <x v="1"/>
    <x v="0"/>
    <x v="1"/>
    <n v="85"/>
    <n v="4"/>
    <n v="4.71"/>
    <n v="49.17"/>
    <n v="4179.45"/>
  </r>
  <r>
    <x v="2"/>
    <x v="0"/>
    <x v="2"/>
    <n v="264"/>
    <n v="10"/>
    <n v="3.79"/>
    <n v="23.14"/>
    <n v="6108.96"/>
  </r>
  <r>
    <x v="1"/>
    <x v="0"/>
    <x v="1"/>
    <n v="67"/>
    <n v="6"/>
    <n v="8.9600000000000009"/>
    <n v="27.87"/>
    <n v="1867.29"/>
  </r>
  <r>
    <x v="1"/>
    <x v="0"/>
    <x v="1"/>
    <n v="243"/>
    <n v="14"/>
    <n v="5.76"/>
    <n v="33.119999999999997"/>
    <n v="8048.16"/>
  </r>
  <r>
    <x v="1"/>
    <x v="0"/>
    <x v="2"/>
    <n v="82"/>
    <n v="5"/>
    <n v="6.1"/>
    <n v="36.869999999999997"/>
    <n v="3023.34"/>
  </r>
  <r>
    <x v="0"/>
    <x v="0"/>
    <x v="0"/>
    <n v="240"/>
    <n v="14"/>
    <n v="5.83"/>
    <n v="69.39"/>
    <n v="16653.599999999999"/>
  </r>
  <r>
    <x v="3"/>
    <x v="0"/>
    <x v="2"/>
    <n v="54"/>
    <n v="0"/>
    <n v="0"/>
    <n v="63.17"/>
    <n v="3411.18"/>
  </r>
  <r>
    <x v="0"/>
    <x v="0"/>
    <x v="2"/>
    <n v="283"/>
    <n v="18"/>
    <n v="6.36"/>
    <n v="69.53"/>
    <n v="19676.990000000002"/>
  </r>
  <r>
    <x v="1"/>
    <x v="0"/>
    <x v="1"/>
    <n v="67"/>
    <n v="3"/>
    <n v="4.4800000000000004"/>
    <n v="31.31"/>
    <n v="2097.77"/>
  </r>
  <r>
    <x v="1"/>
    <x v="0"/>
    <x v="2"/>
    <n v="69"/>
    <n v="6"/>
    <n v="8.6999999999999993"/>
    <n v="50.17"/>
    <n v="3461.73"/>
  </r>
  <r>
    <x v="0"/>
    <x v="0"/>
    <x v="2"/>
    <n v="267"/>
    <n v="4"/>
    <n v="1.5"/>
    <n v="19.52"/>
    <n v="5211.84"/>
  </r>
  <r>
    <x v="1"/>
    <x v="0"/>
    <x v="2"/>
    <n v="270"/>
    <n v="13"/>
    <n v="4.8099999999999996"/>
    <n v="38.270000000000003"/>
    <n v="10332.9"/>
  </r>
  <r>
    <x v="0"/>
    <x v="0"/>
    <x v="0"/>
    <n v="125"/>
    <n v="11"/>
    <n v="8.8000000000000007"/>
    <n v="10.19"/>
    <n v="1273.75"/>
  </r>
  <r>
    <x v="1"/>
    <x v="0"/>
    <x v="2"/>
    <n v="127"/>
    <n v="12"/>
    <n v="9.4499999999999993"/>
    <n v="31.83"/>
    <n v="4042.41"/>
  </r>
  <r>
    <x v="2"/>
    <x v="0"/>
    <x v="2"/>
    <n v="224"/>
    <n v="11"/>
    <n v="4.91"/>
    <n v="67.81"/>
    <n v="15189.44"/>
  </r>
  <r>
    <x v="0"/>
    <x v="0"/>
    <x v="2"/>
    <n v="265"/>
    <n v="10"/>
    <n v="3.77"/>
    <n v="52.09"/>
    <n v="13803.85"/>
  </r>
  <r>
    <x v="0"/>
    <x v="0"/>
    <x v="0"/>
    <n v="201"/>
    <n v="7"/>
    <n v="3.48"/>
    <n v="44.93"/>
    <n v="9030.93"/>
  </r>
  <r>
    <x v="2"/>
    <x v="0"/>
    <x v="2"/>
    <n v="65"/>
    <n v="5"/>
    <n v="7.69"/>
    <n v="29.42"/>
    <n v="1912.3"/>
  </r>
  <r>
    <x v="3"/>
    <x v="0"/>
    <x v="2"/>
    <n v="189"/>
    <n v="16"/>
    <n v="8.4700000000000006"/>
    <n v="35.06"/>
    <n v="6626.34"/>
  </r>
  <r>
    <x v="0"/>
    <x v="0"/>
    <x v="2"/>
    <n v="181"/>
    <n v="0"/>
    <n v="0"/>
    <n v="5.8"/>
    <n v="1049.8"/>
  </r>
  <r>
    <x v="2"/>
    <x v="0"/>
    <x v="2"/>
    <n v="132"/>
    <n v="8"/>
    <n v="6.06"/>
    <n v="24.52"/>
    <n v="3236.64"/>
  </r>
  <r>
    <x v="0"/>
    <x v="0"/>
    <x v="2"/>
    <n v="122"/>
    <n v="1"/>
    <n v="0.82"/>
    <n v="57.47"/>
    <n v="7011.34"/>
  </r>
  <r>
    <x v="0"/>
    <x v="0"/>
    <x v="0"/>
    <n v="286"/>
    <n v="28"/>
    <n v="9.7899999999999991"/>
    <n v="60.41"/>
    <n v="17277.259999999998"/>
  </r>
  <r>
    <x v="1"/>
    <x v="0"/>
    <x v="1"/>
    <n v="127"/>
    <n v="10"/>
    <n v="7.87"/>
    <n v="16.37"/>
    <n v="2078.9899999999998"/>
  </r>
  <r>
    <x v="0"/>
    <x v="0"/>
    <x v="0"/>
    <n v="300"/>
    <n v="16"/>
    <n v="5.33"/>
    <n v="40.53"/>
    <n v="12159"/>
  </r>
  <r>
    <x v="1"/>
    <x v="0"/>
    <x v="2"/>
    <n v="128"/>
    <n v="4"/>
    <n v="3.12"/>
    <n v="58.83"/>
    <n v="7530.24"/>
  </r>
  <r>
    <x v="0"/>
    <x v="0"/>
    <x v="2"/>
    <n v="174"/>
    <n v="10"/>
    <n v="5.75"/>
    <n v="44.18"/>
    <n v="7687.32"/>
  </r>
  <r>
    <x v="1"/>
    <x v="0"/>
    <x v="2"/>
    <n v="214"/>
    <n v="14"/>
    <n v="6.54"/>
    <n v="53.59"/>
    <n v="11468.26"/>
  </r>
  <r>
    <x v="0"/>
    <x v="0"/>
    <x v="2"/>
    <n v="105"/>
    <n v="3"/>
    <n v="2.86"/>
    <n v="18.22"/>
    <n v="1913.1"/>
  </r>
  <r>
    <x v="1"/>
    <x v="0"/>
    <x v="2"/>
    <n v="172"/>
    <n v="4"/>
    <n v="2.33"/>
    <n v="32.44"/>
    <n v="5579.68"/>
  </r>
  <r>
    <x v="0"/>
    <x v="0"/>
    <x v="0"/>
    <n v="128"/>
    <n v="3"/>
    <n v="2.34"/>
    <n v="23.59"/>
    <n v="3019.52"/>
  </r>
  <r>
    <x v="0"/>
    <x v="0"/>
    <x v="0"/>
    <n v="67"/>
    <n v="0"/>
    <n v="0"/>
    <n v="19.97"/>
    <n v="1337.99"/>
  </r>
  <r>
    <x v="3"/>
    <x v="0"/>
    <x v="2"/>
    <n v="133"/>
    <n v="5"/>
    <n v="3.76"/>
    <n v="41.67"/>
    <n v="5542.11"/>
  </r>
  <r>
    <x v="0"/>
    <x v="0"/>
    <x v="0"/>
    <n v="159"/>
    <n v="0"/>
    <n v="0"/>
    <n v="37.35"/>
    <n v="5938.65"/>
  </r>
  <r>
    <x v="0"/>
    <x v="0"/>
    <x v="2"/>
    <n v="291"/>
    <n v="13"/>
    <n v="4.47"/>
    <n v="50.87"/>
    <n v="14803.17"/>
  </r>
  <r>
    <x v="0"/>
    <x v="0"/>
    <x v="0"/>
    <n v="163"/>
    <n v="7"/>
    <n v="4.29"/>
    <n v="62.45"/>
    <n v="10179.35"/>
  </r>
  <r>
    <x v="1"/>
    <x v="0"/>
    <x v="2"/>
    <n v="50"/>
    <n v="1"/>
    <n v="2"/>
    <n v="10.52"/>
    <n v="526"/>
  </r>
  <r>
    <x v="0"/>
    <x v="0"/>
    <x v="0"/>
    <n v="128"/>
    <n v="0"/>
    <n v="0"/>
    <n v="61.29"/>
    <n v="7845.12"/>
  </r>
  <r>
    <x v="3"/>
    <x v="0"/>
    <x v="2"/>
    <n v="264"/>
    <n v="14"/>
    <n v="5.3"/>
    <n v="45.94"/>
    <n v="12128.16"/>
  </r>
  <r>
    <x v="0"/>
    <x v="0"/>
    <x v="0"/>
    <n v="121"/>
    <n v="3"/>
    <n v="2.48"/>
    <n v="32.28"/>
    <n v="3905.88"/>
  </r>
  <r>
    <x v="0"/>
    <x v="0"/>
    <x v="2"/>
    <n v="121"/>
    <n v="9"/>
    <n v="7.44"/>
    <n v="28.69"/>
    <n v="3471.49"/>
  </r>
  <r>
    <x v="2"/>
    <x v="0"/>
    <x v="2"/>
    <n v="131"/>
    <n v="9"/>
    <n v="6.87"/>
    <n v="57.2"/>
    <n v="7493.2"/>
  </r>
  <r>
    <x v="1"/>
    <x v="0"/>
    <x v="2"/>
    <n v="107"/>
    <n v="2"/>
    <n v="1.87"/>
    <n v="10.44"/>
    <n v="1117.08"/>
  </r>
  <r>
    <x v="2"/>
    <x v="0"/>
    <x v="2"/>
    <n v="102"/>
    <n v="9"/>
    <n v="8.82"/>
    <n v="38.22"/>
    <n v="3898.44"/>
  </r>
  <r>
    <x v="3"/>
    <x v="0"/>
    <x v="2"/>
    <n v="264"/>
    <n v="5"/>
    <n v="1.89"/>
    <n v="60.17"/>
    <n v="15884.88"/>
  </r>
  <r>
    <x v="0"/>
    <x v="0"/>
    <x v="2"/>
    <n v="91"/>
    <n v="5"/>
    <n v="5.49"/>
    <n v="23.35"/>
    <n v="2124.85"/>
  </r>
  <r>
    <x v="0"/>
    <x v="0"/>
    <x v="0"/>
    <n v="188"/>
    <n v="9"/>
    <n v="4.79"/>
    <n v="38.049999999999997"/>
    <n v="7153.4"/>
  </r>
  <r>
    <x v="1"/>
    <x v="0"/>
    <x v="1"/>
    <n v="285"/>
    <n v="23"/>
    <n v="8.07"/>
    <n v="6.14"/>
    <n v="1749.9"/>
  </r>
  <r>
    <x v="0"/>
    <x v="0"/>
    <x v="0"/>
    <n v="57"/>
    <n v="0"/>
    <n v="0"/>
    <n v="37.78"/>
    <n v="2153.46"/>
  </r>
  <r>
    <x v="2"/>
    <x v="0"/>
    <x v="2"/>
    <n v="287"/>
    <n v="24"/>
    <n v="8.36"/>
    <n v="23.01"/>
    <n v="6603.87"/>
  </r>
  <r>
    <x v="3"/>
    <x v="0"/>
    <x v="2"/>
    <n v="253"/>
    <n v="14"/>
    <n v="5.53"/>
    <n v="55.05"/>
    <n v="13927.65"/>
  </r>
  <r>
    <x v="3"/>
    <x v="0"/>
    <x v="2"/>
    <n v="287"/>
    <n v="4"/>
    <n v="1.39"/>
    <n v="59.51"/>
    <n v="17079.37"/>
  </r>
  <r>
    <x v="2"/>
    <x v="0"/>
    <x v="2"/>
    <n v="268"/>
    <n v="15"/>
    <n v="5.6"/>
    <n v="50.77"/>
    <n v="13606.36"/>
  </r>
  <r>
    <x v="2"/>
    <x v="0"/>
    <x v="2"/>
    <n v="130"/>
    <n v="7"/>
    <n v="5.38"/>
    <n v="24.69"/>
    <n v="3209.7"/>
  </r>
  <r>
    <x v="1"/>
    <x v="0"/>
    <x v="1"/>
    <n v="57"/>
    <n v="4"/>
    <n v="7.02"/>
    <n v="52.96"/>
    <n v="3018.72"/>
  </r>
  <r>
    <x v="0"/>
    <x v="0"/>
    <x v="0"/>
    <n v="62"/>
    <n v="6"/>
    <n v="9.68"/>
    <n v="33.5"/>
    <n v="2077"/>
  </r>
  <r>
    <x v="0"/>
    <x v="0"/>
    <x v="2"/>
    <n v="107"/>
    <n v="2"/>
    <n v="1.87"/>
    <n v="56.21"/>
    <n v="6014.47"/>
  </r>
  <r>
    <x v="3"/>
    <x v="0"/>
    <x v="2"/>
    <n v="118"/>
    <n v="10"/>
    <n v="8.4700000000000006"/>
    <n v="65.25"/>
    <n v="7699.5"/>
  </r>
  <r>
    <x v="0"/>
    <x v="0"/>
    <x v="2"/>
    <n v="289"/>
    <n v="27"/>
    <n v="9.34"/>
    <n v="9.2899999999999991"/>
    <n v="2684.81"/>
  </r>
  <r>
    <x v="1"/>
    <x v="0"/>
    <x v="2"/>
    <n v="286"/>
    <n v="22"/>
    <n v="7.69"/>
    <n v="54.74"/>
    <n v="15655.64"/>
  </r>
  <r>
    <x v="2"/>
    <x v="0"/>
    <x v="2"/>
    <n v="288"/>
    <n v="25"/>
    <n v="8.68"/>
    <n v="20.9"/>
    <n v="6019.2"/>
  </r>
  <r>
    <x v="0"/>
    <x v="0"/>
    <x v="0"/>
    <n v="50"/>
    <n v="2"/>
    <n v="4"/>
    <n v="30.21"/>
    <n v="1510.5"/>
  </r>
  <r>
    <x v="0"/>
    <x v="0"/>
    <x v="2"/>
    <n v="105"/>
    <n v="2"/>
    <n v="1.9"/>
    <n v="30.93"/>
    <n v="3247.65"/>
  </r>
  <r>
    <x v="3"/>
    <x v="0"/>
    <x v="2"/>
    <n v="139"/>
    <n v="0"/>
    <n v="0"/>
    <n v="62.93"/>
    <n v="8747.27"/>
  </r>
  <r>
    <x v="1"/>
    <x v="0"/>
    <x v="1"/>
    <n v="65"/>
    <n v="4"/>
    <n v="6.15"/>
    <n v="5.55"/>
    <n v="360.75"/>
  </r>
  <r>
    <x v="2"/>
    <x v="0"/>
    <x v="2"/>
    <n v="251"/>
    <n v="0"/>
    <n v="0"/>
    <n v="12.2"/>
    <n v="3062.2"/>
  </r>
  <r>
    <x v="1"/>
    <x v="0"/>
    <x v="2"/>
    <n v="105"/>
    <n v="4"/>
    <n v="3.81"/>
    <n v="56.6"/>
    <n v="5943"/>
  </r>
  <r>
    <x v="1"/>
    <x v="0"/>
    <x v="2"/>
    <n v="222"/>
    <n v="3"/>
    <n v="1.35"/>
    <n v="41.42"/>
    <n v="9195.24"/>
  </r>
  <r>
    <x v="1"/>
    <x v="0"/>
    <x v="1"/>
    <n v="255"/>
    <n v="18"/>
    <n v="7.06"/>
    <n v="58.67"/>
    <n v="14960.85"/>
  </r>
  <r>
    <x v="1"/>
    <x v="0"/>
    <x v="1"/>
    <n v="115"/>
    <n v="1"/>
    <n v="0.87"/>
    <n v="52.95"/>
    <n v="6089.25"/>
  </r>
  <r>
    <x v="2"/>
    <x v="0"/>
    <x v="2"/>
    <n v="176"/>
    <n v="9"/>
    <n v="5.1100000000000003"/>
    <n v="32.19"/>
    <n v="5665.44"/>
  </r>
  <r>
    <x v="1"/>
    <x v="0"/>
    <x v="2"/>
    <n v="68"/>
    <n v="6"/>
    <n v="8.82"/>
    <n v="61.55"/>
    <n v="4185.3999999999996"/>
  </r>
  <r>
    <x v="1"/>
    <x v="0"/>
    <x v="1"/>
    <n v="64"/>
    <n v="5"/>
    <n v="7.81"/>
    <n v="55.84"/>
    <n v="3573.76"/>
  </r>
  <r>
    <x v="1"/>
    <x v="0"/>
    <x v="1"/>
    <n v="66"/>
    <n v="5"/>
    <n v="7.58"/>
    <n v="13.47"/>
    <n v="889.02"/>
  </r>
  <r>
    <x v="0"/>
    <x v="0"/>
    <x v="0"/>
    <n v="163"/>
    <n v="12"/>
    <n v="7.36"/>
    <n v="27.41"/>
    <n v="4467.83"/>
  </r>
  <r>
    <x v="1"/>
    <x v="0"/>
    <x v="1"/>
    <n v="256"/>
    <n v="3"/>
    <n v="1.17"/>
    <n v="37.18"/>
    <n v="9518.08"/>
  </r>
  <r>
    <x v="3"/>
    <x v="0"/>
    <x v="2"/>
    <n v="129"/>
    <n v="10"/>
    <n v="7.75"/>
    <n v="46.91"/>
    <n v="6051.39"/>
  </r>
  <r>
    <x v="3"/>
    <x v="0"/>
    <x v="2"/>
    <n v="85"/>
    <n v="8"/>
    <n v="9.41"/>
    <n v="12.52"/>
    <n v="1064.2"/>
  </r>
  <r>
    <x v="3"/>
    <x v="0"/>
    <x v="2"/>
    <n v="74"/>
    <n v="6"/>
    <n v="8.11"/>
    <n v="56.98"/>
    <n v="4216.5200000000004"/>
  </r>
  <r>
    <x v="3"/>
    <x v="0"/>
    <x v="2"/>
    <n v="247"/>
    <n v="9"/>
    <n v="3.64"/>
    <n v="28.59"/>
    <n v="7061.73"/>
  </r>
  <r>
    <x v="0"/>
    <x v="0"/>
    <x v="0"/>
    <n v="215"/>
    <n v="18"/>
    <n v="8.3699999999999992"/>
    <n v="41.11"/>
    <n v="8838.65"/>
  </r>
  <r>
    <x v="2"/>
    <x v="0"/>
    <x v="2"/>
    <n v="245"/>
    <n v="15"/>
    <n v="6.12"/>
    <n v="46.19"/>
    <n v="11316.55"/>
  </r>
  <r>
    <x v="2"/>
    <x v="0"/>
    <x v="2"/>
    <n v="262"/>
    <n v="0"/>
    <n v="0"/>
    <n v="14.97"/>
    <n v="3922.14"/>
  </r>
  <r>
    <x v="2"/>
    <x v="0"/>
    <x v="2"/>
    <n v="139"/>
    <n v="12"/>
    <n v="8.6300000000000008"/>
    <n v="13.42"/>
    <n v="1865.38"/>
  </r>
  <r>
    <x v="2"/>
    <x v="0"/>
    <x v="2"/>
    <n v="114"/>
    <n v="6"/>
    <n v="5.26"/>
    <n v="67.37"/>
    <n v="7680.18"/>
  </r>
  <r>
    <x v="1"/>
    <x v="0"/>
    <x v="1"/>
    <n v="196"/>
    <n v="9"/>
    <n v="4.59"/>
    <n v="8.5500000000000007"/>
    <n v="1675.8"/>
  </r>
  <r>
    <x v="0"/>
    <x v="0"/>
    <x v="0"/>
    <n v="299"/>
    <n v="22"/>
    <n v="7.36"/>
    <n v="39.93"/>
    <n v="11939.07"/>
  </r>
  <r>
    <x v="1"/>
    <x v="0"/>
    <x v="2"/>
    <n v="167"/>
    <n v="16"/>
    <n v="9.58"/>
    <n v="43.41"/>
    <n v="7249.47"/>
  </r>
  <r>
    <x v="0"/>
    <x v="0"/>
    <x v="2"/>
    <n v="69"/>
    <n v="2"/>
    <n v="2.9"/>
    <n v="28.98"/>
    <n v="1999.62"/>
  </r>
  <r>
    <x v="1"/>
    <x v="0"/>
    <x v="1"/>
    <n v="89"/>
    <n v="8"/>
    <n v="8.99"/>
    <n v="65.290000000000006"/>
    <n v="5810.81"/>
  </r>
  <r>
    <x v="0"/>
    <x v="0"/>
    <x v="2"/>
    <n v="251"/>
    <n v="8"/>
    <n v="3.19"/>
    <n v="51.95"/>
    <n v="13039.45"/>
  </r>
  <r>
    <x v="0"/>
    <x v="0"/>
    <x v="2"/>
    <n v="154"/>
    <n v="3"/>
    <n v="1.95"/>
    <n v="26.52"/>
    <n v="4084.08"/>
  </r>
  <r>
    <x v="0"/>
    <x v="0"/>
    <x v="0"/>
    <n v="165"/>
    <n v="13"/>
    <n v="7.88"/>
    <n v="39.53"/>
    <n v="6522.45"/>
  </r>
  <r>
    <x v="0"/>
    <x v="0"/>
    <x v="0"/>
    <n v="75"/>
    <n v="5"/>
    <n v="6.67"/>
    <n v="25.05"/>
    <n v="1878.75"/>
  </r>
  <r>
    <x v="2"/>
    <x v="0"/>
    <x v="2"/>
    <n v="65"/>
    <n v="0"/>
    <n v="0"/>
    <n v="7.62"/>
    <n v="495.3"/>
  </r>
  <r>
    <x v="0"/>
    <x v="0"/>
    <x v="2"/>
    <n v="257"/>
    <n v="19"/>
    <n v="7.39"/>
    <n v="45.78"/>
    <n v="11765.46"/>
  </r>
  <r>
    <x v="3"/>
    <x v="0"/>
    <x v="2"/>
    <n v="214"/>
    <n v="14"/>
    <n v="6.54"/>
    <n v="27.44"/>
    <n v="5872.16"/>
  </r>
  <r>
    <x v="2"/>
    <x v="0"/>
    <x v="2"/>
    <n v="223"/>
    <n v="21"/>
    <n v="9.42"/>
    <n v="40.21"/>
    <n v="8966.83"/>
  </r>
  <r>
    <x v="0"/>
    <x v="0"/>
    <x v="0"/>
    <n v="146"/>
    <n v="12"/>
    <n v="8.2200000000000006"/>
    <n v="40.590000000000003"/>
    <n v="5926.14"/>
  </r>
  <r>
    <x v="0"/>
    <x v="0"/>
    <x v="2"/>
    <n v="99"/>
    <n v="9"/>
    <n v="9.09"/>
    <n v="9.92"/>
    <n v="982.08"/>
  </r>
  <r>
    <x v="1"/>
    <x v="0"/>
    <x v="1"/>
    <n v="280"/>
    <n v="23"/>
    <n v="8.2100000000000009"/>
    <n v="37.36"/>
    <n v="10460.799999999999"/>
  </r>
  <r>
    <x v="1"/>
    <x v="0"/>
    <x v="2"/>
    <n v="245"/>
    <n v="4"/>
    <n v="1.63"/>
    <n v="62.89"/>
    <n v="15408.05"/>
  </r>
  <r>
    <x v="0"/>
    <x v="0"/>
    <x v="2"/>
    <n v="172"/>
    <n v="10"/>
    <n v="5.81"/>
    <n v="32.69"/>
    <n v="5622.68"/>
  </r>
  <r>
    <x v="1"/>
    <x v="0"/>
    <x v="2"/>
    <n v="218"/>
    <n v="6"/>
    <n v="2.75"/>
    <n v="69.02"/>
    <n v="15046.36"/>
  </r>
  <r>
    <x v="1"/>
    <x v="0"/>
    <x v="1"/>
    <n v="237"/>
    <n v="11"/>
    <n v="4.6399999999999997"/>
    <n v="29.62"/>
    <n v="7019.94"/>
  </r>
  <r>
    <x v="0"/>
    <x v="0"/>
    <x v="0"/>
    <n v="140"/>
    <n v="10"/>
    <n v="7.14"/>
    <n v="36.479999999999997"/>
    <n v="5107.2"/>
  </r>
  <r>
    <x v="0"/>
    <x v="0"/>
    <x v="0"/>
    <n v="228"/>
    <n v="20"/>
    <n v="8.77"/>
    <n v="25.67"/>
    <n v="5852.76"/>
  </r>
  <r>
    <x v="0"/>
    <x v="0"/>
    <x v="0"/>
    <n v="109"/>
    <n v="7"/>
    <n v="6.42"/>
    <n v="10.98"/>
    <n v="1196.82"/>
  </r>
  <r>
    <x v="1"/>
    <x v="0"/>
    <x v="2"/>
    <n v="151"/>
    <n v="15"/>
    <n v="9.93"/>
    <n v="20.89"/>
    <n v="3154.39"/>
  </r>
  <r>
    <x v="1"/>
    <x v="0"/>
    <x v="2"/>
    <n v="170"/>
    <n v="8"/>
    <n v="4.71"/>
    <n v="51.48"/>
    <n v="8751.6"/>
  </r>
  <r>
    <x v="1"/>
    <x v="0"/>
    <x v="1"/>
    <n v="103"/>
    <n v="6"/>
    <n v="5.83"/>
    <n v="44.44"/>
    <n v="4577.32"/>
  </r>
  <r>
    <x v="2"/>
    <x v="0"/>
    <x v="2"/>
    <n v="270"/>
    <n v="10"/>
    <n v="3.7"/>
    <n v="67.319999999999993"/>
    <n v="18176.400000000001"/>
  </r>
  <r>
    <x v="1"/>
    <x v="0"/>
    <x v="2"/>
    <n v="81"/>
    <n v="3"/>
    <n v="3.7"/>
    <n v="42.43"/>
    <n v="3436.83"/>
  </r>
  <r>
    <x v="2"/>
    <x v="0"/>
    <x v="2"/>
    <n v="187"/>
    <n v="17"/>
    <n v="9.09"/>
    <n v="62.79"/>
    <n v="11741.73"/>
  </r>
  <r>
    <x v="1"/>
    <x v="0"/>
    <x v="2"/>
    <n v="243"/>
    <n v="6"/>
    <n v="2.4700000000000002"/>
    <n v="32.93"/>
    <n v="8001.99"/>
  </r>
  <r>
    <x v="2"/>
    <x v="0"/>
    <x v="2"/>
    <n v="300"/>
    <n v="29"/>
    <n v="9.67"/>
    <n v="47.45"/>
    <n v="14235"/>
  </r>
  <r>
    <x v="3"/>
    <x v="0"/>
    <x v="2"/>
    <n v="226"/>
    <n v="8"/>
    <n v="3.54"/>
    <n v="9.69"/>
    <n v="2189.94"/>
  </r>
  <r>
    <x v="1"/>
    <x v="0"/>
    <x v="1"/>
    <n v="197"/>
    <n v="10"/>
    <n v="5.08"/>
    <n v="25.16"/>
    <n v="4956.5200000000004"/>
  </r>
  <r>
    <x v="0"/>
    <x v="0"/>
    <x v="0"/>
    <n v="118"/>
    <n v="9"/>
    <n v="7.63"/>
    <n v="55.5"/>
    <n v="6549"/>
  </r>
  <r>
    <x v="2"/>
    <x v="0"/>
    <x v="2"/>
    <n v="161"/>
    <n v="3"/>
    <n v="1.86"/>
    <n v="59.22"/>
    <n v="9534.42"/>
  </r>
  <r>
    <x v="1"/>
    <x v="0"/>
    <x v="2"/>
    <n v="220"/>
    <n v="20"/>
    <n v="9.09"/>
    <n v="50.91"/>
    <n v="11200.2"/>
  </r>
  <r>
    <x v="0"/>
    <x v="0"/>
    <x v="2"/>
    <n v="137"/>
    <n v="1"/>
    <n v="0.73"/>
    <n v="67.55"/>
    <n v="9254.35"/>
  </r>
  <r>
    <x v="3"/>
    <x v="0"/>
    <x v="2"/>
    <n v="192"/>
    <n v="10"/>
    <n v="5.21"/>
    <n v="63.8"/>
    <n v="12249.6"/>
  </r>
  <r>
    <x v="0"/>
    <x v="0"/>
    <x v="0"/>
    <n v="196"/>
    <n v="14"/>
    <n v="7.14"/>
    <n v="35.85"/>
    <n v="7026.6"/>
  </r>
  <r>
    <x v="2"/>
    <x v="0"/>
    <x v="2"/>
    <n v="97"/>
    <n v="4"/>
    <n v="4.12"/>
    <n v="11.95"/>
    <n v="1159.1500000000001"/>
  </r>
  <r>
    <x v="3"/>
    <x v="0"/>
    <x v="2"/>
    <n v="266"/>
    <n v="2"/>
    <n v="0.75"/>
    <n v="45.38"/>
    <n v="12071.08"/>
  </r>
  <r>
    <x v="0"/>
    <x v="0"/>
    <x v="0"/>
    <n v="221"/>
    <n v="19"/>
    <n v="8.6"/>
    <n v="61.48"/>
    <n v="13587.08"/>
  </r>
  <r>
    <x v="2"/>
    <x v="0"/>
    <x v="2"/>
    <n v="293"/>
    <n v="16"/>
    <n v="5.46"/>
    <n v="15.69"/>
    <n v="4597.17"/>
  </r>
  <r>
    <x v="1"/>
    <x v="0"/>
    <x v="2"/>
    <n v="113"/>
    <n v="11"/>
    <n v="9.73"/>
    <n v="51.02"/>
    <n v="5765.26"/>
  </r>
  <r>
    <x v="0"/>
    <x v="0"/>
    <x v="2"/>
    <n v="105"/>
    <n v="8"/>
    <n v="7.62"/>
    <n v="56.15"/>
    <n v="5895.75"/>
  </r>
  <r>
    <x v="1"/>
    <x v="0"/>
    <x v="2"/>
    <n v="105"/>
    <n v="9"/>
    <n v="8.57"/>
    <n v="12.73"/>
    <n v="1336.65"/>
  </r>
  <r>
    <x v="0"/>
    <x v="0"/>
    <x v="0"/>
    <n v="242"/>
    <n v="0"/>
    <n v="0"/>
    <n v="47.74"/>
    <n v="11553.08"/>
  </r>
  <r>
    <x v="0"/>
    <x v="0"/>
    <x v="2"/>
    <n v="231"/>
    <n v="1"/>
    <n v="0.43"/>
    <n v="52.08"/>
    <n v="12030.48"/>
  </r>
  <r>
    <x v="0"/>
    <x v="0"/>
    <x v="2"/>
    <n v="73"/>
    <n v="3"/>
    <n v="4.1100000000000003"/>
    <n v="25.42"/>
    <n v="1855.66"/>
  </r>
  <r>
    <x v="0"/>
    <x v="0"/>
    <x v="0"/>
    <n v="164"/>
    <n v="1"/>
    <n v="0.61"/>
    <n v="5.72"/>
    <n v="938.08"/>
  </r>
  <r>
    <x v="1"/>
    <x v="0"/>
    <x v="1"/>
    <n v="141"/>
    <n v="2"/>
    <n v="1.42"/>
    <n v="48.03"/>
    <n v="6772.23"/>
  </r>
  <r>
    <x v="1"/>
    <x v="0"/>
    <x v="1"/>
    <n v="247"/>
    <n v="4"/>
    <n v="1.62"/>
    <n v="22.2"/>
    <n v="5483.4"/>
  </r>
  <r>
    <x v="0"/>
    <x v="0"/>
    <x v="2"/>
    <n v="92"/>
    <n v="3"/>
    <n v="3.26"/>
    <n v="52.44"/>
    <n v="4824.4799999999996"/>
  </r>
  <r>
    <x v="1"/>
    <x v="0"/>
    <x v="1"/>
    <n v="210"/>
    <n v="12"/>
    <n v="5.71"/>
    <n v="38.229999999999997"/>
    <n v="8028.3"/>
  </r>
  <r>
    <x v="1"/>
    <x v="0"/>
    <x v="2"/>
    <n v="260"/>
    <n v="24"/>
    <n v="9.23"/>
    <n v="30.94"/>
    <n v="8044.4"/>
  </r>
  <r>
    <x v="2"/>
    <x v="0"/>
    <x v="2"/>
    <n v="290"/>
    <n v="19"/>
    <n v="6.55"/>
    <n v="28.67"/>
    <n v="8314.2999999999993"/>
  </r>
  <r>
    <x v="0"/>
    <x v="0"/>
    <x v="0"/>
    <n v="68"/>
    <n v="4"/>
    <n v="5.88"/>
    <n v="6.86"/>
    <n v="466.48"/>
  </r>
  <r>
    <x v="2"/>
    <x v="0"/>
    <x v="2"/>
    <n v="179"/>
    <n v="11"/>
    <n v="6.15"/>
    <n v="20.87"/>
    <n v="3735.73"/>
  </r>
  <r>
    <x v="3"/>
    <x v="0"/>
    <x v="2"/>
    <n v="231"/>
    <n v="1"/>
    <n v="0.43"/>
    <n v="27.47"/>
    <n v="6345.57"/>
  </r>
  <r>
    <x v="0"/>
    <x v="0"/>
    <x v="2"/>
    <n v="268"/>
    <n v="7"/>
    <n v="2.61"/>
    <n v="63.15"/>
    <n v="16924.2"/>
  </r>
  <r>
    <x v="0"/>
    <x v="0"/>
    <x v="2"/>
    <n v="158"/>
    <n v="15"/>
    <n v="9.49"/>
    <n v="19.260000000000002"/>
    <n v="3043.08"/>
  </r>
  <r>
    <x v="1"/>
    <x v="0"/>
    <x v="1"/>
    <n v="72"/>
    <n v="6"/>
    <n v="8.33"/>
    <n v="52.74"/>
    <n v="3797.28"/>
  </r>
  <r>
    <x v="1"/>
    <x v="0"/>
    <x v="1"/>
    <n v="231"/>
    <n v="15"/>
    <n v="6.49"/>
    <n v="29.1"/>
    <n v="6722.1"/>
  </r>
  <r>
    <x v="3"/>
    <x v="0"/>
    <x v="2"/>
    <n v="260"/>
    <n v="14"/>
    <n v="5.38"/>
    <n v="58.92"/>
    <n v="15319.2"/>
  </r>
  <r>
    <x v="1"/>
    <x v="0"/>
    <x v="1"/>
    <n v="90"/>
    <n v="1"/>
    <n v="1.1100000000000001"/>
    <n v="25.99"/>
    <n v="2339.1"/>
  </r>
  <r>
    <x v="2"/>
    <x v="0"/>
    <x v="2"/>
    <n v="274"/>
    <n v="26"/>
    <n v="9.49"/>
    <n v="13.99"/>
    <n v="3833.26"/>
  </r>
  <r>
    <x v="1"/>
    <x v="0"/>
    <x v="1"/>
    <n v="234"/>
    <n v="0"/>
    <n v="0"/>
    <n v="57.96"/>
    <n v="13562.64"/>
  </r>
  <r>
    <x v="0"/>
    <x v="0"/>
    <x v="0"/>
    <n v="217"/>
    <n v="13"/>
    <n v="5.99"/>
    <n v="59.6"/>
    <n v="12933.2"/>
  </r>
  <r>
    <x v="0"/>
    <x v="0"/>
    <x v="0"/>
    <n v="72"/>
    <n v="3"/>
    <n v="4.17"/>
    <n v="60.94"/>
    <n v="4387.68"/>
  </r>
  <r>
    <x v="2"/>
    <x v="0"/>
    <x v="2"/>
    <n v="148"/>
    <n v="5"/>
    <n v="3.38"/>
    <n v="18.39"/>
    <n v="2721.72"/>
  </r>
  <r>
    <x v="0"/>
    <x v="0"/>
    <x v="2"/>
    <n v="283"/>
    <n v="7"/>
    <n v="2.4700000000000002"/>
    <n v="41"/>
    <n v="11603"/>
  </r>
  <r>
    <x v="0"/>
    <x v="0"/>
    <x v="0"/>
    <n v="111"/>
    <n v="6"/>
    <n v="5.41"/>
    <n v="31.82"/>
    <n v="3532.02"/>
  </r>
  <r>
    <x v="3"/>
    <x v="0"/>
    <x v="2"/>
    <n v="231"/>
    <n v="15"/>
    <n v="6.49"/>
    <n v="9.34"/>
    <n v="2157.54"/>
  </r>
  <r>
    <x v="2"/>
    <x v="0"/>
    <x v="2"/>
    <n v="75"/>
    <n v="2"/>
    <n v="2.67"/>
    <n v="34.43"/>
    <n v="2582.25"/>
  </r>
  <r>
    <x v="0"/>
    <x v="0"/>
    <x v="2"/>
    <n v="219"/>
    <n v="15"/>
    <n v="6.85"/>
    <n v="9.25"/>
    <n v="2025.75"/>
  </r>
  <r>
    <x v="0"/>
    <x v="0"/>
    <x v="0"/>
    <n v="110"/>
    <n v="9"/>
    <n v="8.18"/>
    <n v="57.53"/>
    <n v="6328.3"/>
  </r>
  <r>
    <x v="3"/>
    <x v="0"/>
    <x v="2"/>
    <n v="143"/>
    <n v="9"/>
    <n v="6.29"/>
    <n v="13.76"/>
    <n v="1967.68"/>
  </r>
  <r>
    <x v="1"/>
    <x v="0"/>
    <x v="2"/>
    <n v="73"/>
    <n v="2"/>
    <n v="2.74"/>
    <n v="49.64"/>
    <n v="3623.72"/>
  </r>
  <r>
    <x v="3"/>
    <x v="0"/>
    <x v="2"/>
    <n v="86"/>
    <n v="7"/>
    <n v="8.14"/>
    <n v="6.06"/>
    <n v="521.16"/>
  </r>
  <r>
    <x v="1"/>
    <x v="0"/>
    <x v="2"/>
    <n v="133"/>
    <n v="0"/>
    <n v="0"/>
    <n v="35.94"/>
    <n v="4780.0200000000004"/>
  </r>
  <r>
    <x v="0"/>
    <x v="0"/>
    <x v="0"/>
    <n v="160"/>
    <n v="4"/>
    <n v="2.5"/>
    <n v="8.94"/>
    <n v="1430.4"/>
  </r>
  <r>
    <x v="1"/>
    <x v="0"/>
    <x v="1"/>
    <n v="86"/>
    <n v="8"/>
    <n v="9.3000000000000007"/>
    <n v="36"/>
    <n v="3096"/>
  </r>
  <r>
    <x v="1"/>
    <x v="0"/>
    <x v="2"/>
    <n v="109"/>
    <n v="0"/>
    <n v="0"/>
    <n v="36.270000000000003"/>
    <n v="3953.43"/>
  </r>
  <r>
    <x v="2"/>
    <x v="0"/>
    <x v="2"/>
    <n v="141"/>
    <n v="10"/>
    <n v="7.09"/>
    <n v="7.95"/>
    <n v="1120.95"/>
  </r>
  <r>
    <x v="0"/>
    <x v="0"/>
    <x v="2"/>
    <n v="254"/>
    <n v="19"/>
    <n v="7.48"/>
    <n v="6.35"/>
    <n v="1612.9"/>
  </r>
  <r>
    <x v="1"/>
    <x v="0"/>
    <x v="1"/>
    <n v="259"/>
    <n v="16"/>
    <n v="6.18"/>
    <n v="55.2"/>
    <n v="14296.8"/>
  </r>
  <r>
    <x v="2"/>
    <x v="0"/>
    <x v="2"/>
    <n v="177"/>
    <n v="15"/>
    <n v="8.4700000000000006"/>
    <n v="39.17"/>
    <n v="6933.09"/>
  </r>
  <r>
    <x v="1"/>
    <x v="0"/>
    <x v="1"/>
    <n v="290"/>
    <n v="1"/>
    <n v="0.34"/>
    <n v="30.51"/>
    <n v="8847.9"/>
  </r>
  <r>
    <x v="1"/>
    <x v="0"/>
    <x v="2"/>
    <n v="87"/>
    <n v="3"/>
    <n v="3.45"/>
    <n v="50.94"/>
    <n v="4431.78"/>
  </r>
  <r>
    <x v="1"/>
    <x v="0"/>
    <x v="2"/>
    <n v="263"/>
    <n v="23"/>
    <n v="8.75"/>
    <n v="50.3"/>
    <n v="13228.9"/>
  </r>
  <r>
    <x v="2"/>
    <x v="0"/>
    <x v="2"/>
    <n v="101"/>
    <n v="1"/>
    <n v="0.99"/>
    <n v="20.67"/>
    <n v="2087.67"/>
  </r>
  <r>
    <x v="3"/>
    <x v="0"/>
    <x v="2"/>
    <n v="247"/>
    <n v="20"/>
    <n v="8.1"/>
    <n v="69.099999999999994"/>
    <n v="17067.7"/>
  </r>
  <r>
    <x v="0"/>
    <x v="0"/>
    <x v="2"/>
    <n v="51"/>
    <n v="1"/>
    <n v="1.96"/>
    <n v="11.68"/>
    <n v="595.67999999999995"/>
  </r>
  <r>
    <x v="3"/>
    <x v="0"/>
    <x v="2"/>
    <n v="268"/>
    <n v="5"/>
    <n v="1.87"/>
    <n v="48.01"/>
    <n v="12866.68"/>
  </r>
  <r>
    <x v="0"/>
    <x v="0"/>
    <x v="2"/>
    <n v="110"/>
    <n v="9"/>
    <n v="8.18"/>
    <n v="28.97"/>
    <n v="3186.7"/>
  </r>
  <r>
    <x v="2"/>
    <x v="0"/>
    <x v="2"/>
    <n v="187"/>
    <n v="2"/>
    <n v="1.07"/>
    <n v="68.12"/>
    <n v="12738.44"/>
  </r>
  <r>
    <x v="3"/>
    <x v="0"/>
    <x v="2"/>
    <n v="236"/>
    <n v="8"/>
    <n v="3.39"/>
    <n v="46.22"/>
    <n v="10907.92"/>
  </r>
  <r>
    <x v="1"/>
    <x v="0"/>
    <x v="1"/>
    <n v="266"/>
    <n v="9"/>
    <n v="3.38"/>
    <n v="5.79"/>
    <n v="1540.14"/>
  </r>
  <r>
    <x v="0"/>
    <x v="0"/>
    <x v="2"/>
    <n v="131"/>
    <n v="12"/>
    <n v="9.16"/>
    <n v="27.58"/>
    <n v="3612.98"/>
  </r>
  <r>
    <x v="0"/>
    <x v="0"/>
    <x v="0"/>
    <n v="246"/>
    <n v="23"/>
    <n v="9.35"/>
    <n v="11.9"/>
    <n v="2927.4"/>
  </r>
  <r>
    <x v="1"/>
    <x v="0"/>
    <x v="2"/>
    <n v="237"/>
    <n v="12"/>
    <n v="5.0599999999999996"/>
    <n v="60.22"/>
    <n v="14272.14"/>
  </r>
  <r>
    <x v="1"/>
    <x v="0"/>
    <x v="2"/>
    <n v="151"/>
    <n v="14"/>
    <n v="9.27"/>
    <n v="9.4"/>
    <n v="1419.4"/>
  </r>
  <r>
    <x v="3"/>
    <x v="0"/>
    <x v="2"/>
    <n v="288"/>
    <n v="6"/>
    <n v="2.08"/>
    <n v="48.17"/>
    <n v="13872.96"/>
  </r>
  <r>
    <x v="0"/>
    <x v="0"/>
    <x v="0"/>
    <n v="128"/>
    <n v="0"/>
    <n v="0"/>
    <n v="56.87"/>
    <n v="7279.36"/>
  </r>
  <r>
    <x v="3"/>
    <x v="0"/>
    <x v="2"/>
    <n v="149"/>
    <n v="0"/>
    <n v="0"/>
    <n v="10.37"/>
    <n v="1545.13"/>
  </r>
  <r>
    <x v="0"/>
    <x v="0"/>
    <x v="2"/>
    <n v="219"/>
    <n v="6"/>
    <n v="2.74"/>
    <n v="18"/>
    <n v="3942"/>
  </r>
  <r>
    <x v="1"/>
    <x v="0"/>
    <x v="2"/>
    <n v="269"/>
    <n v="5"/>
    <n v="1.86"/>
    <n v="17.41"/>
    <n v="4683.29"/>
  </r>
  <r>
    <x v="1"/>
    <x v="0"/>
    <x v="1"/>
    <n v="268"/>
    <n v="19"/>
    <n v="7.09"/>
    <n v="24.48"/>
    <n v="6560.64"/>
  </r>
  <r>
    <x v="1"/>
    <x v="0"/>
    <x v="2"/>
    <n v="165"/>
    <n v="14"/>
    <n v="8.48"/>
    <n v="66.5"/>
    <n v="10972.5"/>
  </r>
  <r>
    <x v="2"/>
    <x v="0"/>
    <x v="2"/>
    <n v="271"/>
    <n v="10"/>
    <n v="3.69"/>
    <n v="62.71"/>
    <n v="16994.41"/>
  </r>
  <r>
    <x v="1"/>
    <x v="0"/>
    <x v="2"/>
    <n v="299"/>
    <n v="14"/>
    <n v="4.68"/>
    <n v="65.099999999999994"/>
    <n v="19464.900000000001"/>
  </r>
  <r>
    <x v="1"/>
    <x v="0"/>
    <x v="2"/>
    <n v="155"/>
    <n v="14"/>
    <n v="9.0299999999999994"/>
    <n v="35.270000000000003"/>
    <n v="5466.85"/>
  </r>
  <r>
    <x v="1"/>
    <x v="0"/>
    <x v="2"/>
    <n v="220"/>
    <n v="6"/>
    <n v="2.73"/>
    <n v="10.96"/>
    <n v="2411.1999999999998"/>
  </r>
  <r>
    <x v="2"/>
    <x v="0"/>
    <x v="2"/>
    <n v="92"/>
    <n v="9"/>
    <n v="9.7799999999999994"/>
    <n v="41.38"/>
    <n v="3806.96"/>
  </r>
  <r>
    <x v="0"/>
    <x v="0"/>
    <x v="0"/>
    <n v="204"/>
    <n v="14"/>
    <n v="6.86"/>
    <n v="41.54"/>
    <n v="8474.16"/>
  </r>
  <r>
    <x v="1"/>
    <x v="0"/>
    <x v="1"/>
    <n v="279"/>
    <n v="17"/>
    <n v="6.09"/>
    <n v="11.38"/>
    <n v="3175.02"/>
  </r>
  <r>
    <x v="2"/>
    <x v="0"/>
    <x v="2"/>
    <n v="147"/>
    <n v="13"/>
    <n v="8.84"/>
    <n v="12.85"/>
    <n v="1888.95"/>
  </r>
  <r>
    <x v="3"/>
    <x v="0"/>
    <x v="2"/>
    <n v="243"/>
    <n v="5"/>
    <n v="2.06"/>
    <n v="17.260000000000002"/>
    <n v="4194.18"/>
  </r>
  <r>
    <x v="3"/>
    <x v="0"/>
    <x v="2"/>
    <n v="245"/>
    <n v="7"/>
    <n v="2.86"/>
    <n v="60.7"/>
    <n v="14871.5"/>
  </r>
  <r>
    <x v="0"/>
    <x v="0"/>
    <x v="0"/>
    <n v="201"/>
    <n v="20"/>
    <n v="9.9499999999999993"/>
    <n v="23.07"/>
    <n v="4637.07"/>
  </r>
  <r>
    <x v="1"/>
    <x v="0"/>
    <x v="1"/>
    <n v="51"/>
    <n v="2"/>
    <n v="3.92"/>
    <n v="15.48"/>
    <n v="789.48"/>
  </r>
  <r>
    <x v="0"/>
    <x v="0"/>
    <x v="0"/>
    <n v="143"/>
    <n v="0"/>
    <n v="0"/>
    <n v="54"/>
    <n v="7722"/>
  </r>
  <r>
    <x v="1"/>
    <x v="0"/>
    <x v="2"/>
    <n v="88"/>
    <n v="3"/>
    <n v="3.41"/>
    <n v="67.05"/>
    <n v="5900.4"/>
  </r>
  <r>
    <x v="0"/>
    <x v="0"/>
    <x v="0"/>
    <n v="128"/>
    <n v="12"/>
    <n v="9.3800000000000008"/>
    <n v="59.75"/>
    <n v="7648"/>
  </r>
  <r>
    <x v="0"/>
    <x v="0"/>
    <x v="0"/>
    <n v="66"/>
    <n v="5"/>
    <n v="7.58"/>
    <n v="37.86"/>
    <n v="2498.7600000000002"/>
  </r>
  <r>
    <x v="2"/>
    <x v="0"/>
    <x v="2"/>
    <n v="170"/>
    <n v="10"/>
    <n v="5.88"/>
    <n v="59.67"/>
    <n v="10143.9"/>
  </r>
  <r>
    <x v="3"/>
    <x v="0"/>
    <x v="2"/>
    <n v="266"/>
    <n v="24"/>
    <n v="9.02"/>
    <n v="47.99"/>
    <n v="12765.34"/>
  </r>
  <r>
    <x v="0"/>
    <x v="0"/>
    <x v="0"/>
    <n v="239"/>
    <n v="19"/>
    <n v="7.95"/>
    <n v="27.53"/>
    <n v="6579.67"/>
  </r>
  <r>
    <x v="1"/>
    <x v="0"/>
    <x v="1"/>
    <n v="151"/>
    <n v="11"/>
    <n v="7.28"/>
    <n v="65.260000000000005"/>
    <n v="9854.26"/>
  </r>
  <r>
    <x v="2"/>
    <x v="0"/>
    <x v="2"/>
    <n v="62"/>
    <n v="5"/>
    <n v="8.06"/>
    <n v="50.7"/>
    <n v="3143.4"/>
  </r>
  <r>
    <x v="1"/>
    <x v="0"/>
    <x v="1"/>
    <n v="229"/>
    <n v="14"/>
    <n v="6.11"/>
    <n v="52.42"/>
    <n v="12004.18"/>
  </r>
  <r>
    <x v="0"/>
    <x v="0"/>
    <x v="0"/>
    <n v="241"/>
    <n v="24"/>
    <n v="9.9600000000000009"/>
    <n v="67.13"/>
    <n v="16178.33"/>
  </r>
  <r>
    <x v="0"/>
    <x v="0"/>
    <x v="2"/>
    <n v="157"/>
    <n v="3"/>
    <n v="1.91"/>
    <n v="28.72"/>
    <n v="4509.04"/>
  </r>
  <r>
    <x v="2"/>
    <x v="0"/>
    <x v="2"/>
    <n v="157"/>
    <n v="9"/>
    <n v="5.73"/>
    <n v="44.28"/>
    <n v="6951.96"/>
  </r>
  <r>
    <x v="1"/>
    <x v="0"/>
    <x v="1"/>
    <n v="103"/>
    <n v="6"/>
    <n v="5.83"/>
    <n v="33.79"/>
    <n v="3480.37"/>
  </r>
  <r>
    <x v="1"/>
    <x v="0"/>
    <x v="1"/>
    <n v="203"/>
    <n v="9"/>
    <n v="4.43"/>
    <n v="28.72"/>
    <n v="5830.16"/>
  </r>
  <r>
    <x v="0"/>
    <x v="0"/>
    <x v="0"/>
    <n v="278"/>
    <n v="16"/>
    <n v="5.76"/>
    <n v="32.79"/>
    <n v="9115.6200000000008"/>
  </r>
  <r>
    <x v="3"/>
    <x v="0"/>
    <x v="2"/>
    <n v="71"/>
    <n v="6"/>
    <n v="8.4499999999999993"/>
    <n v="14.39"/>
    <n v="1021.69"/>
  </r>
  <r>
    <x v="2"/>
    <x v="0"/>
    <x v="2"/>
    <n v="195"/>
    <n v="16"/>
    <n v="8.2100000000000009"/>
    <n v="39.26"/>
    <n v="7655.7"/>
  </r>
  <r>
    <x v="1"/>
    <x v="0"/>
    <x v="1"/>
    <n v="265"/>
    <n v="24"/>
    <n v="9.06"/>
    <n v="10.46"/>
    <n v="2771.9"/>
  </r>
  <r>
    <x v="0"/>
    <x v="0"/>
    <x v="0"/>
    <n v="289"/>
    <n v="21"/>
    <n v="7.27"/>
    <n v="14.3"/>
    <n v="4132.7"/>
  </r>
  <r>
    <x v="1"/>
    <x v="0"/>
    <x v="2"/>
    <n v="205"/>
    <n v="15"/>
    <n v="7.32"/>
    <n v="65.23"/>
    <n v="13372.15"/>
  </r>
  <r>
    <x v="1"/>
    <x v="0"/>
    <x v="2"/>
    <n v="70"/>
    <n v="4"/>
    <n v="5.71"/>
    <n v="38.89"/>
    <n v="2722.3"/>
  </r>
  <r>
    <x v="0"/>
    <x v="0"/>
    <x v="2"/>
    <n v="66"/>
    <n v="3"/>
    <n v="4.55"/>
    <n v="28.17"/>
    <n v="1859.22"/>
  </r>
  <r>
    <x v="1"/>
    <x v="0"/>
    <x v="2"/>
    <n v="232"/>
    <n v="22"/>
    <n v="9.48"/>
    <n v="62.2"/>
    <n v="14430.4"/>
  </r>
  <r>
    <x v="1"/>
    <x v="0"/>
    <x v="2"/>
    <n v="287"/>
    <n v="27"/>
    <n v="9.41"/>
    <n v="42.8"/>
    <n v="12283.6"/>
  </r>
  <r>
    <x v="1"/>
    <x v="0"/>
    <x v="1"/>
    <n v="99"/>
    <n v="8"/>
    <n v="8.08"/>
    <n v="39.700000000000003"/>
    <n v="3930.3"/>
  </r>
  <r>
    <x v="1"/>
    <x v="0"/>
    <x v="2"/>
    <n v="209"/>
    <n v="11"/>
    <n v="5.26"/>
    <n v="14.11"/>
    <n v="2948.99"/>
  </r>
  <r>
    <x v="1"/>
    <x v="0"/>
    <x v="1"/>
    <n v="132"/>
    <n v="7"/>
    <n v="5.3"/>
    <n v="23.35"/>
    <n v="3082.2"/>
  </r>
  <r>
    <x v="1"/>
    <x v="0"/>
    <x v="1"/>
    <n v="253"/>
    <n v="5"/>
    <n v="1.98"/>
    <n v="10.95"/>
    <n v="2770.35"/>
  </r>
  <r>
    <x v="1"/>
    <x v="0"/>
    <x v="1"/>
    <n v="118"/>
    <n v="8"/>
    <n v="6.78"/>
    <n v="26.03"/>
    <n v="3071.54"/>
  </r>
  <r>
    <x v="3"/>
    <x v="0"/>
    <x v="2"/>
    <n v="268"/>
    <n v="23"/>
    <n v="8.58"/>
    <n v="62.35"/>
    <n v="16709.8"/>
  </r>
  <r>
    <x v="0"/>
    <x v="0"/>
    <x v="0"/>
    <n v="178"/>
    <n v="12"/>
    <n v="6.74"/>
    <n v="20.97"/>
    <n v="3732.66"/>
  </r>
  <r>
    <x v="1"/>
    <x v="0"/>
    <x v="1"/>
    <n v="244"/>
    <n v="16"/>
    <n v="6.56"/>
    <n v="33.76"/>
    <n v="8237.44"/>
  </r>
  <r>
    <x v="0"/>
    <x v="0"/>
    <x v="2"/>
    <n v="236"/>
    <n v="1"/>
    <n v="0.42"/>
    <n v="27.87"/>
    <n v="6577.32"/>
  </r>
  <r>
    <x v="0"/>
    <x v="0"/>
    <x v="2"/>
    <n v="70"/>
    <n v="2"/>
    <n v="2.86"/>
    <n v="42.02"/>
    <n v="2941.4"/>
  </r>
  <r>
    <x v="2"/>
    <x v="0"/>
    <x v="2"/>
    <n v="123"/>
    <n v="5"/>
    <n v="4.07"/>
    <n v="64.77"/>
    <n v="7966.71"/>
  </r>
  <r>
    <x v="3"/>
    <x v="0"/>
    <x v="2"/>
    <n v="86"/>
    <n v="5"/>
    <n v="5.81"/>
    <n v="48.95"/>
    <n v="4209.7"/>
  </r>
  <r>
    <x v="0"/>
    <x v="0"/>
    <x v="2"/>
    <n v="219"/>
    <n v="17"/>
    <n v="7.76"/>
    <n v="15.45"/>
    <n v="3383.55"/>
  </r>
  <r>
    <x v="1"/>
    <x v="0"/>
    <x v="1"/>
    <n v="124"/>
    <n v="3"/>
    <n v="2.42"/>
    <n v="56.06"/>
    <n v="6951.44"/>
  </r>
  <r>
    <x v="0"/>
    <x v="0"/>
    <x v="0"/>
    <n v="102"/>
    <n v="2"/>
    <n v="1.96"/>
    <n v="42.69"/>
    <n v="4354.38"/>
  </r>
  <r>
    <x v="0"/>
    <x v="0"/>
    <x v="2"/>
    <n v="115"/>
    <n v="0"/>
    <n v="0"/>
    <n v="41.89"/>
    <n v="4817.3500000000004"/>
  </r>
  <r>
    <x v="0"/>
    <x v="0"/>
    <x v="2"/>
    <n v="160"/>
    <n v="5"/>
    <n v="3.12"/>
    <n v="18"/>
    <n v="2880"/>
  </r>
  <r>
    <x v="2"/>
    <x v="0"/>
    <x v="2"/>
    <n v="247"/>
    <n v="2"/>
    <n v="0.81"/>
    <n v="23"/>
    <n v="5681"/>
  </r>
  <r>
    <x v="1"/>
    <x v="0"/>
    <x v="2"/>
    <n v="193"/>
    <n v="0"/>
    <n v="0"/>
    <n v="25.04"/>
    <n v="4832.72"/>
  </r>
  <r>
    <x v="3"/>
    <x v="0"/>
    <x v="2"/>
    <n v="176"/>
    <n v="4"/>
    <n v="2.27"/>
    <n v="13.64"/>
    <n v="2400.64"/>
  </r>
  <r>
    <x v="2"/>
    <x v="0"/>
    <x v="2"/>
    <n v="135"/>
    <n v="3"/>
    <n v="2.2200000000000002"/>
    <n v="17.170000000000002"/>
    <n v="2317.9499999999998"/>
  </r>
  <r>
    <x v="2"/>
    <x v="0"/>
    <x v="2"/>
    <n v="118"/>
    <n v="0"/>
    <n v="0"/>
    <n v="69.64"/>
    <n v="8217.52"/>
  </r>
  <r>
    <x v="2"/>
    <x v="0"/>
    <x v="2"/>
    <n v="123"/>
    <n v="3"/>
    <n v="2.44"/>
    <n v="54.95"/>
    <n v="6758.85"/>
  </r>
  <r>
    <x v="2"/>
    <x v="0"/>
    <x v="2"/>
    <n v="213"/>
    <n v="8"/>
    <n v="3.76"/>
    <n v="45.66"/>
    <n v="9725.58"/>
  </r>
  <r>
    <x v="0"/>
    <x v="0"/>
    <x v="2"/>
    <n v="193"/>
    <n v="17"/>
    <n v="8.81"/>
    <n v="47.75"/>
    <n v="9215.75"/>
  </r>
  <r>
    <x v="2"/>
    <x v="0"/>
    <x v="2"/>
    <n v="244"/>
    <n v="4"/>
    <n v="1.64"/>
    <n v="28.54"/>
    <n v="6963.76"/>
  </r>
  <r>
    <x v="3"/>
    <x v="0"/>
    <x v="2"/>
    <n v="183"/>
    <n v="2"/>
    <n v="1.0900000000000001"/>
    <n v="33.56"/>
    <n v="6141.48"/>
  </r>
  <r>
    <x v="1"/>
    <x v="0"/>
    <x v="1"/>
    <n v="122"/>
    <n v="7"/>
    <n v="5.74"/>
    <n v="56.6"/>
    <n v="6905.2"/>
  </r>
  <r>
    <x v="0"/>
    <x v="0"/>
    <x v="2"/>
    <n v="147"/>
    <n v="3"/>
    <n v="2.04"/>
    <n v="18.55"/>
    <n v="2726.85"/>
  </r>
  <r>
    <x v="1"/>
    <x v="0"/>
    <x v="1"/>
    <n v="180"/>
    <n v="4"/>
    <n v="2.2200000000000002"/>
    <n v="69.63"/>
    <n v="12533.4"/>
  </r>
  <r>
    <x v="3"/>
    <x v="0"/>
    <x v="2"/>
    <n v="284"/>
    <n v="28"/>
    <n v="9.86"/>
    <n v="39.89"/>
    <n v="11328.76"/>
  </r>
  <r>
    <x v="3"/>
    <x v="0"/>
    <x v="2"/>
    <n v="122"/>
    <n v="12"/>
    <n v="9.84"/>
    <n v="62.34"/>
    <n v="7605.48"/>
  </r>
  <r>
    <x v="1"/>
    <x v="0"/>
    <x v="1"/>
    <n v="261"/>
    <n v="6"/>
    <n v="2.2999999999999998"/>
    <n v="48.49"/>
    <n v="12655.89"/>
  </r>
  <r>
    <x v="0"/>
    <x v="0"/>
    <x v="2"/>
    <n v="142"/>
    <n v="6"/>
    <n v="4.2300000000000004"/>
    <n v="5.39"/>
    <n v="765.38"/>
  </r>
  <r>
    <x v="0"/>
    <x v="0"/>
    <x v="2"/>
    <n v="86"/>
    <n v="2"/>
    <n v="2.33"/>
    <n v="65.73"/>
    <n v="5652.78"/>
  </r>
  <r>
    <x v="2"/>
    <x v="0"/>
    <x v="2"/>
    <n v="198"/>
    <n v="17"/>
    <n v="8.59"/>
    <n v="49.29"/>
    <n v="9759.42"/>
  </r>
  <r>
    <x v="2"/>
    <x v="0"/>
    <x v="2"/>
    <n v="191"/>
    <n v="1"/>
    <n v="0.52"/>
    <n v="10.34"/>
    <n v="1974.94"/>
  </r>
  <r>
    <x v="3"/>
    <x v="0"/>
    <x v="2"/>
    <n v="281"/>
    <n v="16"/>
    <n v="5.69"/>
    <n v="61.71"/>
    <n v="17340.509999999998"/>
  </r>
  <r>
    <x v="0"/>
    <x v="0"/>
    <x v="0"/>
    <n v="236"/>
    <n v="16"/>
    <n v="6.78"/>
    <n v="10.46"/>
    <n v="2468.56"/>
  </r>
  <r>
    <x v="3"/>
    <x v="0"/>
    <x v="2"/>
    <n v="163"/>
    <n v="3"/>
    <n v="1.84"/>
    <n v="57.1"/>
    <n v="9307.2999999999993"/>
  </r>
  <r>
    <x v="1"/>
    <x v="0"/>
    <x v="2"/>
    <n v="95"/>
    <n v="9"/>
    <n v="9.4700000000000006"/>
    <n v="26.07"/>
    <n v="2476.65"/>
  </r>
  <r>
    <x v="1"/>
    <x v="0"/>
    <x v="2"/>
    <n v="255"/>
    <n v="14"/>
    <n v="5.49"/>
    <n v="42.76"/>
    <n v="10903.8"/>
  </r>
  <r>
    <x v="1"/>
    <x v="0"/>
    <x v="1"/>
    <n v="251"/>
    <n v="8"/>
    <n v="3.19"/>
    <n v="5.57"/>
    <n v="1398.07"/>
  </r>
  <r>
    <x v="1"/>
    <x v="0"/>
    <x v="1"/>
    <n v="85"/>
    <n v="0"/>
    <n v="0"/>
    <n v="27.07"/>
    <n v="2300.9499999999998"/>
  </r>
  <r>
    <x v="0"/>
    <x v="0"/>
    <x v="2"/>
    <n v="64"/>
    <n v="3"/>
    <n v="4.6900000000000004"/>
    <n v="25.5"/>
    <n v="1632"/>
  </r>
  <r>
    <x v="1"/>
    <x v="0"/>
    <x v="1"/>
    <n v="181"/>
    <n v="0"/>
    <n v="0"/>
    <n v="69.98"/>
    <n v="12666.38"/>
  </r>
  <r>
    <x v="1"/>
    <x v="0"/>
    <x v="2"/>
    <n v="66"/>
    <n v="5"/>
    <n v="7.58"/>
    <n v="61.76"/>
    <n v="4076.16"/>
  </r>
  <r>
    <x v="3"/>
    <x v="0"/>
    <x v="2"/>
    <n v="150"/>
    <n v="4"/>
    <n v="2.67"/>
    <n v="53.87"/>
    <n v="8080.5"/>
  </r>
  <r>
    <x v="2"/>
    <x v="0"/>
    <x v="2"/>
    <n v="166"/>
    <n v="16"/>
    <n v="9.64"/>
    <n v="27.36"/>
    <n v="4541.76"/>
  </r>
  <r>
    <x v="1"/>
    <x v="0"/>
    <x v="1"/>
    <n v="172"/>
    <n v="3"/>
    <n v="1.74"/>
    <n v="12.56"/>
    <n v="2160.3200000000002"/>
  </r>
  <r>
    <x v="0"/>
    <x v="0"/>
    <x v="0"/>
    <n v="147"/>
    <n v="12"/>
    <n v="8.16"/>
    <n v="36.94"/>
    <n v="5430.18"/>
  </r>
  <r>
    <x v="1"/>
    <x v="0"/>
    <x v="1"/>
    <n v="121"/>
    <n v="0"/>
    <n v="0"/>
    <n v="38.26"/>
    <n v="4629.46"/>
  </r>
  <r>
    <x v="2"/>
    <x v="0"/>
    <x v="2"/>
    <n v="233"/>
    <n v="21"/>
    <n v="9.01"/>
    <n v="62.08"/>
    <n v="14464.64"/>
  </r>
  <r>
    <x v="1"/>
    <x v="0"/>
    <x v="1"/>
    <n v="181"/>
    <n v="8"/>
    <n v="4.42"/>
    <n v="29.1"/>
    <n v="5267.1"/>
  </r>
  <r>
    <x v="2"/>
    <x v="0"/>
    <x v="2"/>
    <n v="270"/>
    <n v="26"/>
    <n v="9.6300000000000008"/>
    <n v="46.83"/>
    <n v="12644.1"/>
  </r>
  <r>
    <x v="1"/>
    <x v="0"/>
    <x v="1"/>
    <n v="205"/>
    <n v="0"/>
    <n v="0"/>
    <n v="56.61"/>
    <n v="11605.05"/>
  </r>
  <r>
    <x v="0"/>
    <x v="0"/>
    <x v="2"/>
    <n v="220"/>
    <n v="13"/>
    <n v="5.91"/>
    <n v="15.18"/>
    <n v="3339.6"/>
  </r>
  <r>
    <x v="1"/>
    <x v="0"/>
    <x v="1"/>
    <n v="113"/>
    <n v="0"/>
    <n v="0"/>
    <n v="32.67"/>
    <n v="3691.71"/>
  </r>
  <r>
    <x v="0"/>
    <x v="0"/>
    <x v="0"/>
    <n v="86"/>
    <n v="2"/>
    <n v="2.33"/>
    <n v="18.61"/>
    <n v="1600.46"/>
  </r>
  <r>
    <x v="3"/>
    <x v="0"/>
    <x v="2"/>
    <n v="119"/>
    <n v="6"/>
    <n v="5.04"/>
    <n v="12.88"/>
    <n v="1532.72"/>
  </r>
  <r>
    <x v="2"/>
    <x v="0"/>
    <x v="2"/>
    <n v="298"/>
    <n v="7"/>
    <n v="2.35"/>
    <n v="59.79"/>
    <n v="17817.419999999998"/>
  </r>
  <r>
    <x v="2"/>
    <x v="0"/>
    <x v="2"/>
    <n v="176"/>
    <n v="1"/>
    <n v="0.56999999999999995"/>
    <n v="8.2200000000000006"/>
    <n v="1446.72"/>
  </r>
  <r>
    <x v="0"/>
    <x v="0"/>
    <x v="0"/>
    <n v="204"/>
    <n v="12"/>
    <n v="5.88"/>
    <n v="22.93"/>
    <n v="4677.72"/>
  </r>
  <r>
    <x v="1"/>
    <x v="0"/>
    <x v="2"/>
    <n v="114"/>
    <n v="5"/>
    <n v="4.3899999999999997"/>
    <n v="48.25"/>
    <n v="5500.5"/>
  </r>
  <r>
    <x v="2"/>
    <x v="0"/>
    <x v="2"/>
    <n v="233"/>
    <n v="8"/>
    <n v="3.43"/>
    <n v="32.75"/>
    <n v="7630.75"/>
  </r>
  <r>
    <x v="1"/>
    <x v="0"/>
    <x v="2"/>
    <n v="174"/>
    <n v="17"/>
    <n v="9.77"/>
    <n v="37.119999999999997"/>
    <n v="6458.88"/>
  </r>
  <r>
    <x v="0"/>
    <x v="0"/>
    <x v="2"/>
    <n v="176"/>
    <n v="2"/>
    <n v="1.1399999999999999"/>
    <n v="48.81"/>
    <n v="8590.56"/>
  </r>
  <r>
    <x v="0"/>
    <x v="0"/>
    <x v="2"/>
    <n v="284"/>
    <n v="7"/>
    <n v="2.46"/>
    <n v="42.64"/>
    <n v="12109.76"/>
  </r>
  <r>
    <x v="0"/>
    <x v="0"/>
    <x v="2"/>
    <n v="117"/>
    <n v="9"/>
    <n v="7.69"/>
    <n v="18.420000000000002"/>
    <n v="2155.14"/>
  </r>
  <r>
    <x v="0"/>
    <x v="0"/>
    <x v="0"/>
    <n v="248"/>
    <n v="21"/>
    <n v="8.4700000000000006"/>
    <n v="36.479999999999997"/>
    <n v="9047.0400000000009"/>
  </r>
  <r>
    <x v="0"/>
    <x v="0"/>
    <x v="0"/>
    <n v="216"/>
    <n v="3"/>
    <n v="1.39"/>
    <n v="30.26"/>
    <n v="6536.16"/>
  </r>
  <r>
    <x v="1"/>
    <x v="0"/>
    <x v="2"/>
    <n v="88"/>
    <n v="6"/>
    <n v="6.82"/>
    <n v="36.1"/>
    <n v="3176.8"/>
  </r>
  <r>
    <x v="1"/>
    <x v="0"/>
    <x v="1"/>
    <n v="270"/>
    <n v="15"/>
    <n v="5.56"/>
    <n v="66.73"/>
    <n v="18017.099999999999"/>
  </r>
  <r>
    <x v="1"/>
    <x v="0"/>
    <x v="2"/>
    <n v="110"/>
    <n v="7"/>
    <n v="6.36"/>
    <n v="43.82"/>
    <n v="4820.2"/>
  </r>
  <r>
    <x v="1"/>
    <x v="0"/>
    <x v="2"/>
    <n v="102"/>
    <n v="6"/>
    <n v="5.88"/>
    <n v="68.34"/>
    <n v="6970.68"/>
  </r>
  <r>
    <x v="1"/>
    <x v="0"/>
    <x v="1"/>
    <n v="233"/>
    <n v="16"/>
    <n v="6.87"/>
    <n v="31.49"/>
    <n v="7337.17"/>
  </r>
  <r>
    <x v="1"/>
    <x v="0"/>
    <x v="2"/>
    <n v="282"/>
    <n v="27"/>
    <n v="9.57"/>
    <n v="28.83"/>
    <n v="8130.06"/>
  </r>
  <r>
    <x v="0"/>
    <x v="0"/>
    <x v="2"/>
    <n v="236"/>
    <n v="11"/>
    <n v="4.66"/>
    <n v="58.66"/>
    <n v="13843.76"/>
  </r>
  <r>
    <x v="0"/>
    <x v="0"/>
    <x v="2"/>
    <n v="138"/>
    <n v="10"/>
    <n v="7.25"/>
    <n v="63.21"/>
    <n v="8722.98"/>
  </r>
  <r>
    <x v="2"/>
    <x v="0"/>
    <x v="2"/>
    <n v="57"/>
    <n v="5"/>
    <n v="8.77"/>
    <n v="7.93"/>
    <n v="452.01"/>
  </r>
  <r>
    <x v="1"/>
    <x v="0"/>
    <x v="1"/>
    <n v="294"/>
    <n v="24"/>
    <n v="8.16"/>
    <n v="68.02"/>
    <n v="19997.88"/>
  </r>
  <r>
    <x v="3"/>
    <x v="0"/>
    <x v="2"/>
    <n v="150"/>
    <n v="0"/>
    <n v="0"/>
    <n v="43.8"/>
    <n v="6570"/>
  </r>
  <r>
    <x v="2"/>
    <x v="0"/>
    <x v="2"/>
    <n v="91"/>
    <n v="5"/>
    <n v="5.49"/>
    <n v="5.45"/>
    <n v="495.95"/>
  </r>
  <r>
    <x v="2"/>
    <x v="0"/>
    <x v="2"/>
    <n v="205"/>
    <n v="9"/>
    <n v="4.3899999999999997"/>
    <n v="39.11"/>
    <n v="8017.55"/>
  </r>
  <r>
    <x v="2"/>
    <x v="0"/>
    <x v="2"/>
    <n v="188"/>
    <n v="0"/>
    <n v="0"/>
    <n v="43.4"/>
    <n v="8159.2"/>
  </r>
  <r>
    <x v="1"/>
    <x v="0"/>
    <x v="2"/>
    <n v="158"/>
    <n v="5"/>
    <n v="3.16"/>
    <n v="44.2"/>
    <n v="6983.6"/>
  </r>
  <r>
    <x v="1"/>
    <x v="0"/>
    <x v="1"/>
    <n v="152"/>
    <n v="5"/>
    <n v="3.29"/>
    <n v="15.13"/>
    <n v="2299.7600000000002"/>
  </r>
  <r>
    <x v="0"/>
    <x v="0"/>
    <x v="2"/>
    <n v="158"/>
    <n v="2"/>
    <n v="1.27"/>
    <n v="51.66"/>
    <n v="8162.28"/>
  </r>
  <r>
    <x v="2"/>
    <x v="0"/>
    <x v="2"/>
    <n v="197"/>
    <n v="18"/>
    <n v="9.14"/>
    <n v="22.46"/>
    <n v="4424.62"/>
  </r>
  <r>
    <x v="2"/>
    <x v="0"/>
    <x v="2"/>
    <n v="215"/>
    <n v="18"/>
    <n v="8.3699999999999992"/>
    <n v="13.33"/>
    <n v="2865.95"/>
  </r>
  <r>
    <x v="2"/>
    <x v="0"/>
    <x v="2"/>
    <n v="267"/>
    <n v="13"/>
    <n v="4.87"/>
    <n v="28.13"/>
    <n v="7510.71"/>
  </r>
  <r>
    <x v="1"/>
    <x v="0"/>
    <x v="1"/>
    <n v="248"/>
    <n v="16"/>
    <n v="6.45"/>
    <n v="68.290000000000006"/>
    <n v="16935.919999999998"/>
  </r>
  <r>
    <x v="0"/>
    <x v="0"/>
    <x v="0"/>
    <n v="50"/>
    <n v="0"/>
    <n v="0"/>
    <n v="19.73"/>
    <n v="986.5"/>
  </r>
  <r>
    <x v="1"/>
    <x v="0"/>
    <x v="1"/>
    <n v="164"/>
    <n v="9"/>
    <n v="5.49"/>
    <n v="14.85"/>
    <n v="2435.4"/>
  </r>
  <r>
    <x v="1"/>
    <x v="0"/>
    <x v="1"/>
    <n v="115"/>
    <n v="4"/>
    <n v="3.48"/>
    <n v="56.05"/>
    <n v="6445.75"/>
  </r>
  <r>
    <x v="1"/>
    <x v="0"/>
    <x v="2"/>
    <n v="276"/>
    <n v="16"/>
    <n v="5.8"/>
    <n v="61.02"/>
    <n v="16841.52"/>
  </r>
  <r>
    <x v="0"/>
    <x v="0"/>
    <x v="2"/>
    <n v="284"/>
    <n v="27"/>
    <n v="9.51"/>
    <n v="20.72"/>
    <n v="5884.48"/>
  </r>
  <r>
    <x v="3"/>
    <x v="0"/>
    <x v="2"/>
    <n v="221"/>
    <n v="18"/>
    <n v="8.14"/>
    <n v="67.05"/>
    <n v="14818.05"/>
  </r>
  <r>
    <x v="1"/>
    <x v="0"/>
    <x v="2"/>
    <n v="196"/>
    <n v="6"/>
    <n v="3.06"/>
    <n v="47.92"/>
    <n v="9392.32"/>
  </r>
  <r>
    <x v="3"/>
    <x v="0"/>
    <x v="2"/>
    <n v="66"/>
    <n v="6"/>
    <n v="9.09"/>
    <n v="58.51"/>
    <n v="3861.66"/>
  </r>
  <r>
    <x v="0"/>
    <x v="0"/>
    <x v="0"/>
    <n v="60"/>
    <n v="4"/>
    <n v="6.67"/>
    <n v="24.01"/>
    <n v="1440.6"/>
  </r>
  <r>
    <x v="0"/>
    <x v="0"/>
    <x v="0"/>
    <n v="113"/>
    <n v="10"/>
    <n v="8.85"/>
    <n v="43.42"/>
    <n v="4906.46"/>
  </r>
  <r>
    <x v="3"/>
    <x v="0"/>
    <x v="2"/>
    <n v="226"/>
    <n v="15"/>
    <n v="6.64"/>
    <n v="16.690000000000001"/>
    <n v="3771.94"/>
  </r>
  <r>
    <x v="1"/>
    <x v="0"/>
    <x v="2"/>
    <n v="252"/>
    <n v="15"/>
    <n v="5.95"/>
    <n v="26.55"/>
    <n v="6690.6"/>
  </r>
  <r>
    <x v="2"/>
    <x v="0"/>
    <x v="2"/>
    <n v="162"/>
    <n v="9"/>
    <n v="5.56"/>
    <n v="46.85"/>
    <n v="7589.7"/>
  </r>
  <r>
    <x v="0"/>
    <x v="0"/>
    <x v="0"/>
    <n v="226"/>
    <n v="8"/>
    <n v="3.54"/>
    <n v="7.04"/>
    <n v="1591.04"/>
  </r>
  <r>
    <x v="2"/>
    <x v="0"/>
    <x v="2"/>
    <n v="291"/>
    <n v="21"/>
    <n v="7.22"/>
    <n v="17.97"/>
    <n v="5229.2700000000004"/>
  </r>
  <r>
    <x v="2"/>
    <x v="0"/>
    <x v="2"/>
    <n v="281"/>
    <n v="0"/>
    <n v="0"/>
    <n v="41.4"/>
    <n v="11633.4"/>
  </r>
  <r>
    <x v="3"/>
    <x v="0"/>
    <x v="2"/>
    <n v="286"/>
    <n v="17"/>
    <n v="5.94"/>
    <n v="19.649999999999999"/>
    <n v="5619.9"/>
  </r>
  <r>
    <x v="0"/>
    <x v="0"/>
    <x v="0"/>
    <n v="147"/>
    <n v="10"/>
    <n v="6.8"/>
    <n v="32.590000000000003"/>
    <n v="4790.7299999999996"/>
  </r>
  <r>
    <x v="0"/>
    <x v="0"/>
    <x v="2"/>
    <n v="218"/>
    <n v="9"/>
    <n v="4.13"/>
    <n v="28.14"/>
    <n v="6134.52"/>
  </r>
  <r>
    <x v="1"/>
    <x v="0"/>
    <x v="1"/>
    <n v="241"/>
    <n v="22"/>
    <n v="9.1300000000000008"/>
    <n v="24.42"/>
    <n v="5885.22"/>
  </r>
  <r>
    <x v="1"/>
    <x v="0"/>
    <x v="2"/>
    <n v="86"/>
    <n v="2"/>
    <n v="2.33"/>
    <n v="50.59"/>
    <n v="4350.74"/>
  </r>
  <r>
    <x v="2"/>
    <x v="0"/>
    <x v="2"/>
    <n v="216"/>
    <n v="1"/>
    <n v="0.46"/>
    <n v="56.38"/>
    <n v="12178.08"/>
  </r>
  <r>
    <x v="1"/>
    <x v="0"/>
    <x v="2"/>
    <n v="151"/>
    <n v="15"/>
    <n v="9.93"/>
    <n v="63.83"/>
    <n v="9638.33"/>
  </r>
  <r>
    <x v="3"/>
    <x v="0"/>
    <x v="2"/>
    <n v="240"/>
    <n v="23"/>
    <n v="9.58"/>
    <n v="67.45"/>
    <n v="16188"/>
  </r>
  <r>
    <x v="2"/>
    <x v="0"/>
    <x v="2"/>
    <n v="292"/>
    <n v="17"/>
    <n v="5.82"/>
    <n v="32.049999999999997"/>
    <n v="9358.6"/>
  </r>
  <r>
    <x v="0"/>
    <x v="0"/>
    <x v="0"/>
    <n v="233"/>
    <n v="22"/>
    <n v="9.44"/>
    <n v="18.100000000000001"/>
    <n v="4217.3"/>
  </r>
  <r>
    <x v="1"/>
    <x v="0"/>
    <x v="2"/>
    <n v="258"/>
    <n v="1"/>
    <n v="0.39"/>
    <n v="6.11"/>
    <n v="1576.38"/>
  </r>
  <r>
    <x v="0"/>
    <x v="0"/>
    <x v="2"/>
    <n v="186"/>
    <n v="0"/>
    <n v="0"/>
    <n v="10.65"/>
    <n v="1980.9"/>
  </r>
  <r>
    <x v="0"/>
    <x v="0"/>
    <x v="0"/>
    <n v="178"/>
    <n v="7"/>
    <n v="3.93"/>
    <n v="48.02"/>
    <n v="8547.56"/>
  </r>
  <r>
    <x v="3"/>
    <x v="0"/>
    <x v="2"/>
    <n v="105"/>
    <n v="1"/>
    <n v="0.95"/>
    <n v="45.33"/>
    <n v="4759.6499999999996"/>
  </r>
  <r>
    <x v="1"/>
    <x v="0"/>
    <x v="1"/>
    <n v="231"/>
    <n v="4"/>
    <n v="1.73"/>
    <n v="54.78"/>
    <n v="12654.18"/>
  </r>
  <r>
    <x v="3"/>
    <x v="0"/>
    <x v="2"/>
    <n v="76"/>
    <n v="7"/>
    <n v="9.2100000000000009"/>
    <n v="40.07"/>
    <n v="3045.32"/>
  </r>
  <r>
    <x v="2"/>
    <x v="0"/>
    <x v="2"/>
    <n v="253"/>
    <n v="22"/>
    <n v="8.6999999999999993"/>
    <n v="63.58"/>
    <n v="16085.74"/>
  </r>
  <r>
    <x v="1"/>
    <x v="0"/>
    <x v="2"/>
    <n v="131"/>
    <n v="13"/>
    <n v="9.92"/>
    <n v="20.88"/>
    <n v="2735.28"/>
  </r>
  <r>
    <x v="0"/>
    <x v="0"/>
    <x v="2"/>
    <n v="275"/>
    <n v="25"/>
    <n v="9.09"/>
    <n v="47.31"/>
    <n v="13010.25"/>
  </r>
  <r>
    <x v="2"/>
    <x v="0"/>
    <x v="2"/>
    <n v="268"/>
    <n v="13"/>
    <n v="4.8499999999999996"/>
    <n v="33.03"/>
    <n v="8852.0400000000009"/>
  </r>
  <r>
    <x v="2"/>
    <x v="0"/>
    <x v="2"/>
    <n v="238"/>
    <n v="8"/>
    <n v="3.36"/>
    <n v="22.17"/>
    <n v="5276.46"/>
  </r>
  <r>
    <x v="0"/>
    <x v="0"/>
    <x v="0"/>
    <n v="249"/>
    <n v="8"/>
    <n v="3.21"/>
    <n v="28.25"/>
    <n v="7034.25"/>
  </r>
  <r>
    <x v="1"/>
    <x v="0"/>
    <x v="2"/>
    <n v="115"/>
    <n v="2"/>
    <n v="1.74"/>
    <n v="17.12"/>
    <n v="1968.8"/>
  </r>
  <r>
    <x v="2"/>
    <x v="0"/>
    <x v="2"/>
    <n v="178"/>
    <n v="16"/>
    <n v="8.99"/>
    <n v="68.5"/>
    <n v="12193"/>
  </r>
  <r>
    <x v="3"/>
    <x v="0"/>
    <x v="2"/>
    <n v="128"/>
    <n v="9"/>
    <n v="7.03"/>
    <n v="9.06"/>
    <n v="1159.68"/>
  </r>
  <r>
    <x v="0"/>
    <x v="0"/>
    <x v="2"/>
    <n v="91"/>
    <n v="2"/>
    <n v="2.2000000000000002"/>
    <n v="49.96"/>
    <n v="4546.3599999999997"/>
  </r>
  <r>
    <x v="2"/>
    <x v="0"/>
    <x v="2"/>
    <n v="57"/>
    <n v="5"/>
    <n v="8.77"/>
    <n v="12.3"/>
    <n v="701.1"/>
  </r>
  <r>
    <x v="2"/>
    <x v="0"/>
    <x v="2"/>
    <n v="182"/>
    <n v="7"/>
    <n v="3.85"/>
    <n v="68.739999999999995"/>
    <n v="12510.68"/>
  </r>
  <r>
    <x v="2"/>
    <x v="0"/>
    <x v="2"/>
    <n v="101"/>
    <n v="10"/>
    <n v="9.9"/>
    <n v="32.31"/>
    <n v="3263.31"/>
  </r>
  <r>
    <x v="0"/>
    <x v="0"/>
    <x v="2"/>
    <n v="52"/>
    <n v="3"/>
    <n v="5.77"/>
    <n v="24.71"/>
    <n v="1284.92"/>
  </r>
  <r>
    <x v="2"/>
    <x v="0"/>
    <x v="2"/>
    <n v="257"/>
    <n v="23"/>
    <n v="8.9499999999999993"/>
    <n v="50.3"/>
    <n v="12927.1"/>
  </r>
  <r>
    <x v="2"/>
    <x v="0"/>
    <x v="2"/>
    <n v="91"/>
    <n v="3"/>
    <n v="3.3"/>
    <n v="41.54"/>
    <n v="3780.14"/>
  </r>
  <r>
    <x v="1"/>
    <x v="0"/>
    <x v="2"/>
    <n v="272"/>
    <n v="17"/>
    <n v="6.25"/>
    <n v="17.11"/>
    <n v="4653.92"/>
  </r>
  <r>
    <x v="1"/>
    <x v="0"/>
    <x v="2"/>
    <n v="229"/>
    <n v="2"/>
    <n v="0.87"/>
    <n v="53.25"/>
    <n v="12194.25"/>
  </r>
  <r>
    <x v="1"/>
    <x v="0"/>
    <x v="1"/>
    <n v="237"/>
    <n v="3"/>
    <n v="1.27"/>
    <n v="8.7899999999999991"/>
    <n v="2083.23"/>
  </r>
  <r>
    <x v="3"/>
    <x v="0"/>
    <x v="2"/>
    <n v="129"/>
    <n v="9"/>
    <n v="6.98"/>
    <n v="47.68"/>
    <n v="6150.72"/>
  </r>
  <r>
    <x v="1"/>
    <x v="0"/>
    <x v="1"/>
    <n v="162"/>
    <n v="12"/>
    <n v="7.41"/>
    <n v="41.99"/>
    <n v="6802.38"/>
  </r>
  <r>
    <x v="3"/>
    <x v="0"/>
    <x v="2"/>
    <n v="160"/>
    <n v="9"/>
    <n v="5.62"/>
    <n v="50.52"/>
    <n v="8083.2"/>
  </r>
  <r>
    <x v="3"/>
    <x v="0"/>
    <x v="2"/>
    <n v="73"/>
    <n v="4"/>
    <n v="5.48"/>
    <n v="31.21"/>
    <n v="2278.33"/>
  </r>
  <r>
    <x v="2"/>
    <x v="0"/>
    <x v="2"/>
    <n v="110"/>
    <n v="1"/>
    <n v="0.91"/>
    <n v="43.8"/>
    <n v="4818"/>
  </r>
  <r>
    <x v="3"/>
    <x v="0"/>
    <x v="2"/>
    <n v="116"/>
    <n v="5"/>
    <n v="4.3099999999999996"/>
    <n v="28.91"/>
    <n v="3353.56"/>
  </r>
  <r>
    <x v="2"/>
    <x v="0"/>
    <x v="2"/>
    <n v="255"/>
    <n v="8"/>
    <n v="3.14"/>
    <n v="60.61"/>
    <n v="15455.55"/>
  </r>
  <r>
    <x v="0"/>
    <x v="0"/>
    <x v="2"/>
    <n v="217"/>
    <n v="10"/>
    <n v="4.6100000000000003"/>
    <n v="25.01"/>
    <n v="5427.17"/>
  </r>
  <r>
    <x v="1"/>
    <x v="0"/>
    <x v="1"/>
    <n v="215"/>
    <n v="5"/>
    <n v="2.33"/>
    <n v="46.83"/>
    <n v="10068.450000000001"/>
  </r>
  <r>
    <x v="0"/>
    <x v="0"/>
    <x v="2"/>
    <n v="213"/>
    <n v="12"/>
    <n v="5.63"/>
    <n v="10.67"/>
    <n v="2272.71"/>
  </r>
  <r>
    <x v="1"/>
    <x v="0"/>
    <x v="2"/>
    <n v="121"/>
    <n v="6"/>
    <n v="4.96"/>
    <n v="43.79"/>
    <n v="5298.59"/>
  </r>
  <r>
    <x v="3"/>
    <x v="0"/>
    <x v="2"/>
    <n v="143"/>
    <n v="4"/>
    <n v="2.8"/>
    <n v="45.79"/>
    <n v="6547.97"/>
  </r>
  <r>
    <x v="0"/>
    <x v="0"/>
    <x v="2"/>
    <n v="257"/>
    <n v="0"/>
    <n v="0"/>
    <n v="43.97"/>
    <n v="11300.29"/>
  </r>
  <r>
    <x v="2"/>
    <x v="0"/>
    <x v="2"/>
    <n v="220"/>
    <n v="10"/>
    <n v="4.55"/>
    <n v="20.3"/>
    <n v="4466"/>
  </r>
  <r>
    <x v="0"/>
    <x v="0"/>
    <x v="2"/>
    <n v="57"/>
    <n v="3"/>
    <n v="5.26"/>
    <n v="59.35"/>
    <n v="3382.95"/>
  </r>
  <r>
    <x v="3"/>
    <x v="0"/>
    <x v="2"/>
    <n v="121"/>
    <n v="0"/>
    <n v="0"/>
    <n v="64.61"/>
    <n v="7817.81"/>
  </r>
  <r>
    <x v="3"/>
    <x v="0"/>
    <x v="2"/>
    <n v="124"/>
    <n v="10"/>
    <n v="8.06"/>
    <n v="53.93"/>
    <n v="6687.32"/>
  </r>
  <r>
    <x v="3"/>
    <x v="0"/>
    <x v="2"/>
    <n v="182"/>
    <n v="10"/>
    <n v="5.49"/>
    <n v="31.89"/>
    <n v="5803.98"/>
  </r>
  <r>
    <x v="2"/>
    <x v="0"/>
    <x v="2"/>
    <n v="116"/>
    <n v="11"/>
    <n v="9.48"/>
    <n v="31.48"/>
    <n v="3651.68"/>
  </r>
  <r>
    <x v="1"/>
    <x v="0"/>
    <x v="1"/>
    <n v="280"/>
    <n v="17"/>
    <n v="6.07"/>
    <n v="64.75"/>
    <n v="18130"/>
  </r>
  <r>
    <x v="2"/>
    <x v="0"/>
    <x v="2"/>
    <n v="145"/>
    <n v="6"/>
    <n v="4.1399999999999997"/>
    <n v="37.840000000000003"/>
    <n v="5486.8"/>
  </r>
  <r>
    <x v="1"/>
    <x v="0"/>
    <x v="1"/>
    <n v="262"/>
    <n v="0"/>
    <n v="0"/>
    <n v="10.15"/>
    <n v="2659.3"/>
  </r>
  <r>
    <x v="1"/>
    <x v="0"/>
    <x v="2"/>
    <n v="253"/>
    <n v="0"/>
    <n v="0"/>
    <n v="35.32"/>
    <n v="8935.9599999999991"/>
  </r>
  <r>
    <x v="3"/>
    <x v="0"/>
    <x v="2"/>
    <n v="52"/>
    <n v="5"/>
    <n v="9.6199999999999992"/>
    <n v="60.61"/>
    <n v="3151.72"/>
  </r>
  <r>
    <x v="3"/>
    <x v="0"/>
    <x v="2"/>
    <n v="270"/>
    <n v="12"/>
    <n v="4.4400000000000004"/>
    <n v="36.56"/>
    <n v="9871.2000000000007"/>
  </r>
  <r>
    <x v="0"/>
    <x v="0"/>
    <x v="0"/>
    <n v="70"/>
    <n v="6"/>
    <n v="8.57"/>
    <n v="7.9"/>
    <n v="553"/>
  </r>
  <r>
    <x v="1"/>
    <x v="0"/>
    <x v="1"/>
    <n v="161"/>
    <n v="2"/>
    <n v="1.24"/>
    <n v="11.31"/>
    <n v="1820.91"/>
  </r>
  <r>
    <x v="3"/>
    <x v="0"/>
    <x v="2"/>
    <n v="84"/>
    <n v="2"/>
    <n v="2.38"/>
    <n v="38"/>
    <n v="3192"/>
  </r>
  <r>
    <x v="3"/>
    <x v="0"/>
    <x v="2"/>
    <n v="67"/>
    <n v="5"/>
    <n v="7.46"/>
    <n v="54.64"/>
    <n v="3660.88"/>
  </r>
  <r>
    <x v="2"/>
    <x v="0"/>
    <x v="2"/>
    <n v="109"/>
    <n v="4"/>
    <n v="3.67"/>
    <n v="28.41"/>
    <n v="3096.69"/>
  </r>
  <r>
    <x v="2"/>
    <x v="0"/>
    <x v="2"/>
    <n v="118"/>
    <n v="2"/>
    <n v="1.69"/>
    <n v="24.93"/>
    <n v="2941.74"/>
  </r>
  <r>
    <x v="3"/>
    <x v="0"/>
    <x v="2"/>
    <n v="56"/>
    <n v="4"/>
    <n v="7.14"/>
    <n v="41.46"/>
    <n v="2321.7600000000002"/>
  </r>
  <r>
    <x v="3"/>
    <x v="0"/>
    <x v="2"/>
    <n v="100"/>
    <n v="10"/>
    <n v="10"/>
    <n v="11.51"/>
    <n v="1151"/>
  </r>
  <r>
    <x v="1"/>
    <x v="0"/>
    <x v="2"/>
    <n v="256"/>
    <n v="4"/>
    <n v="1.56"/>
    <n v="29.55"/>
    <n v="7564.8"/>
  </r>
  <r>
    <x v="2"/>
    <x v="0"/>
    <x v="2"/>
    <n v="249"/>
    <n v="15"/>
    <n v="6.02"/>
    <n v="62.75"/>
    <n v="15624.75"/>
  </r>
  <r>
    <x v="1"/>
    <x v="0"/>
    <x v="1"/>
    <n v="95"/>
    <n v="4"/>
    <n v="4.21"/>
    <n v="45.3"/>
    <n v="4303.5"/>
  </r>
  <r>
    <x v="2"/>
    <x v="0"/>
    <x v="2"/>
    <n v="249"/>
    <n v="19"/>
    <n v="7.63"/>
    <n v="20.76"/>
    <n v="5169.24"/>
  </r>
  <r>
    <x v="0"/>
    <x v="0"/>
    <x v="2"/>
    <n v="104"/>
    <n v="7"/>
    <n v="6.73"/>
    <n v="7.21"/>
    <n v="749.84"/>
  </r>
  <r>
    <x v="1"/>
    <x v="0"/>
    <x v="2"/>
    <n v="198"/>
    <n v="15"/>
    <n v="7.58"/>
    <n v="53.85"/>
    <n v="10662.3"/>
  </r>
  <r>
    <x v="2"/>
    <x v="0"/>
    <x v="2"/>
    <n v="149"/>
    <n v="5"/>
    <n v="3.36"/>
    <n v="43.79"/>
    <n v="6524.71"/>
  </r>
  <r>
    <x v="1"/>
    <x v="0"/>
    <x v="2"/>
    <n v="80"/>
    <n v="7"/>
    <n v="8.75"/>
    <n v="38.57"/>
    <n v="3085.6"/>
  </r>
  <r>
    <x v="2"/>
    <x v="0"/>
    <x v="2"/>
    <n v="59"/>
    <n v="4"/>
    <n v="6.78"/>
    <n v="57.01"/>
    <n v="3363.59"/>
  </r>
  <r>
    <x v="2"/>
    <x v="0"/>
    <x v="2"/>
    <n v="245"/>
    <n v="18"/>
    <n v="7.35"/>
    <n v="51.6"/>
    <n v="12642"/>
  </r>
  <r>
    <x v="2"/>
    <x v="0"/>
    <x v="2"/>
    <n v="140"/>
    <n v="13"/>
    <n v="9.2899999999999991"/>
    <n v="63.23"/>
    <n v="8852.2000000000007"/>
  </r>
  <r>
    <x v="1"/>
    <x v="0"/>
    <x v="2"/>
    <n v="96"/>
    <n v="0"/>
    <n v="0"/>
    <n v="31.92"/>
    <n v="3064.32"/>
  </r>
  <r>
    <x v="2"/>
    <x v="0"/>
    <x v="2"/>
    <n v="162"/>
    <n v="5"/>
    <n v="3.09"/>
    <n v="30.84"/>
    <n v="4996.08"/>
  </r>
  <r>
    <x v="1"/>
    <x v="0"/>
    <x v="2"/>
    <n v="249"/>
    <n v="23"/>
    <n v="9.24"/>
    <n v="11.59"/>
    <n v="2885.91"/>
  </r>
  <r>
    <x v="1"/>
    <x v="0"/>
    <x v="1"/>
    <n v="229"/>
    <n v="18"/>
    <n v="7.86"/>
    <n v="10.029999999999999"/>
    <n v="2296.87"/>
  </r>
  <r>
    <x v="0"/>
    <x v="0"/>
    <x v="2"/>
    <n v="184"/>
    <n v="1"/>
    <n v="0.54"/>
    <n v="11.72"/>
    <n v="2156.48"/>
  </r>
  <r>
    <x v="1"/>
    <x v="0"/>
    <x v="1"/>
    <n v="156"/>
    <n v="11"/>
    <n v="7.05"/>
    <n v="6.61"/>
    <n v="1031.1600000000001"/>
  </r>
  <r>
    <x v="1"/>
    <x v="0"/>
    <x v="2"/>
    <n v="257"/>
    <n v="14"/>
    <n v="5.45"/>
    <n v="67.849999999999994"/>
    <n v="17437.45"/>
  </r>
  <r>
    <x v="1"/>
    <x v="0"/>
    <x v="1"/>
    <n v="225"/>
    <n v="16"/>
    <n v="7.11"/>
    <n v="8.6999999999999993"/>
    <n v="1957.5"/>
  </r>
  <r>
    <x v="0"/>
    <x v="0"/>
    <x v="2"/>
    <n v="172"/>
    <n v="7"/>
    <n v="4.07"/>
    <n v="26.86"/>
    <n v="4619.92"/>
  </r>
  <r>
    <x v="2"/>
    <x v="0"/>
    <x v="2"/>
    <n v="189"/>
    <n v="9"/>
    <n v="4.76"/>
    <n v="66"/>
    <n v="12474"/>
  </r>
  <r>
    <x v="1"/>
    <x v="0"/>
    <x v="1"/>
    <n v="102"/>
    <n v="6"/>
    <n v="5.88"/>
    <n v="62.23"/>
    <n v="6347.46"/>
  </r>
  <r>
    <x v="1"/>
    <x v="0"/>
    <x v="2"/>
    <n v="259"/>
    <n v="23"/>
    <n v="8.8800000000000008"/>
    <n v="33.89"/>
    <n v="8777.51"/>
  </r>
  <r>
    <x v="1"/>
    <x v="0"/>
    <x v="1"/>
    <n v="251"/>
    <n v="18"/>
    <n v="7.17"/>
    <n v="27.97"/>
    <n v="7020.47"/>
  </r>
  <r>
    <x v="1"/>
    <x v="0"/>
    <x v="2"/>
    <n v="151"/>
    <n v="11"/>
    <n v="7.28"/>
    <n v="25.68"/>
    <n v="3877.68"/>
  </r>
  <r>
    <x v="3"/>
    <x v="0"/>
    <x v="2"/>
    <n v="106"/>
    <n v="4"/>
    <n v="3.77"/>
    <n v="63.22"/>
    <n v="6701.32"/>
  </r>
  <r>
    <x v="0"/>
    <x v="0"/>
    <x v="0"/>
    <n v="56"/>
    <n v="4"/>
    <n v="7.14"/>
    <n v="35.83"/>
    <n v="2006.48"/>
  </r>
  <r>
    <x v="0"/>
    <x v="0"/>
    <x v="0"/>
    <n v="95"/>
    <n v="6"/>
    <n v="6.32"/>
    <n v="23.98"/>
    <n v="2278.1"/>
  </r>
  <r>
    <x v="1"/>
    <x v="0"/>
    <x v="2"/>
    <n v="225"/>
    <n v="5"/>
    <n v="2.2200000000000002"/>
    <n v="10.32"/>
    <n v="2322"/>
  </r>
  <r>
    <x v="3"/>
    <x v="0"/>
    <x v="2"/>
    <n v="62"/>
    <n v="2"/>
    <n v="3.23"/>
    <n v="43.19"/>
    <n v="2677.78"/>
  </r>
  <r>
    <x v="1"/>
    <x v="0"/>
    <x v="1"/>
    <n v="206"/>
    <n v="2"/>
    <n v="0.97"/>
    <n v="10.1"/>
    <n v="2080.6"/>
  </r>
  <r>
    <x v="0"/>
    <x v="0"/>
    <x v="2"/>
    <n v="179"/>
    <n v="16"/>
    <n v="8.94"/>
    <n v="32.71"/>
    <n v="5855.09"/>
  </r>
  <r>
    <x v="3"/>
    <x v="0"/>
    <x v="2"/>
    <n v="147"/>
    <n v="7"/>
    <n v="4.76"/>
    <n v="63.77"/>
    <n v="9374.19"/>
  </r>
  <r>
    <x v="3"/>
    <x v="0"/>
    <x v="2"/>
    <n v="251"/>
    <n v="14"/>
    <n v="5.58"/>
    <n v="27.01"/>
    <n v="6779.51"/>
  </r>
  <r>
    <x v="2"/>
    <x v="0"/>
    <x v="2"/>
    <n v="130"/>
    <n v="11"/>
    <n v="8.4600000000000009"/>
    <n v="36.950000000000003"/>
    <n v="4803.5"/>
  </r>
  <r>
    <x v="3"/>
    <x v="0"/>
    <x v="2"/>
    <n v="277"/>
    <n v="20"/>
    <n v="7.22"/>
    <n v="36.11"/>
    <n v="10002.469999999999"/>
  </r>
  <r>
    <x v="1"/>
    <x v="0"/>
    <x v="1"/>
    <n v="155"/>
    <n v="0"/>
    <n v="0"/>
    <n v="52.63"/>
    <n v="8157.65"/>
  </r>
  <r>
    <x v="1"/>
    <x v="0"/>
    <x v="1"/>
    <n v="157"/>
    <n v="4"/>
    <n v="2.5499999999999998"/>
    <n v="24.08"/>
    <n v="3780.56"/>
  </r>
  <r>
    <x v="0"/>
    <x v="0"/>
    <x v="2"/>
    <n v="190"/>
    <n v="12"/>
    <n v="6.32"/>
    <n v="65.709999999999994"/>
    <n v="12484.9"/>
  </r>
  <r>
    <x v="2"/>
    <x v="0"/>
    <x v="2"/>
    <n v="61"/>
    <n v="6"/>
    <n v="9.84"/>
    <n v="25.11"/>
    <n v="1531.71"/>
  </r>
  <r>
    <x v="3"/>
    <x v="0"/>
    <x v="2"/>
    <n v="295"/>
    <n v="6"/>
    <n v="2.0299999999999998"/>
    <n v="18.329999999999998"/>
    <n v="5407.35"/>
  </r>
  <r>
    <x v="3"/>
    <x v="0"/>
    <x v="2"/>
    <n v="84"/>
    <n v="1"/>
    <n v="1.19"/>
    <n v="61.89"/>
    <n v="5198.76"/>
  </r>
  <r>
    <x v="3"/>
    <x v="0"/>
    <x v="2"/>
    <n v="146"/>
    <n v="9"/>
    <n v="6.16"/>
    <n v="49.61"/>
    <n v="7243.06"/>
  </r>
  <r>
    <x v="0"/>
    <x v="0"/>
    <x v="0"/>
    <n v="99"/>
    <n v="1"/>
    <n v="1.01"/>
    <n v="11.91"/>
    <n v="1179.0899999999999"/>
  </r>
  <r>
    <x v="0"/>
    <x v="0"/>
    <x v="0"/>
    <n v="95"/>
    <n v="0"/>
    <n v="0"/>
    <n v="6.35"/>
    <n v="603.25"/>
  </r>
  <r>
    <x v="0"/>
    <x v="0"/>
    <x v="2"/>
    <n v="217"/>
    <n v="2"/>
    <n v="0.92"/>
    <n v="41.31"/>
    <n v="8964.27"/>
  </r>
  <r>
    <x v="1"/>
    <x v="0"/>
    <x v="2"/>
    <n v="108"/>
    <n v="0"/>
    <n v="0"/>
    <n v="58.95"/>
    <n v="6366.6"/>
  </r>
  <r>
    <x v="0"/>
    <x v="0"/>
    <x v="2"/>
    <n v="152"/>
    <n v="1"/>
    <n v="0.66"/>
    <n v="11.7"/>
    <n v="1778.4"/>
  </r>
  <r>
    <x v="1"/>
    <x v="0"/>
    <x v="1"/>
    <n v="70"/>
    <n v="7"/>
    <n v="10"/>
    <n v="5.98"/>
    <n v="418.6"/>
  </r>
  <r>
    <x v="3"/>
    <x v="0"/>
    <x v="2"/>
    <n v="208"/>
    <n v="0"/>
    <n v="0"/>
    <n v="6.88"/>
    <n v="1431.04"/>
  </r>
  <r>
    <x v="1"/>
    <x v="0"/>
    <x v="2"/>
    <n v="253"/>
    <n v="7"/>
    <n v="2.77"/>
    <n v="23.63"/>
    <n v="5978.39"/>
  </r>
  <r>
    <x v="0"/>
    <x v="0"/>
    <x v="2"/>
    <n v="128"/>
    <n v="12"/>
    <n v="9.3800000000000008"/>
    <n v="69.45"/>
    <n v="8889.6"/>
  </r>
  <r>
    <x v="0"/>
    <x v="0"/>
    <x v="2"/>
    <n v="225"/>
    <n v="6"/>
    <n v="2.67"/>
    <n v="17.88"/>
    <n v="4023"/>
  </r>
  <r>
    <x v="1"/>
    <x v="0"/>
    <x v="2"/>
    <n v="263"/>
    <n v="21"/>
    <n v="7.98"/>
    <n v="21.14"/>
    <n v="5559.82"/>
  </r>
  <r>
    <x v="1"/>
    <x v="0"/>
    <x v="1"/>
    <n v="299"/>
    <n v="18"/>
    <n v="6.02"/>
    <n v="61.05"/>
    <n v="18253.95"/>
  </r>
  <r>
    <x v="0"/>
    <x v="0"/>
    <x v="0"/>
    <n v="58"/>
    <n v="4"/>
    <n v="6.9"/>
    <n v="32.659999999999997"/>
    <n v="1894.28"/>
  </r>
  <r>
    <x v="2"/>
    <x v="0"/>
    <x v="2"/>
    <n v="196"/>
    <n v="3"/>
    <n v="1.53"/>
    <n v="68.45"/>
    <n v="13416.2"/>
  </r>
  <r>
    <x v="2"/>
    <x v="0"/>
    <x v="2"/>
    <n v="237"/>
    <n v="22"/>
    <n v="9.2799999999999994"/>
    <n v="20.57"/>
    <n v="4875.09"/>
  </r>
  <r>
    <x v="3"/>
    <x v="0"/>
    <x v="2"/>
    <n v="237"/>
    <n v="16"/>
    <n v="6.75"/>
    <n v="10.57"/>
    <n v="2505.09"/>
  </r>
  <r>
    <x v="3"/>
    <x v="0"/>
    <x v="2"/>
    <n v="228"/>
    <n v="10"/>
    <n v="4.3899999999999997"/>
    <n v="69.27"/>
    <n v="15793.56"/>
  </r>
  <r>
    <x v="2"/>
    <x v="0"/>
    <x v="2"/>
    <n v="138"/>
    <n v="6"/>
    <n v="4.3499999999999996"/>
    <n v="47.83"/>
    <n v="6600.54"/>
  </r>
  <r>
    <x v="1"/>
    <x v="0"/>
    <x v="1"/>
    <n v="192"/>
    <n v="0"/>
    <n v="0"/>
    <n v="47.06"/>
    <n v="9035.52"/>
  </r>
  <r>
    <x v="1"/>
    <x v="0"/>
    <x v="2"/>
    <n v="297"/>
    <n v="21"/>
    <n v="7.07"/>
    <n v="62.92"/>
    <n v="18687.240000000002"/>
  </r>
  <r>
    <x v="0"/>
    <x v="0"/>
    <x v="0"/>
    <n v="83"/>
    <n v="3"/>
    <n v="3.61"/>
    <n v="32.5"/>
    <n v="2697.5"/>
  </r>
  <r>
    <x v="0"/>
    <x v="0"/>
    <x v="2"/>
    <n v="93"/>
    <n v="2"/>
    <n v="2.15"/>
    <n v="13.01"/>
    <n v="1209.93"/>
  </r>
  <r>
    <x v="0"/>
    <x v="0"/>
    <x v="0"/>
    <n v="187"/>
    <n v="7"/>
    <n v="3.74"/>
    <n v="47.77"/>
    <n v="8932.99"/>
  </r>
  <r>
    <x v="2"/>
    <x v="0"/>
    <x v="2"/>
    <n v="182"/>
    <n v="8"/>
    <n v="4.4000000000000004"/>
    <n v="39.47"/>
    <n v="7183.54"/>
  </r>
  <r>
    <x v="0"/>
    <x v="0"/>
    <x v="2"/>
    <n v="105"/>
    <n v="9"/>
    <n v="8.57"/>
    <n v="65.53"/>
    <n v="6880.65"/>
  </r>
  <r>
    <x v="0"/>
    <x v="0"/>
    <x v="2"/>
    <n v="57"/>
    <n v="5"/>
    <n v="8.77"/>
    <n v="45.28"/>
    <n v="2580.96"/>
  </r>
  <r>
    <x v="0"/>
    <x v="0"/>
    <x v="2"/>
    <n v="255"/>
    <n v="21"/>
    <n v="8.24"/>
    <n v="36.5"/>
    <n v="9307.5"/>
  </r>
  <r>
    <x v="2"/>
    <x v="0"/>
    <x v="2"/>
    <n v="169"/>
    <n v="1"/>
    <n v="0.59"/>
    <n v="54.51"/>
    <n v="9212.19"/>
  </r>
  <r>
    <x v="0"/>
    <x v="0"/>
    <x v="0"/>
    <n v="94"/>
    <n v="3"/>
    <n v="3.19"/>
    <n v="49.05"/>
    <n v="4610.7"/>
  </r>
  <r>
    <x v="3"/>
    <x v="0"/>
    <x v="2"/>
    <n v="90"/>
    <n v="9"/>
    <n v="10"/>
    <n v="33.869999999999997"/>
    <n v="3048.3"/>
  </r>
  <r>
    <x v="1"/>
    <x v="0"/>
    <x v="2"/>
    <n v="217"/>
    <n v="5"/>
    <n v="2.2999999999999998"/>
    <n v="55.91"/>
    <n v="12132.47"/>
  </r>
  <r>
    <x v="0"/>
    <x v="0"/>
    <x v="0"/>
    <n v="216"/>
    <n v="8"/>
    <n v="3.7"/>
    <n v="18.96"/>
    <n v="4095.36"/>
  </r>
  <r>
    <x v="0"/>
    <x v="0"/>
    <x v="2"/>
    <n v="300"/>
    <n v="9"/>
    <n v="3"/>
    <n v="52.75"/>
    <n v="15825"/>
  </r>
  <r>
    <x v="0"/>
    <x v="0"/>
    <x v="2"/>
    <n v="109"/>
    <n v="6"/>
    <n v="5.5"/>
    <n v="55.54"/>
    <n v="6053.86"/>
  </r>
  <r>
    <x v="2"/>
    <x v="0"/>
    <x v="2"/>
    <n v="72"/>
    <n v="6"/>
    <n v="8.33"/>
    <n v="55.59"/>
    <n v="4002.48"/>
  </r>
  <r>
    <x v="3"/>
    <x v="0"/>
    <x v="2"/>
    <n v="154"/>
    <n v="6"/>
    <n v="3.9"/>
    <n v="63.6"/>
    <n v="9794.4"/>
  </r>
  <r>
    <x v="3"/>
    <x v="0"/>
    <x v="2"/>
    <n v="100"/>
    <n v="1"/>
    <n v="1"/>
    <n v="29.69"/>
    <n v="2969"/>
  </r>
  <r>
    <x v="1"/>
    <x v="0"/>
    <x v="1"/>
    <n v="124"/>
    <n v="9"/>
    <n v="7.26"/>
    <n v="25.62"/>
    <n v="3176.88"/>
  </r>
  <r>
    <x v="1"/>
    <x v="0"/>
    <x v="2"/>
    <n v="160"/>
    <n v="16"/>
    <n v="10"/>
    <n v="21.88"/>
    <n v="3500.8"/>
  </r>
  <r>
    <x v="0"/>
    <x v="0"/>
    <x v="0"/>
    <n v="50"/>
    <n v="5"/>
    <n v="10"/>
    <n v="34.81"/>
    <n v="1740.5"/>
  </r>
  <r>
    <x v="2"/>
    <x v="0"/>
    <x v="2"/>
    <n v="156"/>
    <n v="3"/>
    <n v="1.92"/>
    <n v="46.28"/>
    <n v="7219.68"/>
  </r>
  <r>
    <x v="1"/>
    <x v="0"/>
    <x v="2"/>
    <n v="258"/>
    <n v="12"/>
    <n v="4.6500000000000004"/>
    <n v="37.31"/>
    <n v="9625.98"/>
  </r>
  <r>
    <x v="0"/>
    <x v="0"/>
    <x v="0"/>
    <n v="274"/>
    <n v="24"/>
    <n v="8.76"/>
    <n v="56.97"/>
    <n v="15609.78"/>
  </r>
  <r>
    <x v="3"/>
    <x v="0"/>
    <x v="2"/>
    <n v="218"/>
    <n v="3"/>
    <n v="1.38"/>
    <n v="52.34"/>
    <n v="11410.12"/>
  </r>
  <r>
    <x v="1"/>
    <x v="0"/>
    <x v="2"/>
    <n v="269"/>
    <n v="21"/>
    <n v="7.81"/>
    <n v="48.8"/>
    <n v="13127.2"/>
  </r>
  <r>
    <x v="1"/>
    <x v="0"/>
    <x v="1"/>
    <n v="122"/>
    <n v="2"/>
    <n v="1.64"/>
    <n v="46.89"/>
    <n v="5720.58"/>
  </r>
  <r>
    <x v="3"/>
    <x v="0"/>
    <x v="2"/>
    <n v="199"/>
    <n v="7"/>
    <n v="3.52"/>
    <n v="43.2"/>
    <n v="8596.7999999999993"/>
  </r>
  <r>
    <x v="3"/>
    <x v="0"/>
    <x v="2"/>
    <n v="70"/>
    <n v="3"/>
    <n v="4.29"/>
    <n v="8.14"/>
    <n v="569.79999999999995"/>
  </r>
  <r>
    <x v="0"/>
    <x v="0"/>
    <x v="0"/>
    <n v="202"/>
    <n v="13"/>
    <n v="6.44"/>
    <n v="47.12"/>
    <n v="9518.24"/>
  </r>
  <r>
    <x v="2"/>
    <x v="0"/>
    <x v="2"/>
    <n v="56"/>
    <n v="2"/>
    <n v="3.57"/>
    <n v="28.02"/>
    <n v="1569.12"/>
  </r>
  <r>
    <x v="3"/>
    <x v="0"/>
    <x v="2"/>
    <n v="60"/>
    <n v="3"/>
    <n v="5"/>
    <n v="20.94"/>
    <n v="1256.4000000000001"/>
  </r>
  <r>
    <x v="2"/>
    <x v="0"/>
    <x v="2"/>
    <n v="106"/>
    <n v="8"/>
    <n v="7.55"/>
    <n v="56.06"/>
    <n v="5942.36"/>
  </r>
  <r>
    <x v="0"/>
    <x v="0"/>
    <x v="0"/>
    <n v="121"/>
    <n v="10"/>
    <n v="8.26"/>
    <n v="45.73"/>
    <n v="5533.33"/>
  </r>
  <r>
    <x v="0"/>
    <x v="0"/>
    <x v="0"/>
    <n v="123"/>
    <n v="10"/>
    <n v="8.1300000000000008"/>
    <n v="18.72"/>
    <n v="2302.56"/>
  </r>
  <r>
    <x v="0"/>
    <x v="0"/>
    <x v="0"/>
    <n v="230"/>
    <n v="11"/>
    <n v="4.78"/>
    <n v="34.299999999999997"/>
    <n v="7889"/>
  </r>
  <r>
    <x v="1"/>
    <x v="0"/>
    <x v="2"/>
    <n v="101"/>
    <n v="8"/>
    <n v="7.92"/>
    <n v="12.99"/>
    <n v="1311.99"/>
  </r>
  <r>
    <x v="1"/>
    <x v="0"/>
    <x v="2"/>
    <n v="233"/>
    <n v="8"/>
    <n v="3.43"/>
    <n v="34.090000000000003"/>
    <n v="7942.97"/>
  </r>
  <r>
    <x v="3"/>
    <x v="0"/>
    <x v="2"/>
    <n v="260"/>
    <n v="7"/>
    <n v="2.69"/>
    <n v="36.880000000000003"/>
    <n v="9588.7999999999993"/>
  </r>
  <r>
    <x v="0"/>
    <x v="0"/>
    <x v="2"/>
    <n v="259"/>
    <n v="1"/>
    <n v="0.39"/>
    <n v="68.69"/>
    <n v="17790.71"/>
  </r>
  <r>
    <x v="0"/>
    <x v="0"/>
    <x v="2"/>
    <n v="187"/>
    <n v="17"/>
    <n v="9.09"/>
    <n v="11.07"/>
    <n v="2070.09"/>
  </r>
  <r>
    <x v="1"/>
    <x v="0"/>
    <x v="2"/>
    <n v="137"/>
    <n v="13"/>
    <n v="9.49"/>
    <n v="46.85"/>
    <n v="6418.45"/>
  </r>
  <r>
    <x v="1"/>
    <x v="0"/>
    <x v="2"/>
    <n v="249"/>
    <n v="23"/>
    <n v="9.24"/>
    <n v="10.02"/>
    <n v="2494.98"/>
  </r>
  <r>
    <x v="0"/>
    <x v="0"/>
    <x v="2"/>
    <n v="167"/>
    <n v="14"/>
    <n v="8.3800000000000008"/>
    <n v="62.96"/>
    <n v="10514.32"/>
  </r>
  <r>
    <x v="0"/>
    <x v="0"/>
    <x v="0"/>
    <n v="261"/>
    <n v="19"/>
    <n v="7.28"/>
    <n v="9.9700000000000006"/>
    <n v="2602.17"/>
  </r>
  <r>
    <x v="1"/>
    <x v="0"/>
    <x v="2"/>
    <n v="89"/>
    <n v="2"/>
    <n v="2.25"/>
    <n v="35.1"/>
    <n v="3123.9"/>
  </r>
  <r>
    <x v="1"/>
    <x v="0"/>
    <x v="1"/>
    <n v="128"/>
    <n v="11"/>
    <n v="8.59"/>
    <n v="32.450000000000003"/>
    <n v="4153.6000000000004"/>
  </r>
  <r>
    <x v="0"/>
    <x v="0"/>
    <x v="2"/>
    <n v="108"/>
    <n v="5"/>
    <n v="4.63"/>
    <n v="59.62"/>
    <n v="6438.96"/>
  </r>
  <r>
    <x v="2"/>
    <x v="0"/>
    <x v="2"/>
    <n v="199"/>
    <n v="12"/>
    <n v="6.03"/>
    <n v="49.62"/>
    <n v="9874.3799999999992"/>
  </r>
  <r>
    <x v="1"/>
    <x v="0"/>
    <x v="2"/>
    <n v="116"/>
    <n v="0"/>
    <n v="0"/>
    <n v="51.24"/>
    <n v="5943.84"/>
  </r>
  <r>
    <x v="1"/>
    <x v="0"/>
    <x v="1"/>
    <n v="169"/>
    <n v="12"/>
    <n v="7.1"/>
    <n v="27.91"/>
    <n v="4716.79"/>
  </r>
  <r>
    <x v="1"/>
    <x v="0"/>
    <x v="1"/>
    <n v="114"/>
    <n v="0"/>
    <n v="0"/>
    <n v="16.36"/>
    <n v="1865.04"/>
  </r>
  <r>
    <x v="3"/>
    <x v="0"/>
    <x v="2"/>
    <n v="76"/>
    <n v="3"/>
    <n v="3.95"/>
    <n v="25.66"/>
    <n v="1950.16"/>
  </r>
  <r>
    <x v="2"/>
    <x v="0"/>
    <x v="2"/>
    <n v="83"/>
    <n v="8"/>
    <n v="9.64"/>
    <n v="55.6"/>
    <n v="4614.8"/>
  </r>
  <r>
    <x v="0"/>
    <x v="0"/>
    <x v="0"/>
    <n v="176"/>
    <n v="14"/>
    <n v="7.95"/>
    <n v="48.94"/>
    <n v="8613.44"/>
  </r>
  <r>
    <x v="0"/>
    <x v="0"/>
    <x v="2"/>
    <n v="150"/>
    <n v="1"/>
    <n v="0.67"/>
    <n v="10.050000000000001"/>
    <n v="1507.5"/>
  </r>
  <r>
    <x v="2"/>
    <x v="0"/>
    <x v="2"/>
    <n v="75"/>
    <n v="3"/>
    <n v="4"/>
    <n v="31.34"/>
    <n v="2350.5"/>
  </r>
  <r>
    <x v="0"/>
    <x v="0"/>
    <x v="0"/>
    <n v="225"/>
    <n v="5"/>
    <n v="2.2200000000000002"/>
    <n v="56.89"/>
    <n v="12800.25"/>
  </r>
  <r>
    <x v="1"/>
    <x v="0"/>
    <x v="2"/>
    <n v="241"/>
    <n v="11"/>
    <n v="4.5599999999999996"/>
    <n v="58.53"/>
    <n v="14105.73"/>
  </r>
  <r>
    <x v="3"/>
    <x v="0"/>
    <x v="2"/>
    <n v="273"/>
    <n v="11"/>
    <n v="4.03"/>
    <n v="63.72"/>
    <n v="17395.560000000001"/>
  </r>
  <r>
    <x v="1"/>
    <x v="0"/>
    <x v="2"/>
    <n v="152"/>
    <n v="3"/>
    <n v="1.97"/>
    <n v="5.77"/>
    <n v="877.04"/>
  </r>
  <r>
    <x v="2"/>
    <x v="0"/>
    <x v="2"/>
    <n v="297"/>
    <n v="4"/>
    <n v="1.35"/>
    <n v="9.15"/>
    <n v="2717.55"/>
  </r>
  <r>
    <x v="1"/>
    <x v="0"/>
    <x v="2"/>
    <n v="112"/>
    <n v="10"/>
    <n v="8.93"/>
    <n v="6.7"/>
    <n v="750.4"/>
  </r>
  <r>
    <x v="1"/>
    <x v="0"/>
    <x v="2"/>
    <n v="132"/>
    <n v="12"/>
    <n v="9.09"/>
    <n v="29.96"/>
    <n v="3954.72"/>
  </r>
  <r>
    <x v="3"/>
    <x v="0"/>
    <x v="2"/>
    <n v="184"/>
    <n v="13"/>
    <n v="7.07"/>
    <n v="62.63"/>
    <n v="11523.92"/>
  </r>
  <r>
    <x v="3"/>
    <x v="0"/>
    <x v="2"/>
    <n v="199"/>
    <n v="0"/>
    <n v="0"/>
    <n v="54.04"/>
    <n v="10753.96"/>
  </r>
  <r>
    <x v="0"/>
    <x v="0"/>
    <x v="0"/>
    <n v="249"/>
    <n v="12"/>
    <n v="4.82"/>
    <n v="27.13"/>
    <n v="6755.37"/>
  </r>
  <r>
    <x v="1"/>
    <x v="0"/>
    <x v="1"/>
    <n v="269"/>
    <n v="8"/>
    <n v="2.97"/>
    <n v="69.5"/>
    <n v="18695.5"/>
  </r>
  <r>
    <x v="2"/>
    <x v="0"/>
    <x v="2"/>
    <n v="87"/>
    <n v="8"/>
    <n v="9.1999999999999993"/>
    <n v="6.91"/>
    <n v="601.16999999999996"/>
  </r>
  <r>
    <x v="1"/>
    <x v="0"/>
    <x v="1"/>
    <n v="77"/>
    <n v="4"/>
    <n v="5.19"/>
    <n v="25.53"/>
    <n v="1965.81"/>
  </r>
  <r>
    <x v="1"/>
    <x v="0"/>
    <x v="2"/>
    <n v="201"/>
    <n v="13"/>
    <n v="6.47"/>
    <n v="63.41"/>
    <n v="12745.41"/>
  </r>
  <r>
    <x v="0"/>
    <x v="0"/>
    <x v="0"/>
    <n v="300"/>
    <n v="22"/>
    <n v="7.33"/>
    <n v="31.35"/>
    <n v="9405"/>
  </r>
  <r>
    <x v="1"/>
    <x v="0"/>
    <x v="2"/>
    <n v="56"/>
    <n v="3"/>
    <n v="5.36"/>
    <n v="24.85"/>
    <n v="1391.6"/>
  </r>
  <r>
    <x v="3"/>
    <x v="0"/>
    <x v="2"/>
    <n v="131"/>
    <n v="5"/>
    <n v="3.82"/>
    <n v="60"/>
    <n v="7860"/>
  </r>
  <r>
    <x v="2"/>
    <x v="0"/>
    <x v="2"/>
    <n v="82"/>
    <n v="0"/>
    <n v="0"/>
    <n v="65.900000000000006"/>
    <n v="5403.8"/>
  </r>
  <r>
    <x v="0"/>
    <x v="0"/>
    <x v="0"/>
    <n v="179"/>
    <n v="10"/>
    <n v="5.59"/>
    <n v="36.51"/>
    <n v="6535.29"/>
  </r>
  <r>
    <x v="0"/>
    <x v="0"/>
    <x v="2"/>
    <n v="118"/>
    <n v="10"/>
    <n v="8.4700000000000006"/>
    <n v="53.49"/>
    <n v="6311.82"/>
  </r>
  <r>
    <x v="2"/>
    <x v="0"/>
    <x v="2"/>
    <n v="262"/>
    <n v="17"/>
    <n v="6.49"/>
    <n v="66.430000000000007"/>
    <n v="17404.66"/>
  </r>
  <r>
    <x v="2"/>
    <x v="0"/>
    <x v="2"/>
    <n v="286"/>
    <n v="18"/>
    <n v="6.29"/>
    <n v="17.510000000000002"/>
    <n v="5007.8599999999997"/>
  </r>
  <r>
    <x v="3"/>
    <x v="0"/>
    <x v="2"/>
    <n v="142"/>
    <n v="5"/>
    <n v="3.52"/>
    <n v="64.41"/>
    <n v="9146.2199999999993"/>
  </r>
  <r>
    <x v="0"/>
    <x v="0"/>
    <x v="0"/>
    <n v="167"/>
    <n v="6"/>
    <n v="3.59"/>
    <n v="11.94"/>
    <n v="1993.98"/>
  </r>
  <r>
    <x v="2"/>
    <x v="0"/>
    <x v="2"/>
    <n v="214"/>
    <n v="18"/>
    <n v="8.41"/>
    <n v="63.54"/>
    <n v="13597.56"/>
  </r>
  <r>
    <x v="2"/>
    <x v="0"/>
    <x v="2"/>
    <n v="280"/>
    <n v="7"/>
    <n v="2.5"/>
    <n v="46.67"/>
    <n v="13067.6"/>
  </r>
  <r>
    <x v="2"/>
    <x v="0"/>
    <x v="2"/>
    <n v="258"/>
    <n v="21"/>
    <n v="8.14"/>
    <n v="68.680000000000007"/>
    <n v="17719.439999999999"/>
  </r>
  <r>
    <x v="1"/>
    <x v="0"/>
    <x v="2"/>
    <n v="248"/>
    <n v="2"/>
    <n v="0.81"/>
    <n v="13.82"/>
    <n v="3427.36"/>
  </r>
  <r>
    <x v="2"/>
    <x v="0"/>
    <x v="2"/>
    <n v="72"/>
    <n v="7"/>
    <n v="9.7200000000000006"/>
    <n v="47.27"/>
    <n v="3403.44"/>
  </r>
  <r>
    <x v="0"/>
    <x v="0"/>
    <x v="2"/>
    <n v="143"/>
    <n v="3"/>
    <n v="2.1"/>
    <n v="34.25"/>
    <n v="4897.75"/>
  </r>
  <r>
    <x v="0"/>
    <x v="0"/>
    <x v="0"/>
    <n v="262"/>
    <n v="18"/>
    <n v="6.87"/>
    <n v="52.62"/>
    <n v="13786.44"/>
  </r>
  <r>
    <x v="3"/>
    <x v="0"/>
    <x v="2"/>
    <n v="63"/>
    <n v="1"/>
    <n v="1.59"/>
    <n v="34.11"/>
    <n v="2148.9299999999998"/>
  </r>
  <r>
    <x v="1"/>
    <x v="0"/>
    <x v="1"/>
    <n v="57"/>
    <n v="5"/>
    <n v="8.77"/>
    <n v="60.51"/>
    <n v="3449.07"/>
  </r>
  <r>
    <x v="1"/>
    <x v="0"/>
    <x v="2"/>
    <n v="206"/>
    <n v="20"/>
    <n v="9.7100000000000009"/>
    <n v="30.53"/>
    <n v="6289.18"/>
  </r>
  <r>
    <x v="0"/>
    <x v="0"/>
    <x v="0"/>
    <n v="291"/>
    <n v="23"/>
    <n v="7.9"/>
    <n v="25.37"/>
    <n v="7382.67"/>
  </r>
  <r>
    <x v="1"/>
    <x v="0"/>
    <x v="1"/>
    <n v="91"/>
    <n v="3"/>
    <n v="3.3"/>
    <n v="27.38"/>
    <n v="2491.58"/>
  </r>
  <r>
    <x v="1"/>
    <x v="0"/>
    <x v="2"/>
    <n v="51"/>
    <n v="1"/>
    <n v="1.96"/>
    <n v="59.07"/>
    <n v="3012.57"/>
  </r>
  <r>
    <x v="1"/>
    <x v="0"/>
    <x v="1"/>
    <n v="152"/>
    <n v="6"/>
    <n v="3.95"/>
    <n v="26.24"/>
    <n v="3988.48"/>
  </r>
  <r>
    <x v="2"/>
    <x v="0"/>
    <x v="2"/>
    <n v="234"/>
    <n v="4"/>
    <n v="1.71"/>
    <n v="52.77"/>
    <n v="12348.18"/>
  </r>
  <r>
    <x v="0"/>
    <x v="0"/>
    <x v="2"/>
    <n v="240"/>
    <n v="15"/>
    <n v="6.25"/>
    <n v="51.01"/>
    <n v="12242.4"/>
  </r>
  <r>
    <x v="1"/>
    <x v="0"/>
    <x v="1"/>
    <n v="95"/>
    <n v="8"/>
    <n v="8.42"/>
    <n v="33.97"/>
    <n v="3227.15"/>
  </r>
  <r>
    <x v="0"/>
    <x v="0"/>
    <x v="0"/>
    <n v="75"/>
    <n v="2"/>
    <n v="2.67"/>
    <n v="8.94"/>
    <n v="670.5"/>
  </r>
  <r>
    <x v="2"/>
    <x v="0"/>
    <x v="2"/>
    <n v="263"/>
    <n v="19"/>
    <n v="7.22"/>
    <n v="14.93"/>
    <n v="3926.59"/>
  </r>
  <r>
    <x v="2"/>
    <x v="0"/>
    <x v="2"/>
    <n v="203"/>
    <n v="5"/>
    <n v="2.46"/>
    <n v="48.19"/>
    <n v="9782.57"/>
  </r>
  <r>
    <x v="1"/>
    <x v="0"/>
    <x v="2"/>
    <n v="224"/>
    <n v="10"/>
    <n v="4.46"/>
    <n v="40.74"/>
    <n v="9125.76"/>
  </r>
  <r>
    <x v="1"/>
    <x v="0"/>
    <x v="2"/>
    <n v="161"/>
    <n v="15"/>
    <n v="9.32"/>
    <n v="55.89"/>
    <n v="8998.2900000000009"/>
  </r>
  <r>
    <x v="1"/>
    <x v="0"/>
    <x v="1"/>
    <n v="163"/>
    <n v="0"/>
    <n v="0"/>
    <n v="19.07"/>
    <n v="3108.41"/>
  </r>
  <r>
    <x v="1"/>
    <x v="0"/>
    <x v="1"/>
    <n v="278"/>
    <n v="1"/>
    <n v="0.36"/>
    <n v="41.61"/>
    <n v="11567.58"/>
  </r>
  <r>
    <x v="0"/>
    <x v="0"/>
    <x v="0"/>
    <n v="245"/>
    <n v="6"/>
    <n v="2.4500000000000002"/>
    <n v="34.4"/>
    <n v="8428"/>
  </r>
  <r>
    <x v="3"/>
    <x v="0"/>
    <x v="2"/>
    <n v="135"/>
    <n v="6"/>
    <n v="4.4400000000000004"/>
    <n v="46.36"/>
    <n v="6258.6"/>
  </r>
  <r>
    <x v="0"/>
    <x v="0"/>
    <x v="0"/>
    <n v="115"/>
    <n v="10"/>
    <n v="8.6999999999999993"/>
    <n v="14.77"/>
    <n v="1698.55"/>
  </r>
  <r>
    <x v="0"/>
    <x v="0"/>
    <x v="0"/>
    <n v="265"/>
    <n v="23"/>
    <n v="8.68"/>
    <n v="42.78"/>
    <n v="11336.7"/>
  </r>
  <r>
    <x v="2"/>
    <x v="0"/>
    <x v="2"/>
    <n v="248"/>
    <n v="17"/>
    <n v="6.85"/>
    <n v="27.54"/>
    <n v="6829.92"/>
  </r>
  <r>
    <x v="3"/>
    <x v="0"/>
    <x v="2"/>
    <n v="158"/>
    <n v="9"/>
    <n v="5.7"/>
    <n v="60.62"/>
    <n v="9577.9599999999991"/>
  </r>
  <r>
    <x v="2"/>
    <x v="0"/>
    <x v="2"/>
    <n v="55"/>
    <n v="4"/>
    <n v="7.27"/>
    <n v="30.48"/>
    <n v="1676.4"/>
  </r>
  <r>
    <x v="0"/>
    <x v="0"/>
    <x v="2"/>
    <n v="278"/>
    <n v="25"/>
    <n v="8.99"/>
    <n v="10.98"/>
    <n v="3052.44"/>
  </r>
  <r>
    <x v="0"/>
    <x v="0"/>
    <x v="0"/>
    <n v="162"/>
    <n v="0"/>
    <n v="0"/>
    <n v="66.45"/>
    <n v="10764.9"/>
  </r>
  <r>
    <x v="1"/>
    <x v="0"/>
    <x v="1"/>
    <n v="287"/>
    <n v="17"/>
    <n v="5.92"/>
    <n v="66.92"/>
    <n v="19206.04"/>
  </r>
  <r>
    <x v="0"/>
    <x v="0"/>
    <x v="0"/>
    <n v="76"/>
    <n v="0"/>
    <n v="0"/>
    <n v="34.33"/>
    <n v="2609.08"/>
  </r>
  <r>
    <x v="1"/>
    <x v="0"/>
    <x v="2"/>
    <n v="228"/>
    <n v="15"/>
    <n v="6.58"/>
    <n v="30.52"/>
    <n v="6958.56"/>
  </r>
  <r>
    <x v="1"/>
    <x v="0"/>
    <x v="2"/>
    <n v="203"/>
    <n v="18"/>
    <n v="8.8699999999999992"/>
    <n v="26.56"/>
    <n v="5391.68"/>
  </r>
  <r>
    <x v="2"/>
    <x v="0"/>
    <x v="2"/>
    <n v="238"/>
    <n v="15"/>
    <n v="6.3"/>
    <n v="8.3800000000000008"/>
    <n v="1994.44"/>
  </r>
  <r>
    <x v="1"/>
    <x v="0"/>
    <x v="1"/>
    <n v="192"/>
    <n v="1"/>
    <n v="0.52"/>
    <n v="28.84"/>
    <n v="5537.28"/>
  </r>
  <r>
    <x v="0"/>
    <x v="0"/>
    <x v="0"/>
    <n v="175"/>
    <n v="13"/>
    <n v="7.43"/>
    <n v="61.96"/>
    <n v="10843"/>
  </r>
  <r>
    <x v="1"/>
    <x v="0"/>
    <x v="1"/>
    <n v="83"/>
    <n v="3"/>
    <n v="3.61"/>
    <n v="8.75"/>
    <n v="726.25"/>
  </r>
  <r>
    <x v="1"/>
    <x v="0"/>
    <x v="1"/>
    <n v="205"/>
    <n v="12"/>
    <n v="5.85"/>
    <n v="49.93"/>
    <n v="10235.65"/>
  </r>
  <r>
    <x v="0"/>
    <x v="0"/>
    <x v="2"/>
    <n v="149"/>
    <n v="2"/>
    <n v="1.34"/>
    <n v="48.82"/>
    <n v="7274.18"/>
  </r>
  <r>
    <x v="0"/>
    <x v="0"/>
    <x v="2"/>
    <n v="73"/>
    <n v="4"/>
    <n v="5.48"/>
    <n v="64.37"/>
    <n v="4699.01"/>
  </r>
  <r>
    <x v="1"/>
    <x v="0"/>
    <x v="2"/>
    <n v="163"/>
    <n v="15"/>
    <n v="9.1999999999999993"/>
    <n v="46.86"/>
    <n v="7638.18"/>
  </r>
  <r>
    <x v="2"/>
    <x v="0"/>
    <x v="2"/>
    <n v="279"/>
    <n v="0"/>
    <n v="0"/>
    <n v="69.34"/>
    <n v="19345.86"/>
  </r>
  <r>
    <x v="0"/>
    <x v="0"/>
    <x v="0"/>
    <n v="281"/>
    <n v="15"/>
    <n v="5.34"/>
    <n v="16.489999999999998"/>
    <n v="4633.6899999999996"/>
  </r>
  <r>
    <x v="0"/>
    <x v="0"/>
    <x v="0"/>
    <n v="132"/>
    <n v="11"/>
    <n v="8.33"/>
    <n v="8.1300000000000008"/>
    <n v="1073.1600000000001"/>
  </r>
  <r>
    <x v="2"/>
    <x v="0"/>
    <x v="2"/>
    <n v="128"/>
    <n v="0"/>
    <n v="0"/>
    <n v="14.84"/>
    <n v="1899.52"/>
  </r>
  <r>
    <x v="3"/>
    <x v="0"/>
    <x v="2"/>
    <n v="126"/>
    <n v="1"/>
    <n v="0.79"/>
    <n v="35.89"/>
    <n v="4522.1400000000003"/>
  </r>
  <r>
    <x v="1"/>
    <x v="0"/>
    <x v="1"/>
    <n v="236"/>
    <n v="23"/>
    <n v="9.75"/>
    <n v="21.73"/>
    <n v="5128.28"/>
  </r>
  <r>
    <x v="1"/>
    <x v="0"/>
    <x v="2"/>
    <n v="261"/>
    <n v="5"/>
    <n v="1.92"/>
    <n v="57.16"/>
    <n v="14918.76"/>
  </r>
  <r>
    <x v="3"/>
    <x v="0"/>
    <x v="2"/>
    <n v="169"/>
    <n v="12"/>
    <n v="7.1"/>
    <n v="26.7"/>
    <n v="4512.3"/>
  </r>
  <r>
    <x v="0"/>
    <x v="0"/>
    <x v="0"/>
    <n v="175"/>
    <n v="10"/>
    <n v="5.71"/>
    <n v="26.18"/>
    <n v="4581.5"/>
  </r>
  <r>
    <x v="0"/>
    <x v="0"/>
    <x v="0"/>
    <n v="87"/>
    <n v="4"/>
    <n v="4.5999999999999996"/>
    <n v="5.33"/>
    <n v="463.71"/>
  </r>
  <r>
    <x v="2"/>
    <x v="0"/>
    <x v="2"/>
    <n v="173"/>
    <n v="15"/>
    <n v="8.67"/>
    <n v="6.65"/>
    <n v="1150.45"/>
  </r>
  <r>
    <x v="0"/>
    <x v="0"/>
    <x v="0"/>
    <n v="171"/>
    <n v="2"/>
    <n v="1.17"/>
    <n v="6.24"/>
    <n v="1067.04"/>
  </r>
  <r>
    <x v="3"/>
    <x v="0"/>
    <x v="2"/>
    <n v="66"/>
    <n v="4"/>
    <n v="6.06"/>
    <n v="53.85"/>
    <n v="3554.1"/>
  </r>
  <r>
    <x v="0"/>
    <x v="0"/>
    <x v="2"/>
    <n v="203"/>
    <n v="9"/>
    <n v="4.43"/>
    <n v="50.85"/>
    <n v="10322.549999999999"/>
  </r>
  <r>
    <x v="2"/>
    <x v="0"/>
    <x v="2"/>
    <n v="78"/>
    <n v="6"/>
    <n v="7.69"/>
    <n v="20.65"/>
    <n v="1610.7"/>
  </r>
  <r>
    <x v="0"/>
    <x v="0"/>
    <x v="0"/>
    <n v="132"/>
    <n v="8"/>
    <n v="6.06"/>
    <n v="63.52"/>
    <n v="8384.64"/>
  </r>
  <r>
    <x v="0"/>
    <x v="0"/>
    <x v="2"/>
    <n v="97"/>
    <n v="3"/>
    <n v="3.09"/>
    <n v="10.87"/>
    <n v="1054.3900000000001"/>
  </r>
  <r>
    <x v="0"/>
    <x v="0"/>
    <x v="0"/>
    <n v="167"/>
    <n v="4"/>
    <n v="2.4"/>
    <n v="23.09"/>
    <n v="3856.03"/>
  </r>
  <r>
    <x v="2"/>
    <x v="0"/>
    <x v="2"/>
    <n v="168"/>
    <n v="12"/>
    <n v="7.14"/>
    <n v="44.57"/>
    <n v="7487.76"/>
  </r>
  <r>
    <x v="2"/>
    <x v="0"/>
    <x v="2"/>
    <n v="154"/>
    <n v="9"/>
    <n v="5.84"/>
    <n v="58.6"/>
    <n v="9024.4"/>
  </r>
  <r>
    <x v="1"/>
    <x v="0"/>
    <x v="1"/>
    <n v="191"/>
    <n v="19"/>
    <n v="9.9499999999999993"/>
    <n v="50.1"/>
    <n v="9569.1"/>
  </r>
  <r>
    <x v="1"/>
    <x v="0"/>
    <x v="2"/>
    <n v="116"/>
    <n v="1"/>
    <n v="0.86"/>
    <n v="12.36"/>
    <n v="1433.76"/>
  </r>
  <r>
    <x v="1"/>
    <x v="0"/>
    <x v="1"/>
    <n v="267"/>
    <n v="21"/>
    <n v="7.87"/>
    <n v="44.66"/>
    <n v="11924.22"/>
  </r>
  <r>
    <x v="0"/>
    <x v="0"/>
    <x v="0"/>
    <n v="215"/>
    <n v="15"/>
    <n v="6.98"/>
    <n v="51.15"/>
    <n v="10997.25"/>
  </r>
  <r>
    <x v="2"/>
    <x v="0"/>
    <x v="2"/>
    <n v="61"/>
    <n v="3"/>
    <n v="4.92"/>
    <n v="18.670000000000002"/>
    <n v="1138.8699999999999"/>
  </r>
  <r>
    <x v="3"/>
    <x v="0"/>
    <x v="2"/>
    <n v="58"/>
    <n v="3"/>
    <n v="5.17"/>
    <n v="68.25"/>
    <n v="3958.5"/>
  </r>
  <r>
    <x v="0"/>
    <x v="0"/>
    <x v="0"/>
    <n v="216"/>
    <n v="10"/>
    <n v="4.63"/>
    <n v="40.909999999999997"/>
    <n v="8836.56"/>
  </r>
  <r>
    <x v="1"/>
    <x v="0"/>
    <x v="2"/>
    <n v="196"/>
    <n v="2"/>
    <n v="1.02"/>
    <n v="59.56"/>
    <n v="11673.76"/>
  </r>
  <r>
    <x v="2"/>
    <x v="0"/>
    <x v="2"/>
    <n v="75"/>
    <n v="5"/>
    <n v="6.67"/>
    <n v="61.35"/>
    <n v="4601.25"/>
  </r>
  <r>
    <x v="1"/>
    <x v="0"/>
    <x v="2"/>
    <n v="79"/>
    <n v="6"/>
    <n v="7.59"/>
    <n v="19.63"/>
    <n v="1550.77"/>
  </r>
  <r>
    <x v="0"/>
    <x v="0"/>
    <x v="2"/>
    <n v="206"/>
    <n v="17"/>
    <n v="8.25"/>
    <n v="53.32"/>
    <n v="10983.92"/>
  </r>
  <r>
    <x v="1"/>
    <x v="0"/>
    <x v="2"/>
    <n v="170"/>
    <n v="2"/>
    <n v="1.18"/>
    <n v="67.53"/>
    <n v="11480.1"/>
  </r>
  <r>
    <x v="0"/>
    <x v="0"/>
    <x v="2"/>
    <n v="51"/>
    <n v="1"/>
    <n v="1.96"/>
    <n v="61.89"/>
    <n v="3156.39"/>
  </r>
  <r>
    <x v="3"/>
    <x v="0"/>
    <x v="2"/>
    <n v="206"/>
    <n v="6"/>
    <n v="2.91"/>
    <n v="58.56"/>
    <n v="12063.36"/>
  </r>
  <r>
    <x v="3"/>
    <x v="0"/>
    <x v="2"/>
    <n v="164"/>
    <n v="14"/>
    <n v="8.5399999999999991"/>
    <n v="58.71"/>
    <n v="9628.44"/>
  </r>
  <r>
    <x v="0"/>
    <x v="0"/>
    <x v="0"/>
    <n v="114"/>
    <n v="10"/>
    <n v="8.77"/>
    <n v="67.2"/>
    <n v="7660.8"/>
  </r>
  <r>
    <x v="0"/>
    <x v="0"/>
    <x v="2"/>
    <n v="184"/>
    <n v="17"/>
    <n v="9.24"/>
    <n v="37.35"/>
    <n v="6872.4"/>
  </r>
  <r>
    <x v="0"/>
    <x v="0"/>
    <x v="0"/>
    <n v="251"/>
    <n v="8"/>
    <n v="3.19"/>
    <n v="43"/>
    <n v="10793"/>
  </r>
  <r>
    <x v="1"/>
    <x v="0"/>
    <x v="2"/>
    <n v="120"/>
    <n v="6"/>
    <n v="5"/>
    <n v="56.67"/>
    <n v="6800.4"/>
  </r>
  <r>
    <x v="1"/>
    <x v="0"/>
    <x v="2"/>
    <n v="185"/>
    <n v="13"/>
    <n v="7.03"/>
    <n v="40.51"/>
    <n v="7494.35"/>
  </r>
  <r>
    <x v="1"/>
    <x v="0"/>
    <x v="2"/>
    <n v="199"/>
    <n v="17"/>
    <n v="8.5399999999999991"/>
    <n v="37.11"/>
    <n v="7384.89"/>
  </r>
  <r>
    <x v="1"/>
    <x v="0"/>
    <x v="2"/>
    <n v="94"/>
    <n v="7"/>
    <n v="7.45"/>
    <n v="20.73"/>
    <n v="1948.62"/>
  </r>
  <r>
    <x v="2"/>
    <x v="0"/>
    <x v="2"/>
    <n v="53"/>
    <n v="1"/>
    <n v="1.89"/>
    <n v="33.57"/>
    <n v="1779.21"/>
  </r>
  <r>
    <x v="2"/>
    <x v="0"/>
    <x v="2"/>
    <n v="99"/>
    <n v="9"/>
    <n v="9.09"/>
    <n v="41.25"/>
    <n v="4083.75"/>
  </r>
  <r>
    <x v="0"/>
    <x v="0"/>
    <x v="0"/>
    <n v="95"/>
    <n v="7"/>
    <n v="7.37"/>
    <n v="10.220000000000001"/>
    <n v="970.9"/>
  </r>
  <r>
    <x v="1"/>
    <x v="0"/>
    <x v="2"/>
    <n v="272"/>
    <n v="20"/>
    <n v="7.35"/>
    <n v="14.47"/>
    <n v="3935.84"/>
  </r>
  <r>
    <x v="0"/>
    <x v="0"/>
    <x v="0"/>
    <n v="149"/>
    <n v="14"/>
    <n v="9.4"/>
    <n v="32.64"/>
    <n v="4863.3599999999997"/>
  </r>
  <r>
    <x v="2"/>
    <x v="0"/>
    <x v="2"/>
    <n v="293"/>
    <n v="11"/>
    <n v="3.75"/>
    <n v="67.56"/>
    <n v="19795.080000000002"/>
  </r>
  <r>
    <x v="2"/>
    <x v="0"/>
    <x v="2"/>
    <n v="68"/>
    <n v="4"/>
    <n v="5.88"/>
    <n v="13.57"/>
    <n v="922.76"/>
  </r>
  <r>
    <x v="3"/>
    <x v="0"/>
    <x v="2"/>
    <n v="193"/>
    <n v="9"/>
    <n v="4.66"/>
    <n v="41.73"/>
    <n v="8053.89"/>
  </r>
  <r>
    <x v="1"/>
    <x v="0"/>
    <x v="1"/>
    <n v="55"/>
    <n v="4"/>
    <n v="7.27"/>
    <n v="68.95"/>
    <n v="3792.25"/>
  </r>
  <r>
    <x v="1"/>
    <x v="0"/>
    <x v="1"/>
    <n v="157"/>
    <n v="4"/>
    <n v="2.5499999999999998"/>
    <n v="44.41"/>
    <n v="6972.37"/>
  </r>
  <r>
    <x v="1"/>
    <x v="0"/>
    <x v="2"/>
    <n v="188"/>
    <n v="18"/>
    <n v="9.57"/>
    <n v="64.760000000000005"/>
    <n v="12174.88"/>
  </r>
  <r>
    <x v="0"/>
    <x v="0"/>
    <x v="2"/>
    <n v="223"/>
    <n v="17"/>
    <n v="7.62"/>
    <n v="46.64"/>
    <n v="10400.719999999999"/>
  </r>
  <r>
    <x v="3"/>
    <x v="0"/>
    <x v="2"/>
    <n v="105"/>
    <n v="3"/>
    <n v="2.86"/>
    <n v="19.760000000000002"/>
    <n v="2074.8000000000002"/>
  </r>
  <r>
    <x v="1"/>
    <x v="0"/>
    <x v="1"/>
    <n v="289"/>
    <n v="14"/>
    <n v="4.84"/>
    <n v="58.44"/>
    <n v="16889.16"/>
  </r>
  <r>
    <x v="0"/>
    <x v="0"/>
    <x v="2"/>
    <n v="98"/>
    <n v="1"/>
    <n v="1.02"/>
    <n v="12.61"/>
    <n v="1235.78"/>
  </r>
  <r>
    <x v="1"/>
    <x v="0"/>
    <x v="1"/>
    <n v="99"/>
    <n v="8"/>
    <n v="8.08"/>
    <n v="55.48"/>
    <n v="5492.52"/>
  </r>
  <r>
    <x v="1"/>
    <x v="0"/>
    <x v="1"/>
    <n v="82"/>
    <n v="4"/>
    <n v="4.88"/>
    <n v="15.34"/>
    <n v="1257.8800000000001"/>
  </r>
  <r>
    <x v="1"/>
    <x v="0"/>
    <x v="1"/>
    <n v="261"/>
    <n v="11"/>
    <n v="4.21"/>
    <n v="50.26"/>
    <n v="13117.86"/>
  </r>
  <r>
    <x v="3"/>
    <x v="0"/>
    <x v="2"/>
    <n v="201"/>
    <n v="19"/>
    <n v="9.4499999999999993"/>
    <n v="15.97"/>
    <n v="3209.97"/>
  </r>
  <r>
    <x v="0"/>
    <x v="0"/>
    <x v="2"/>
    <n v="275"/>
    <n v="3"/>
    <n v="1.0900000000000001"/>
    <n v="33.229999999999997"/>
    <n v="9138.25"/>
  </r>
  <r>
    <x v="3"/>
    <x v="0"/>
    <x v="2"/>
    <n v="140"/>
    <n v="13"/>
    <n v="9.2899999999999991"/>
    <n v="5.76"/>
    <n v="806.4"/>
  </r>
  <r>
    <x v="3"/>
    <x v="0"/>
    <x v="2"/>
    <n v="177"/>
    <n v="17"/>
    <n v="9.6"/>
    <n v="10.81"/>
    <n v="1913.37"/>
  </r>
  <r>
    <x v="3"/>
    <x v="0"/>
    <x v="2"/>
    <n v="170"/>
    <n v="4"/>
    <n v="2.35"/>
    <n v="42.67"/>
    <n v="7253.9"/>
  </r>
  <r>
    <x v="2"/>
    <x v="0"/>
    <x v="2"/>
    <n v="257"/>
    <n v="15"/>
    <n v="5.84"/>
    <n v="44.94"/>
    <n v="11549.58"/>
  </r>
  <r>
    <x v="1"/>
    <x v="0"/>
    <x v="1"/>
    <n v="174"/>
    <n v="12"/>
    <n v="6.9"/>
    <n v="39.450000000000003"/>
    <n v="6864.3"/>
  </r>
  <r>
    <x v="0"/>
    <x v="0"/>
    <x v="2"/>
    <n v="55"/>
    <n v="3"/>
    <n v="5.45"/>
    <n v="7.99"/>
    <n v="439.45"/>
  </r>
  <r>
    <x v="0"/>
    <x v="0"/>
    <x v="0"/>
    <n v="164"/>
    <n v="3"/>
    <n v="1.83"/>
    <n v="11.54"/>
    <n v="1892.56"/>
  </r>
  <r>
    <x v="3"/>
    <x v="0"/>
    <x v="2"/>
    <n v="285"/>
    <n v="19"/>
    <n v="6.67"/>
    <n v="8.0399999999999991"/>
    <n v="2291.4"/>
  </r>
  <r>
    <x v="2"/>
    <x v="0"/>
    <x v="2"/>
    <n v="260"/>
    <n v="13"/>
    <n v="5"/>
    <n v="17.88"/>
    <n v="4648.8"/>
  </r>
  <r>
    <x v="0"/>
    <x v="0"/>
    <x v="2"/>
    <n v="158"/>
    <n v="1"/>
    <n v="0.63"/>
    <n v="64.09"/>
    <n v="10126.219999999999"/>
  </r>
  <r>
    <x v="1"/>
    <x v="0"/>
    <x v="1"/>
    <n v="268"/>
    <n v="16"/>
    <n v="5.97"/>
    <n v="42.87"/>
    <n v="11489.16"/>
  </r>
  <r>
    <x v="1"/>
    <x v="0"/>
    <x v="1"/>
    <n v="186"/>
    <n v="7"/>
    <n v="3.76"/>
    <n v="69.739999999999995"/>
    <n v="12971.64"/>
  </r>
  <r>
    <x v="3"/>
    <x v="0"/>
    <x v="2"/>
    <n v="142"/>
    <n v="8"/>
    <n v="5.63"/>
    <n v="62.17"/>
    <n v="8828.14"/>
  </r>
  <r>
    <x v="2"/>
    <x v="0"/>
    <x v="2"/>
    <n v="95"/>
    <n v="4"/>
    <n v="4.21"/>
    <n v="67.41"/>
    <n v="6403.95"/>
  </r>
  <r>
    <x v="1"/>
    <x v="0"/>
    <x v="2"/>
    <n v="125"/>
    <n v="2"/>
    <n v="1.6"/>
    <n v="50.13"/>
    <n v="6266.25"/>
  </r>
  <r>
    <x v="2"/>
    <x v="0"/>
    <x v="2"/>
    <n v="165"/>
    <n v="13"/>
    <n v="7.88"/>
    <n v="21.32"/>
    <n v="3517.8"/>
  </r>
  <r>
    <x v="0"/>
    <x v="0"/>
    <x v="2"/>
    <n v="209"/>
    <n v="19"/>
    <n v="9.09"/>
    <n v="44"/>
    <n v="9196"/>
  </r>
  <r>
    <x v="1"/>
    <x v="0"/>
    <x v="2"/>
    <n v="147"/>
    <n v="6"/>
    <n v="4.08"/>
    <n v="19.73"/>
    <n v="2900.31"/>
  </r>
  <r>
    <x v="0"/>
    <x v="0"/>
    <x v="0"/>
    <n v="300"/>
    <n v="12"/>
    <n v="4"/>
    <n v="35.92"/>
    <n v="10776"/>
  </r>
  <r>
    <x v="0"/>
    <x v="0"/>
    <x v="0"/>
    <n v="151"/>
    <n v="3"/>
    <n v="1.99"/>
    <n v="15.25"/>
    <n v="2302.75"/>
  </r>
  <r>
    <x v="0"/>
    <x v="0"/>
    <x v="2"/>
    <n v="182"/>
    <n v="18"/>
    <n v="9.89"/>
    <n v="41.03"/>
    <n v="7467.46"/>
  </r>
  <r>
    <x v="2"/>
    <x v="0"/>
    <x v="2"/>
    <n v="201"/>
    <n v="8"/>
    <n v="3.98"/>
    <n v="42.4"/>
    <n v="8522.4"/>
  </r>
  <r>
    <x v="3"/>
    <x v="0"/>
    <x v="2"/>
    <n v="224"/>
    <n v="14"/>
    <n v="6.25"/>
    <n v="57.92"/>
    <n v="12974.08"/>
  </r>
  <r>
    <x v="2"/>
    <x v="0"/>
    <x v="2"/>
    <n v="204"/>
    <n v="18"/>
    <n v="8.82"/>
    <n v="26.09"/>
    <n v="5322.36"/>
  </r>
  <r>
    <x v="1"/>
    <x v="0"/>
    <x v="1"/>
    <n v="189"/>
    <n v="3"/>
    <n v="1.59"/>
    <n v="14.69"/>
    <n v="2776.41"/>
  </r>
  <r>
    <x v="1"/>
    <x v="0"/>
    <x v="2"/>
    <n v="193"/>
    <n v="11"/>
    <n v="5.7"/>
    <n v="65.08"/>
    <n v="12560.44"/>
  </r>
  <r>
    <x v="1"/>
    <x v="0"/>
    <x v="2"/>
    <n v="183"/>
    <n v="13"/>
    <n v="7.1"/>
    <n v="21.65"/>
    <n v="3961.95"/>
  </r>
  <r>
    <x v="0"/>
    <x v="0"/>
    <x v="0"/>
    <n v="181"/>
    <n v="8"/>
    <n v="4.42"/>
    <n v="59.8"/>
    <n v="10823.8"/>
  </r>
  <r>
    <x v="1"/>
    <x v="0"/>
    <x v="2"/>
    <n v="156"/>
    <n v="10"/>
    <n v="6.41"/>
    <n v="21.26"/>
    <n v="3316.56"/>
  </r>
  <r>
    <x v="1"/>
    <x v="0"/>
    <x v="1"/>
    <n v="260"/>
    <n v="17"/>
    <n v="6.54"/>
    <n v="35.49"/>
    <n v="9227.4"/>
  </r>
  <r>
    <x v="3"/>
    <x v="0"/>
    <x v="2"/>
    <n v="248"/>
    <n v="13"/>
    <n v="5.24"/>
    <n v="5.27"/>
    <n v="1306.96"/>
  </r>
  <r>
    <x v="0"/>
    <x v="0"/>
    <x v="2"/>
    <n v="103"/>
    <n v="7"/>
    <n v="6.8"/>
    <n v="25.09"/>
    <n v="2584.27"/>
  </r>
  <r>
    <x v="3"/>
    <x v="0"/>
    <x v="2"/>
    <n v="232"/>
    <n v="18"/>
    <n v="7.76"/>
    <n v="33.29"/>
    <n v="7723.28"/>
  </r>
  <r>
    <x v="2"/>
    <x v="0"/>
    <x v="2"/>
    <n v="281"/>
    <n v="22"/>
    <n v="7.83"/>
    <n v="46.66"/>
    <n v="13111.46"/>
  </r>
  <r>
    <x v="0"/>
    <x v="0"/>
    <x v="2"/>
    <n v="53"/>
    <n v="0"/>
    <n v="0"/>
    <n v="12.28"/>
    <n v="650.84"/>
  </r>
  <r>
    <x v="1"/>
    <x v="0"/>
    <x v="2"/>
    <n v="133"/>
    <n v="11"/>
    <n v="8.27"/>
    <n v="25.33"/>
    <n v="3368.89"/>
  </r>
  <r>
    <x v="2"/>
    <x v="0"/>
    <x v="2"/>
    <n v="59"/>
    <n v="2"/>
    <n v="3.39"/>
    <n v="50.13"/>
    <n v="2957.67"/>
  </r>
  <r>
    <x v="0"/>
    <x v="0"/>
    <x v="2"/>
    <n v="144"/>
    <n v="12"/>
    <n v="8.33"/>
    <n v="47.51"/>
    <n v="6841.44"/>
  </r>
  <r>
    <x v="2"/>
    <x v="0"/>
    <x v="2"/>
    <n v="191"/>
    <n v="3"/>
    <n v="1.57"/>
    <n v="10.29"/>
    <n v="1965.39"/>
  </r>
  <r>
    <x v="1"/>
    <x v="0"/>
    <x v="1"/>
    <n v="115"/>
    <n v="2"/>
    <n v="1.74"/>
    <n v="61.06"/>
    <n v="7021.9"/>
  </r>
  <r>
    <x v="1"/>
    <x v="0"/>
    <x v="1"/>
    <n v="55"/>
    <n v="3"/>
    <n v="5.45"/>
    <n v="25.1"/>
    <n v="1380.5"/>
  </r>
  <r>
    <x v="1"/>
    <x v="0"/>
    <x v="2"/>
    <n v="50"/>
    <n v="0"/>
    <n v="0"/>
    <n v="35.28"/>
    <n v="1764"/>
  </r>
  <r>
    <x v="0"/>
    <x v="0"/>
    <x v="0"/>
    <n v="257"/>
    <n v="10"/>
    <n v="3.89"/>
    <n v="20.260000000000002"/>
    <n v="5206.82"/>
  </r>
  <r>
    <x v="1"/>
    <x v="0"/>
    <x v="2"/>
    <n v="186"/>
    <n v="9"/>
    <n v="4.84"/>
    <n v="38.729999999999997"/>
    <n v="7203.78"/>
  </r>
  <r>
    <x v="1"/>
    <x v="0"/>
    <x v="2"/>
    <n v="148"/>
    <n v="14"/>
    <n v="9.4600000000000009"/>
    <n v="14.16"/>
    <n v="2095.6799999999998"/>
  </r>
  <r>
    <x v="0"/>
    <x v="0"/>
    <x v="2"/>
    <n v="164"/>
    <n v="6"/>
    <n v="3.66"/>
    <n v="11.17"/>
    <n v="1831.88"/>
  </r>
  <r>
    <x v="0"/>
    <x v="0"/>
    <x v="0"/>
    <n v="93"/>
    <n v="9"/>
    <n v="9.68"/>
    <n v="31.65"/>
    <n v="2943.45"/>
  </r>
  <r>
    <x v="3"/>
    <x v="0"/>
    <x v="2"/>
    <n v="77"/>
    <n v="6"/>
    <n v="7.79"/>
    <n v="54.06"/>
    <n v="4162.62"/>
  </r>
  <r>
    <x v="0"/>
    <x v="0"/>
    <x v="2"/>
    <n v="141"/>
    <n v="10"/>
    <n v="7.09"/>
    <n v="22.87"/>
    <n v="3224.67"/>
  </r>
  <r>
    <x v="0"/>
    <x v="0"/>
    <x v="2"/>
    <n v="195"/>
    <n v="13"/>
    <n v="6.67"/>
    <n v="46.61"/>
    <n v="9088.9500000000007"/>
  </r>
  <r>
    <x v="0"/>
    <x v="0"/>
    <x v="2"/>
    <n v="107"/>
    <n v="8"/>
    <n v="7.48"/>
    <n v="41.47"/>
    <n v="4437.29"/>
  </r>
  <r>
    <x v="1"/>
    <x v="0"/>
    <x v="1"/>
    <n v="156"/>
    <n v="4"/>
    <n v="2.56"/>
    <n v="40.51"/>
    <n v="6319.56"/>
  </r>
  <r>
    <x v="1"/>
    <x v="0"/>
    <x v="2"/>
    <n v="281"/>
    <n v="12"/>
    <n v="4.2699999999999996"/>
    <n v="26.49"/>
    <n v="7443.69"/>
  </r>
  <r>
    <x v="1"/>
    <x v="0"/>
    <x v="1"/>
    <n v="281"/>
    <n v="15"/>
    <n v="5.34"/>
    <n v="19.579999999999998"/>
    <n v="5501.98"/>
  </r>
  <r>
    <x v="3"/>
    <x v="0"/>
    <x v="2"/>
    <n v="237"/>
    <n v="5"/>
    <n v="2.11"/>
    <n v="47.57"/>
    <n v="11274.09"/>
  </r>
  <r>
    <x v="0"/>
    <x v="0"/>
    <x v="0"/>
    <n v="230"/>
    <n v="7"/>
    <n v="3.04"/>
    <n v="26.17"/>
    <n v="6019.1"/>
  </r>
  <r>
    <x v="0"/>
    <x v="0"/>
    <x v="0"/>
    <n v="115"/>
    <n v="5"/>
    <n v="4.3499999999999996"/>
    <n v="30.32"/>
    <n v="3486.8"/>
  </r>
  <r>
    <x v="0"/>
    <x v="0"/>
    <x v="0"/>
    <n v="277"/>
    <n v="14"/>
    <n v="5.05"/>
    <n v="62.45"/>
    <n v="17298.650000000001"/>
  </r>
  <r>
    <x v="3"/>
    <x v="0"/>
    <x v="2"/>
    <n v="162"/>
    <n v="11"/>
    <n v="6.79"/>
    <n v="14.6"/>
    <n v="2365.1999999999998"/>
  </r>
  <r>
    <x v="1"/>
    <x v="0"/>
    <x v="2"/>
    <n v="177"/>
    <n v="7"/>
    <n v="3.95"/>
    <n v="50.88"/>
    <n v="9005.76"/>
  </r>
  <r>
    <x v="3"/>
    <x v="0"/>
    <x v="2"/>
    <n v="72"/>
    <n v="6"/>
    <n v="8.33"/>
    <n v="20.65"/>
    <n v="1486.8"/>
  </r>
  <r>
    <x v="2"/>
    <x v="0"/>
    <x v="2"/>
    <n v="277"/>
    <n v="20"/>
    <n v="7.22"/>
    <n v="5.71"/>
    <n v="1581.67"/>
  </r>
  <r>
    <x v="2"/>
    <x v="0"/>
    <x v="2"/>
    <n v="188"/>
    <n v="7"/>
    <n v="3.72"/>
    <n v="39.9"/>
    <n v="7501.2"/>
  </r>
  <r>
    <x v="0"/>
    <x v="0"/>
    <x v="2"/>
    <n v="216"/>
    <n v="7"/>
    <n v="3.24"/>
    <n v="35.42"/>
    <n v="7650.72"/>
  </r>
  <r>
    <x v="0"/>
    <x v="0"/>
    <x v="0"/>
    <n v="201"/>
    <n v="8"/>
    <n v="3.98"/>
    <n v="24.01"/>
    <n v="4826.01"/>
  </r>
  <r>
    <x v="1"/>
    <x v="0"/>
    <x v="1"/>
    <n v="103"/>
    <n v="9"/>
    <n v="8.74"/>
    <n v="28.83"/>
    <n v="2969.49"/>
  </r>
  <r>
    <x v="2"/>
    <x v="0"/>
    <x v="2"/>
    <n v="226"/>
    <n v="9"/>
    <n v="3.98"/>
    <n v="22.8"/>
    <n v="5152.8"/>
  </r>
  <r>
    <x v="3"/>
    <x v="0"/>
    <x v="2"/>
    <n v="215"/>
    <n v="2"/>
    <n v="0.93"/>
    <n v="18.7"/>
    <n v="4020.5"/>
  </r>
  <r>
    <x v="1"/>
    <x v="0"/>
    <x v="2"/>
    <n v="189"/>
    <n v="4"/>
    <n v="2.12"/>
    <n v="51.95"/>
    <n v="9818.5499999999993"/>
  </r>
  <r>
    <x v="2"/>
    <x v="0"/>
    <x v="2"/>
    <n v="244"/>
    <n v="14"/>
    <n v="5.74"/>
    <n v="11.88"/>
    <n v="2898.72"/>
  </r>
  <r>
    <x v="0"/>
    <x v="0"/>
    <x v="0"/>
    <n v="105"/>
    <n v="1"/>
    <n v="0.95"/>
    <n v="64.930000000000007"/>
    <n v="6817.65"/>
  </r>
  <r>
    <x v="1"/>
    <x v="0"/>
    <x v="2"/>
    <n v="134"/>
    <n v="10"/>
    <n v="7.46"/>
    <n v="35.93"/>
    <n v="4814.62"/>
  </r>
  <r>
    <x v="1"/>
    <x v="0"/>
    <x v="1"/>
    <n v="227"/>
    <n v="3"/>
    <n v="1.32"/>
    <n v="23.84"/>
    <n v="5411.68"/>
  </r>
  <r>
    <x v="2"/>
    <x v="0"/>
    <x v="2"/>
    <n v="198"/>
    <n v="10"/>
    <n v="5.05"/>
    <n v="35.200000000000003"/>
    <n v="6969.6"/>
  </r>
  <r>
    <x v="0"/>
    <x v="0"/>
    <x v="2"/>
    <n v="169"/>
    <n v="13"/>
    <n v="7.69"/>
    <n v="19.16"/>
    <n v="3238.04"/>
  </r>
  <r>
    <x v="2"/>
    <x v="0"/>
    <x v="2"/>
    <n v="206"/>
    <n v="12"/>
    <n v="5.83"/>
    <n v="69.31"/>
    <n v="14277.86"/>
  </r>
  <r>
    <x v="0"/>
    <x v="0"/>
    <x v="2"/>
    <n v="234"/>
    <n v="17"/>
    <n v="7.26"/>
    <n v="49.19"/>
    <n v="11510.46"/>
  </r>
  <r>
    <x v="3"/>
    <x v="0"/>
    <x v="2"/>
    <n v="150"/>
    <n v="9"/>
    <n v="6"/>
    <n v="22.18"/>
    <n v="3327"/>
  </r>
  <r>
    <x v="0"/>
    <x v="0"/>
    <x v="0"/>
    <n v="86"/>
    <n v="8"/>
    <n v="9.3000000000000007"/>
    <n v="64.680000000000007"/>
    <n v="5562.48"/>
  </r>
  <r>
    <x v="0"/>
    <x v="0"/>
    <x v="0"/>
    <n v="198"/>
    <n v="14"/>
    <n v="7.07"/>
    <n v="38.79"/>
    <n v="7680.42"/>
  </r>
  <r>
    <x v="2"/>
    <x v="0"/>
    <x v="2"/>
    <n v="263"/>
    <n v="19"/>
    <n v="7.22"/>
    <n v="64.16"/>
    <n v="16874.080000000002"/>
  </r>
  <r>
    <x v="0"/>
    <x v="0"/>
    <x v="2"/>
    <n v="240"/>
    <n v="22"/>
    <n v="9.17"/>
    <n v="45.72"/>
    <n v="10972.8"/>
  </r>
  <r>
    <x v="1"/>
    <x v="0"/>
    <x v="2"/>
    <n v="199"/>
    <n v="18"/>
    <n v="9.0500000000000007"/>
    <n v="65.83"/>
    <n v="13100.17"/>
  </r>
  <r>
    <x v="0"/>
    <x v="0"/>
    <x v="2"/>
    <n v="232"/>
    <n v="1"/>
    <n v="0.43"/>
    <n v="65.41"/>
    <n v="15175.12"/>
  </r>
  <r>
    <x v="1"/>
    <x v="0"/>
    <x v="1"/>
    <n v="184"/>
    <n v="18"/>
    <n v="9.7799999999999994"/>
    <n v="67.13"/>
    <n v="12351.92"/>
  </r>
  <r>
    <x v="1"/>
    <x v="0"/>
    <x v="2"/>
    <n v="56"/>
    <n v="4"/>
    <n v="7.14"/>
    <n v="20.22"/>
    <n v="1132.32"/>
  </r>
  <r>
    <x v="2"/>
    <x v="0"/>
    <x v="2"/>
    <n v="275"/>
    <n v="11"/>
    <n v="4"/>
    <n v="6.58"/>
    <n v="1809.5"/>
  </r>
  <r>
    <x v="1"/>
    <x v="0"/>
    <x v="1"/>
    <n v="72"/>
    <n v="7"/>
    <n v="9.7200000000000006"/>
    <n v="21.47"/>
    <n v="1545.84"/>
  </r>
  <r>
    <x v="1"/>
    <x v="0"/>
    <x v="1"/>
    <n v="141"/>
    <n v="10"/>
    <n v="7.09"/>
    <n v="43.64"/>
    <n v="6153.24"/>
  </r>
  <r>
    <x v="3"/>
    <x v="0"/>
    <x v="2"/>
    <n v="210"/>
    <n v="13"/>
    <n v="6.19"/>
    <n v="30.03"/>
    <n v="6306.3"/>
  </r>
  <r>
    <x v="1"/>
    <x v="0"/>
    <x v="2"/>
    <n v="296"/>
    <n v="28"/>
    <n v="9.4600000000000009"/>
    <n v="17.82"/>
    <n v="5274.72"/>
  </r>
  <r>
    <x v="2"/>
    <x v="0"/>
    <x v="2"/>
    <n v="168"/>
    <n v="9"/>
    <n v="5.36"/>
    <n v="53.67"/>
    <n v="9016.56"/>
  </r>
  <r>
    <x v="0"/>
    <x v="0"/>
    <x v="0"/>
    <n v="169"/>
    <n v="0"/>
    <n v="0"/>
    <n v="50.9"/>
    <n v="8602.1"/>
  </r>
  <r>
    <x v="0"/>
    <x v="0"/>
    <x v="0"/>
    <n v="164"/>
    <n v="13"/>
    <n v="7.93"/>
    <n v="69.8"/>
    <n v="11447.2"/>
  </r>
  <r>
    <x v="2"/>
    <x v="0"/>
    <x v="2"/>
    <n v="172"/>
    <n v="11"/>
    <n v="6.4"/>
    <n v="25.13"/>
    <n v="4322.3599999999997"/>
  </r>
  <r>
    <x v="3"/>
    <x v="0"/>
    <x v="2"/>
    <n v="107"/>
    <n v="7"/>
    <n v="6.54"/>
    <n v="12.6"/>
    <n v="1348.2"/>
  </r>
  <r>
    <x v="1"/>
    <x v="0"/>
    <x v="2"/>
    <n v="129"/>
    <n v="10"/>
    <n v="7.75"/>
    <n v="41.2"/>
    <n v="5314.8"/>
  </r>
  <r>
    <x v="0"/>
    <x v="0"/>
    <x v="2"/>
    <n v="203"/>
    <n v="2"/>
    <n v="0.99"/>
    <n v="66.73"/>
    <n v="13546.19"/>
  </r>
  <r>
    <x v="3"/>
    <x v="0"/>
    <x v="2"/>
    <n v="110"/>
    <n v="11"/>
    <n v="10"/>
    <n v="58.58"/>
    <n v="6443.8"/>
  </r>
  <r>
    <x v="2"/>
    <x v="0"/>
    <x v="2"/>
    <n v="204"/>
    <n v="3"/>
    <n v="1.47"/>
    <n v="16.13"/>
    <n v="3290.52"/>
  </r>
  <r>
    <x v="3"/>
    <x v="0"/>
    <x v="2"/>
    <n v="91"/>
    <n v="8"/>
    <n v="8.7899999999999991"/>
    <n v="47.81"/>
    <n v="4350.71"/>
  </r>
  <r>
    <x v="1"/>
    <x v="0"/>
    <x v="1"/>
    <n v="113"/>
    <n v="9"/>
    <n v="7.96"/>
    <n v="67.78"/>
    <n v="7659.14"/>
  </r>
  <r>
    <x v="0"/>
    <x v="0"/>
    <x v="0"/>
    <n v="109"/>
    <n v="10"/>
    <n v="9.17"/>
    <n v="13.83"/>
    <n v="1507.47"/>
  </r>
  <r>
    <x v="2"/>
    <x v="0"/>
    <x v="2"/>
    <n v="93"/>
    <n v="3"/>
    <n v="3.23"/>
    <n v="55.74"/>
    <n v="5183.82"/>
  </r>
  <r>
    <x v="0"/>
    <x v="0"/>
    <x v="2"/>
    <n v="55"/>
    <n v="3"/>
    <n v="5.45"/>
    <n v="60.04"/>
    <n v="3302.2"/>
  </r>
  <r>
    <x v="0"/>
    <x v="0"/>
    <x v="0"/>
    <n v="108"/>
    <n v="4"/>
    <n v="3.7"/>
    <n v="29.96"/>
    <n v="3235.68"/>
  </r>
  <r>
    <x v="3"/>
    <x v="0"/>
    <x v="2"/>
    <n v="227"/>
    <n v="12"/>
    <n v="5.29"/>
    <n v="33.46"/>
    <n v="7595.42"/>
  </r>
  <r>
    <x v="1"/>
    <x v="0"/>
    <x v="2"/>
    <n v="277"/>
    <n v="18"/>
    <n v="6.5"/>
    <n v="10.43"/>
    <n v="2889.11"/>
  </r>
  <r>
    <x v="2"/>
    <x v="0"/>
    <x v="2"/>
    <n v="125"/>
    <n v="6"/>
    <n v="4.8"/>
    <n v="46.25"/>
    <n v="5781.25"/>
  </r>
  <r>
    <x v="3"/>
    <x v="0"/>
    <x v="2"/>
    <n v="247"/>
    <n v="5"/>
    <n v="2.02"/>
    <n v="27.55"/>
    <n v="6804.85"/>
  </r>
  <r>
    <x v="0"/>
    <x v="0"/>
    <x v="2"/>
    <n v="120"/>
    <n v="7"/>
    <n v="5.83"/>
    <n v="23.5"/>
    <n v="2820"/>
  </r>
  <r>
    <x v="0"/>
    <x v="0"/>
    <x v="0"/>
    <n v="152"/>
    <n v="11"/>
    <n v="7.24"/>
    <n v="55.54"/>
    <n v="8442.08"/>
  </r>
  <r>
    <x v="0"/>
    <x v="0"/>
    <x v="0"/>
    <n v="259"/>
    <n v="4"/>
    <n v="1.54"/>
    <n v="36.57"/>
    <n v="9471.6299999999992"/>
  </r>
  <r>
    <x v="0"/>
    <x v="0"/>
    <x v="0"/>
    <n v="250"/>
    <n v="15"/>
    <n v="6"/>
    <n v="39.64"/>
    <n v="9910"/>
  </r>
  <r>
    <x v="2"/>
    <x v="0"/>
    <x v="2"/>
    <n v="227"/>
    <n v="15"/>
    <n v="6.61"/>
    <n v="39.5"/>
    <n v="8966.5"/>
  </r>
  <r>
    <x v="1"/>
    <x v="0"/>
    <x v="2"/>
    <n v="184"/>
    <n v="2"/>
    <n v="1.0900000000000001"/>
    <n v="66.06"/>
    <n v="12155.04"/>
  </r>
  <r>
    <x v="1"/>
    <x v="0"/>
    <x v="2"/>
    <n v="207"/>
    <n v="14"/>
    <n v="6.76"/>
    <n v="52.94"/>
    <n v="10958.58"/>
  </r>
  <r>
    <x v="0"/>
    <x v="0"/>
    <x v="0"/>
    <n v="175"/>
    <n v="7"/>
    <n v="4"/>
    <n v="43.14"/>
    <n v="7549.5"/>
  </r>
  <r>
    <x v="1"/>
    <x v="0"/>
    <x v="1"/>
    <n v="273"/>
    <n v="25"/>
    <n v="9.16"/>
    <n v="9.67"/>
    <n v="2639.91"/>
  </r>
  <r>
    <x v="0"/>
    <x v="0"/>
    <x v="0"/>
    <n v="254"/>
    <n v="0"/>
    <n v="0"/>
    <n v="42.44"/>
    <n v="10779.76"/>
  </r>
  <r>
    <x v="0"/>
    <x v="0"/>
    <x v="2"/>
    <n v="98"/>
    <n v="9"/>
    <n v="9.18"/>
    <n v="36.26"/>
    <n v="3553.48"/>
  </r>
  <r>
    <x v="1"/>
    <x v="0"/>
    <x v="1"/>
    <n v="289"/>
    <n v="16"/>
    <n v="5.54"/>
    <n v="65.86"/>
    <n v="19033.54"/>
  </r>
  <r>
    <x v="1"/>
    <x v="0"/>
    <x v="2"/>
    <n v="128"/>
    <n v="5"/>
    <n v="3.91"/>
    <n v="11.78"/>
    <n v="1507.84"/>
  </r>
  <r>
    <x v="1"/>
    <x v="0"/>
    <x v="1"/>
    <n v="182"/>
    <n v="3"/>
    <n v="1.65"/>
    <n v="68.25"/>
    <n v="12421.5"/>
  </r>
  <r>
    <x v="1"/>
    <x v="0"/>
    <x v="1"/>
    <n v="150"/>
    <n v="0"/>
    <n v="0"/>
    <n v="66.88"/>
    <n v="10032"/>
  </r>
  <r>
    <x v="0"/>
    <x v="0"/>
    <x v="2"/>
    <n v="297"/>
    <n v="4"/>
    <n v="1.35"/>
    <n v="25.82"/>
    <n v="7668.54"/>
  </r>
  <r>
    <x v="1"/>
    <x v="0"/>
    <x v="2"/>
    <n v="87"/>
    <n v="4"/>
    <n v="4.5999999999999996"/>
    <n v="31.03"/>
    <n v="2699.61"/>
  </r>
  <r>
    <x v="1"/>
    <x v="0"/>
    <x v="1"/>
    <n v="195"/>
    <n v="11"/>
    <n v="5.64"/>
    <n v="32.909999999999997"/>
    <n v="6417.45"/>
  </r>
  <r>
    <x v="0"/>
    <x v="0"/>
    <x v="0"/>
    <n v="68"/>
    <n v="2"/>
    <n v="2.94"/>
    <n v="42.02"/>
    <n v="2857.36"/>
  </r>
  <r>
    <x v="0"/>
    <x v="0"/>
    <x v="0"/>
    <n v="267"/>
    <n v="16"/>
    <n v="5.99"/>
    <n v="12.07"/>
    <n v="3222.69"/>
  </r>
  <r>
    <x v="1"/>
    <x v="0"/>
    <x v="1"/>
    <n v="254"/>
    <n v="2"/>
    <n v="0.79"/>
    <n v="61.69"/>
    <n v="15669.26"/>
  </r>
  <r>
    <x v="1"/>
    <x v="0"/>
    <x v="2"/>
    <n v="170"/>
    <n v="13"/>
    <n v="7.65"/>
    <n v="11.56"/>
    <n v="1965.2"/>
  </r>
  <r>
    <x v="1"/>
    <x v="0"/>
    <x v="1"/>
    <n v="170"/>
    <n v="3"/>
    <n v="1.76"/>
    <n v="14.19"/>
    <n v="2412.3000000000002"/>
  </r>
  <r>
    <x v="3"/>
    <x v="0"/>
    <x v="2"/>
    <n v="259"/>
    <n v="10"/>
    <n v="3.86"/>
    <n v="69.19"/>
    <n v="17920.21"/>
  </r>
  <r>
    <x v="1"/>
    <x v="0"/>
    <x v="2"/>
    <n v="201"/>
    <n v="2"/>
    <n v="1"/>
    <n v="26.02"/>
    <n v="5230.0200000000004"/>
  </r>
  <r>
    <x v="3"/>
    <x v="0"/>
    <x v="2"/>
    <n v="103"/>
    <n v="10"/>
    <n v="9.7100000000000009"/>
    <n v="55.32"/>
    <n v="5697.96"/>
  </r>
  <r>
    <x v="0"/>
    <x v="0"/>
    <x v="0"/>
    <n v="263"/>
    <n v="16"/>
    <n v="6.08"/>
    <n v="20.76"/>
    <n v="5459.88"/>
  </r>
  <r>
    <x v="0"/>
    <x v="0"/>
    <x v="0"/>
    <n v="280"/>
    <n v="14"/>
    <n v="5"/>
    <n v="10.38"/>
    <n v="2906.4"/>
  </r>
  <r>
    <x v="0"/>
    <x v="0"/>
    <x v="0"/>
    <n v="197"/>
    <n v="19"/>
    <n v="9.64"/>
    <n v="19.510000000000002"/>
    <n v="3843.47"/>
  </r>
  <r>
    <x v="1"/>
    <x v="0"/>
    <x v="1"/>
    <n v="84"/>
    <n v="0"/>
    <n v="0"/>
    <n v="60.9"/>
    <n v="5115.6000000000004"/>
  </r>
  <r>
    <x v="1"/>
    <x v="0"/>
    <x v="1"/>
    <n v="273"/>
    <n v="17"/>
    <n v="6.23"/>
    <n v="18.18"/>
    <n v="4963.1400000000003"/>
  </r>
  <r>
    <x v="0"/>
    <x v="0"/>
    <x v="2"/>
    <n v="149"/>
    <n v="6"/>
    <n v="4.03"/>
    <n v="11.14"/>
    <n v="1659.86"/>
  </r>
  <r>
    <x v="3"/>
    <x v="0"/>
    <x v="2"/>
    <n v="205"/>
    <n v="5"/>
    <n v="2.44"/>
    <n v="59.15"/>
    <n v="12125.75"/>
  </r>
  <r>
    <x v="3"/>
    <x v="0"/>
    <x v="2"/>
    <n v="104"/>
    <n v="7"/>
    <n v="6.73"/>
    <n v="59.67"/>
    <n v="6205.68"/>
  </r>
  <r>
    <x v="0"/>
    <x v="0"/>
    <x v="0"/>
    <n v="190"/>
    <n v="12"/>
    <n v="6.32"/>
    <n v="18.149999999999999"/>
    <n v="3448.5"/>
  </r>
  <r>
    <x v="2"/>
    <x v="0"/>
    <x v="2"/>
    <n v="180"/>
    <n v="3"/>
    <n v="1.67"/>
    <n v="34.99"/>
    <n v="6298.2"/>
  </r>
  <r>
    <x v="1"/>
    <x v="0"/>
    <x v="2"/>
    <n v="183"/>
    <n v="9"/>
    <n v="4.92"/>
    <n v="5.63"/>
    <n v="1030.29"/>
  </r>
  <r>
    <x v="1"/>
    <x v="0"/>
    <x v="1"/>
    <n v="181"/>
    <n v="8"/>
    <n v="4.42"/>
    <n v="69.41"/>
    <n v="12563.21"/>
  </r>
  <r>
    <x v="1"/>
    <x v="0"/>
    <x v="2"/>
    <n v="51"/>
    <n v="4"/>
    <n v="7.84"/>
    <n v="59.69"/>
    <n v="3044.19"/>
  </r>
  <r>
    <x v="0"/>
    <x v="0"/>
    <x v="0"/>
    <n v="101"/>
    <n v="9"/>
    <n v="8.91"/>
    <n v="22.95"/>
    <n v="2317.9499999999998"/>
  </r>
  <r>
    <x v="1"/>
    <x v="0"/>
    <x v="2"/>
    <n v="120"/>
    <n v="6"/>
    <n v="5"/>
    <n v="50.08"/>
    <n v="6009.6"/>
  </r>
  <r>
    <x v="0"/>
    <x v="0"/>
    <x v="0"/>
    <n v="296"/>
    <n v="5"/>
    <n v="1.69"/>
    <n v="55.85"/>
    <n v="16531.599999999999"/>
  </r>
  <r>
    <x v="3"/>
    <x v="0"/>
    <x v="2"/>
    <n v="150"/>
    <n v="2"/>
    <n v="1.33"/>
    <n v="45.11"/>
    <n v="6766.5"/>
  </r>
  <r>
    <x v="2"/>
    <x v="0"/>
    <x v="2"/>
    <n v="193"/>
    <n v="19"/>
    <n v="9.84"/>
    <n v="34.31"/>
    <n v="6621.83"/>
  </r>
  <r>
    <x v="2"/>
    <x v="0"/>
    <x v="2"/>
    <n v="250"/>
    <n v="8"/>
    <n v="3.2"/>
    <n v="60.53"/>
    <n v="15132.5"/>
  </r>
  <r>
    <x v="3"/>
    <x v="0"/>
    <x v="2"/>
    <n v="86"/>
    <n v="1"/>
    <n v="1.1599999999999999"/>
    <n v="62.35"/>
    <n v="5362.1"/>
  </r>
  <r>
    <x v="3"/>
    <x v="0"/>
    <x v="2"/>
    <n v="282"/>
    <n v="7"/>
    <n v="2.48"/>
    <n v="62.71"/>
    <n v="17684.22"/>
  </r>
  <r>
    <x v="1"/>
    <x v="0"/>
    <x v="1"/>
    <n v="218"/>
    <n v="12"/>
    <n v="5.5"/>
    <n v="57.65"/>
    <n v="12567.7"/>
  </r>
  <r>
    <x v="1"/>
    <x v="0"/>
    <x v="1"/>
    <n v="114"/>
    <n v="11"/>
    <n v="9.65"/>
    <n v="22.03"/>
    <n v="2511.42"/>
  </r>
  <r>
    <x v="0"/>
    <x v="0"/>
    <x v="0"/>
    <n v="202"/>
    <n v="5"/>
    <n v="2.48"/>
    <n v="63.24"/>
    <n v="12774.48"/>
  </r>
  <r>
    <x v="3"/>
    <x v="0"/>
    <x v="2"/>
    <n v="106"/>
    <n v="4"/>
    <n v="3.77"/>
    <n v="61.89"/>
    <n v="6560.34"/>
  </r>
  <r>
    <x v="0"/>
    <x v="0"/>
    <x v="2"/>
    <n v="96"/>
    <n v="3"/>
    <n v="3.12"/>
    <n v="8.68"/>
    <n v="833.28"/>
  </r>
  <r>
    <x v="1"/>
    <x v="0"/>
    <x v="2"/>
    <n v="221"/>
    <n v="0"/>
    <n v="0"/>
    <n v="50.36"/>
    <n v="11129.56"/>
  </r>
  <r>
    <x v="1"/>
    <x v="0"/>
    <x v="2"/>
    <n v="61"/>
    <n v="4"/>
    <n v="6.56"/>
    <n v="66.47"/>
    <n v="4054.67"/>
  </r>
  <r>
    <x v="0"/>
    <x v="0"/>
    <x v="0"/>
    <n v="243"/>
    <n v="11"/>
    <n v="4.53"/>
    <n v="10.29"/>
    <n v="2500.4699999999998"/>
  </r>
  <r>
    <x v="0"/>
    <x v="0"/>
    <x v="2"/>
    <n v="245"/>
    <n v="3"/>
    <n v="1.22"/>
    <n v="60.02"/>
    <n v="14704.9"/>
  </r>
  <r>
    <x v="0"/>
    <x v="0"/>
    <x v="0"/>
    <n v="261"/>
    <n v="6"/>
    <n v="2.2999999999999998"/>
    <n v="10.61"/>
    <n v="2769.21"/>
  </r>
  <r>
    <x v="1"/>
    <x v="0"/>
    <x v="2"/>
    <n v="250"/>
    <n v="9"/>
    <n v="3.6"/>
    <n v="43.43"/>
    <n v="10857.5"/>
  </r>
  <r>
    <x v="3"/>
    <x v="0"/>
    <x v="2"/>
    <n v="88"/>
    <n v="3"/>
    <n v="3.41"/>
    <n v="38.51"/>
    <n v="3388.88"/>
  </r>
  <r>
    <x v="1"/>
    <x v="0"/>
    <x v="2"/>
    <n v="265"/>
    <n v="8"/>
    <n v="3.02"/>
    <n v="27.66"/>
    <n v="7329.9"/>
  </r>
  <r>
    <x v="1"/>
    <x v="0"/>
    <x v="1"/>
    <n v="73"/>
    <n v="0"/>
    <n v="0"/>
    <n v="54.71"/>
    <n v="3993.83"/>
  </r>
  <r>
    <x v="0"/>
    <x v="0"/>
    <x v="0"/>
    <n v="251"/>
    <n v="13"/>
    <n v="5.18"/>
    <n v="40.26"/>
    <n v="10105.26"/>
  </r>
  <r>
    <x v="0"/>
    <x v="0"/>
    <x v="2"/>
    <n v="292"/>
    <n v="11"/>
    <n v="3.77"/>
    <n v="29.64"/>
    <n v="8654.8799999999992"/>
  </r>
  <r>
    <x v="1"/>
    <x v="0"/>
    <x v="1"/>
    <n v="287"/>
    <n v="26"/>
    <n v="9.06"/>
    <n v="52.47"/>
    <n v="15058.89"/>
  </r>
  <r>
    <x v="2"/>
    <x v="0"/>
    <x v="2"/>
    <n v="82"/>
    <n v="4"/>
    <n v="4.88"/>
    <n v="66.98"/>
    <n v="5492.36"/>
  </r>
  <r>
    <x v="2"/>
    <x v="0"/>
    <x v="2"/>
    <n v="185"/>
    <n v="13"/>
    <n v="7.03"/>
    <n v="29.67"/>
    <n v="5488.95"/>
  </r>
  <r>
    <x v="0"/>
    <x v="0"/>
    <x v="0"/>
    <n v="287"/>
    <n v="19"/>
    <n v="6.62"/>
    <n v="12.93"/>
    <n v="3710.91"/>
  </r>
  <r>
    <x v="1"/>
    <x v="0"/>
    <x v="2"/>
    <n v="57"/>
    <n v="0"/>
    <n v="0"/>
    <n v="58.81"/>
    <n v="3352.17"/>
  </r>
  <r>
    <x v="0"/>
    <x v="0"/>
    <x v="2"/>
    <n v="146"/>
    <n v="13"/>
    <n v="8.9"/>
    <n v="60.11"/>
    <n v="8776.06"/>
  </r>
  <r>
    <x v="1"/>
    <x v="0"/>
    <x v="2"/>
    <n v="136"/>
    <n v="2"/>
    <n v="1.47"/>
    <n v="43.02"/>
    <n v="5850.72"/>
  </r>
  <r>
    <x v="1"/>
    <x v="0"/>
    <x v="2"/>
    <n v="116"/>
    <n v="4"/>
    <n v="3.45"/>
    <n v="28.95"/>
    <n v="3358.2"/>
  </r>
  <r>
    <x v="1"/>
    <x v="0"/>
    <x v="2"/>
    <n v="96"/>
    <n v="5"/>
    <n v="5.21"/>
    <n v="41.93"/>
    <n v="4025.28"/>
  </r>
  <r>
    <x v="1"/>
    <x v="0"/>
    <x v="1"/>
    <n v="206"/>
    <n v="0"/>
    <n v="0"/>
    <n v="5.82"/>
    <n v="1198.92"/>
  </r>
  <r>
    <x v="0"/>
    <x v="0"/>
    <x v="2"/>
    <n v="169"/>
    <n v="3"/>
    <n v="1.78"/>
    <n v="59.31"/>
    <n v="10023.39"/>
  </r>
  <r>
    <x v="2"/>
    <x v="0"/>
    <x v="2"/>
    <n v="175"/>
    <n v="9"/>
    <n v="5.14"/>
    <n v="10.37"/>
    <n v="1814.75"/>
  </r>
  <r>
    <x v="0"/>
    <x v="0"/>
    <x v="2"/>
    <n v="218"/>
    <n v="5"/>
    <n v="2.29"/>
    <n v="13.42"/>
    <n v="2925.56"/>
  </r>
  <r>
    <x v="3"/>
    <x v="0"/>
    <x v="2"/>
    <n v="215"/>
    <n v="19"/>
    <n v="8.84"/>
    <n v="7.9"/>
    <n v="1698.5"/>
  </r>
  <r>
    <x v="0"/>
    <x v="0"/>
    <x v="2"/>
    <n v="266"/>
    <n v="16"/>
    <n v="6.02"/>
    <n v="30.27"/>
    <n v="8051.82"/>
  </r>
  <r>
    <x v="3"/>
    <x v="0"/>
    <x v="2"/>
    <n v="290"/>
    <n v="0"/>
    <n v="0"/>
    <n v="9.83"/>
    <n v="2850.7"/>
  </r>
  <r>
    <x v="0"/>
    <x v="0"/>
    <x v="0"/>
    <n v="188"/>
    <n v="18"/>
    <n v="9.57"/>
    <n v="9.11"/>
    <n v="1712.68"/>
  </r>
  <r>
    <x v="3"/>
    <x v="0"/>
    <x v="2"/>
    <n v="213"/>
    <n v="21"/>
    <n v="9.86"/>
    <n v="51.47"/>
    <n v="10963.11"/>
  </r>
  <r>
    <x v="1"/>
    <x v="0"/>
    <x v="2"/>
    <n v="267"/>
    <n v="8"/>
    <n v="3"/>
    <n v="67.59"/>
    <n v="18046.53"/>
  </r>
  <r>
    <x v="1"/>
    <x v="0"/>
    <x v="2"/>
    <n v="164"/>
    <n v="5"/>
    <n v="3.05"/>
    <n v="7.67"/>
    <n v="1257.8800000000001"/>
  </r>
  <r>
    <x v="0"/>
    <x v="0"/>
    <x v="0"/>
    <n v="180"/>
    <n v="12"/>
    <n v="6.67"/>
    <n v="19.07"/>
    <n v="3432.6"/>
  </r>
  <r>
    <x v="0"/>
    <x v="0"/>
    <x v="2"/>
    <n v="122"/>
    <n v="3"/>
    <n v="2.46"/>
    <n v="7.05"/>
    <n v="860.1"/>
  </r>
  <r>
    <x v="0"/>
    <x v="0"/>
    <x v="2"/>
    <n v="224"/>
    <n v="16"/>
    <n v="7.14"/>
    <n v="61.05"/>
    <n v="13675.2"/>
  </r>
  <r>
    <x v="1"/>
    <x v="0"/>
    <x v="1"/>
    <n v="81"/>
    <n v="3"/>
    <n v="3.7"/>
    <n v="55.64"/>
    <n v="4506.84"/>
  </r>
  <r>
    <x v="0"/>
    <x v="0"/>
    <x v="2"/>
    <n v="85"/>
    <n v="8"/>
    <n v="9.41"/>
    <n v="14.96"/>
    <n v="1271.5999999999999"/>
  </r>
  <r>
    <x v="1"/>
    <x v="0"/>
    <x v="1"/>
    <n v="98"/>
    <n v="4"/>
    <n v="4.08"/>
    <n v="5.07"/>
    <n v="496.86"/>
  </r>
  <r>
    <x v="1"/>
    <x v="0"/>
    <x v="1"/>
    <n v="126"/>
    <n v="2"/>
    <n v="1.59"/>
    <n v="7.89"/>
    <n v="994.14"/>
  </r>
  <r>
    <x v="2"/>
    <x v="0"/>
    <x v="2"/>
    <n v="277"/>
    <n v="2"/>
    <n v="0.72"/>
    <n v="11.61"/>
    <n v="3215.97"/>
  </r>
  <r>
    <x v="0"/>
    <x v="0"/>
    <x v="2"/>
    <n v="283"/>
    <n v="21"/>
    <n v="7.42"/>
    <n v="46.98"/>
    <n v="13295.34"/>
  </r>
  <r>
    <x v="2"/>
    <x v="0"/>
    <x v="2"/>
    <n v="259"/>
    <n v="7"/>
    <n v="2.7"/>
    <n v="68.989999999999995"/>
    <n v="17868.41"/>
  </r>
  <r>
    <x v="1"/>
    <x v="0"/>
    <x v="2"/>
    <n v="57"/>
    <n v="3"/>
    <n v="5.26"/>
    <n v="65.739999999999995"/>
    <n v="3747.18"/>
  </r>
  <r>
    <x v="1"/>
    <x v="0"/>
    <x v="1"/>
    <n v="242"/>
    <n v="15"/>
    <n v="6.2"/>
    <n v="65.650000000000006"/>
    <n v="15887.3"/>
  </r>
  <r>
    <x v="0"/>
    <x v="0"/>
    <x v="2"/>
    <n v="236"/>
    <n v="16"/>
    <n v="6.78"/>
    <n v="47.25"/>
    <n v="11151"/>
  </r>
  <r>
    <x v="1"/>
    <x v="0"/>
    <x v="2"/>
    <n v="197"/>
    <n v="12"/>
    <n v="6.09"/>
    <n v="67.84"/>
    <n v="13364.48"/>
  </r>
  <r>
    <x v="2"/>
    <x v="0"/>
    <x v="2"/>
    <n v="251"/>
    <n v="8"/>
    <n v="3.19"/>
    <n v="38.24"/>
    <n v="9598.24"/>
  </r>
  <r>
    <x v="3"/>
    <x v="0"/>
    <x v="2"/>
    <n v="242"/>
    <n v="13"/>
    <n v="5.37"/>
    <n v="22.29"/>
    <n v="5394.18"/>
  </r>
  <r>
    <x v="0"/>
    <x v="0"/>
    <x v="2"/>
    <n v="106"/>
    <n v="0"/>
    <n v="0"/>
    <n v="30.16"/>
    <n v="3196.96"/>
  </r>
  <r>
    <x v="0"/>
    <x v="0"/>
    <x v="0"/>
    <n v="158"/>
    <n v="11"/>
    <n v="6.96"/>
    <n v="60.11"/>
    <n v="9497.3799999999992"/>
  </r>
  <r>
    <x v="1"/>
    <x v="0"/>
    <x v="1"/>
    <n v="98"/>
    <n v="7"/>
    <n v="7.14"/>
    <n v="32.9"/>
    <n v="3224.2"/>
  </r>
  <r>
    <x v="3"/>
    <x v="0"/>
    <x v="2"/>
    <n v="93"/>
    <n v="6"/>
    <n v="6.45"/>
    <n v="44.52"/>
    <n v="4140.3599999999997"/>
  </r>
  <r>
    <x v="1"/>
    <x v="0"/>
    <x v="2"/>
    <n v="191"/>
    <n v="18"/>
    <n v="9.42"/>
    <n v="26.74"/>
    <n v="5107.34"/>
  </r>
  <r>
    <x v="1"/>
    <x v="0"/>
    <x v="1"/>
    <n v="66"/>
    <n v="4"/>
    <n v="6.06"/>
    <n v="43.58"/>
    <n v="2876.28"/>
  </r>
  <r>
    <x v="3"/>
    <x v="0"/>
    <x v="2"/>
    <n v="256"/>
    <n v="25"/>
    <n v="9.77"/>
    <n v="43.27"/>
    <n v="11077.12"/>
  </r>
  <r>
    <x v="0"/>
    <x v="0"/>
    <x v="0"/>
    <n v="278"/>
    <n v="24"/>
    <n v="8.6300000000000008"/>
    <n v="58.42"/>
    <n v="16240.76"/>
  </r>
  <r>
    <x v="1"/>
    <x v="0"/>
    <x v="2"/>
    <n v="88"/>
    <n v="7"/>
    <n v="7.95"/>
    <n v="45.54"/>
    <n v="4007.52"/>
  </r>
  <r>
    <x v="0"/>
    <x v="0"/>
    <x v="2"/>
    <n v="193"/>
    <n v="16"/>
    <n v="8.2899999999999991"/>
    <n v="36.75"/>
    <n v="7092.75"/>
  </r>
  <r>
    <x v="3"/>
    <x v="0"/>
    <x v="2"/>
    <n v="69"/>
    <n v="6"/>
    <n v="8.6999999999999993"/>
    <n v="9.0299999999999994"/>
    <n v="623.07000000000005"/>
  </r>
  <r>
    <x v="0"/>
    <x v="0"/>
    <x v="2"/>
    <n v="174"/>
    <n v="12"/>
    <n v="6.9"/>
    <n v="18.11"/>
    <n v="3151.14"/>
  </r>
  <r>
    <x v="2"/>
    <x v="0"/>
    <x v="2"/>
    <n v="224"/>
    <n v="8"/>
    <n v="3.57"/>
    <n v="39.799999999999997"/>
    <n v="8915.2000000000007"/>
  </r>
  <r>
    <x v="0"/>
    <x v="0"/>
    <x v="2"/>
    <n v="185"/>
    <n v="17"/>
    <n v="9.19"/>
    <n v="5.05"/>
    <n v="934.25"/>
  </r>
  <r>
    <x v="0"/>
    <x v="0"/>
    <x v="0"/>
    <n v="192"/>
    <n v="8"/>
    <n v="4.17"/>
    <n v="53.27"/>
    <n v="10227.84"/>
  </r>
  <r>
    <x v="1"/>
    <x v="0"/>
    <x v="2"/>
    <n v="63"/>
    <n v="0"/>
    <n v="0"/>
    <n v="50.22"/>
    <n v="3163.86"/>
  </r>
  <r>
    <x v="0"/>
    <x v="0"/>
    <x v="0"/>
    <n v="203"/>
    <n v="7"/>
    <n v="3.45"/>
    <n v="9.89"/>
    <n v="2007.67"/>
  </r>
  <r>
    <x v="1"/>
    <x v="0"/>
    <x v="2"/>
    <n v="89"/>
    <n v="0"/>
    <n v="0"/>
    <n v="24.48"/>
    <n v="2178.7199999999998"/>
  </r>
  <r>
    <x v="1"/>
    <x v="0"/>
    <x v="2"/>
    <n v="232"/>
    <n v="19"/>
    <n v="8.19"/>
    <n v="35.47"/>
    <n v="8229.0400000000009"/>
  </r>
  <r>
    <x v="1"/>
    <x v="0"/>
    <x v="2"/>
    <n v="224"/>
    <n v="9"/>
    <n v="4.0199999999999996"/>
    <n v="16.079999999999998"/>
    <n v="3601.92"/>
  </r>
  <r>
    <x v="2"/>
    <x v="0"/>
    <x v="2"/>
    <n v="185"/>
    <n v="1"/>
    <n v="0.54"/>
    <n v="41.33"/>
    <n v="7646.05"/>
  </r>
  <r>
    <x v="1"/>
    <x v="0"/>
    <x v="2"/>
    <n v="98"/>
    <n v="3"/>
    <n v="3.06"/>
    <n v="65.8"/>
    <n v="6448.4"/>
  </r>
  <r>
    <x v="1"/>
    <x v="0"/>
    <x v="2"/>
    <n v="165"/>
    <n v="5"/>
    <n v="3.03"/>
    <n v="67.59"/>
    <n v="11152.35"/>
  </r>
  <r>
    <x v="2"/>
    <x v="0"/>
    <x v="2"/>
    <n v="226"/>
    <n v="0"/>
    <n v="0"/>
    <n v="55.71"/>
    <n v="12590.46"/>
  </r>
  <r>
    <x v="1"/>
    <x v="0"/>
    <x v="1"/>
    <n v="213"/>
    <n v="12"/>
    <n v="5.63"/>
    <n v="58.25"/>
    <n v="12407.25"/>
  </r>
  <r>
    <x v="1"/>
    <x v="0"/>
    <x v="1"/>
    <n v="141"/>
    <n v="13"/>
    <n v="9.2200000000000006"/>
    <n v="47.39"/>
    <n v="6681.99"/>
  </r>
  <r>
    <x v="1"/>
    <x v="0"/>
    <x v="2"/>
    <n v="187"/>
    <n v="18"/>
    <n v="9.6300000000000008"/>
    <n v="33.159999999999997"/>
    <n v="6200.92"/>
  </r>
  <r>
    <x v="3"/>
    <x v="0"/>
    <x v="2"/>
    <n v="273"/>
    <n v="9"/>
    <n v="3.3"/>
    <n v="58.55"/>
    <n v="15984.15"/>
  </r>
  <r>
    <x v="0"/>
    <x v="0"/>
    <x v="0"/>
    <n v="142"/>
    <n v="2"/>
    <n v="1.41"/>
    <n v="67.569999999999993"/>
    <n v="9594.94"/>
  </r>
  <r>
    <x v="2"/>
    <x v="0"/>
    <x v="2"/>
    <n v="136"/>
    <n v="10"/>
    <n v="7.35"/>
    <n v="58.29"/>
    <n v="7927.44"/>
  </r>
  <r>
    <x v="1"/>
    <x v="0"/>
    <x v="1"/>
    <n v="263"/>
    <n v="11"/>
    <n v="4.18"/>
    <n v="62.01"/>
    <n v="16308.63"/>
  </r>
  <r>
    <x v="0"/>
    <x v="0"/>
    <x v="0"/>
    <n v="205"/>
    <n v="20"/>
    <n v="9.76"/>
    <n v="41.79"/>
    <n v="8566.9500000000007"/>
  </r>
  <r>
    <x v="3"/>
    <x v="0"/>
    <x v="2"/>
    <n v="295"/>
    <n v="6"/>
    <n v="2.0299999999999998"/>
    <n v="10.81"/>
    <n v="3188.95"/>
  </r>
  <r>
    <x v="1"/>
    <x v="0"/>
    <x v="1"/>
    <n v="192"/>
    <n v="14"/>
    <n v="7.29"/>
    <n v="28.99"/>
    <n v="5566.08"/>
  </r>
  <r>
    <x v="3"/>
    <x v="0"/>
    <x v="2"/>
    <n v="68"/>
    <n v="3"/>
    <n v="4.41"/>
    <n v="19.010000000000002"/>
    <n v="1292.68"/>
  </r>
  <r>
    <x v="0"/>
    <x v="0"/>
    <x v="2"/>
    <n v="298"/>
    <n v="8"/>
    <n v="2.68"/>
    <n v="24.62"/>
    <n v="7336.76"/>
  </r>
  <r>
    <x v="0"/>
    <x v="0"/>
    <x v="0"/>
    <n v="276"/>
    <n v="14"/>
    <n v="5.07"/>
    <n v="69.02"/>
    <n v="19049.52"/>
  </r>
  <r>
    <x v="0"/>
    <x v="0"/>
    <x v="0"/>
    <n v="241"/>
    <n v="21"/>
    <n v="8.7100000000000009"/>
    <n v="40.31"/>
    <n v="9714.7099999999991"/>
  </r>
  <r>
    <x v="0"/>
    <x v="0"/>
    <x v="2"/>
    <n v="218"/>
    <n v="10"/>
    <n v="4.59"/>
    <n v="9.23"/>
    <n v="2012.14"/>
  </r>
  <r>
    <x v="2"/>
    <x v="0"/>
    <x v="2"/>
    <n v="258"/>
    <n v="12"/>
    <n v="4.6500000000000004"/>
    <n v="36.049999999999997"/>
    <n v="9300.9"/>
  </r>
  <r>
    <x v="2"/>
    <x v="0"/>
    <x v="2"/>
    <n v="102"/>
    <n v="0"/>
    <n v="0"/>
    <n v="16.43"/>
    <n v="1675.86"/>
  </r>
  <r>
    <x v="1"/>
    <x v="0"/>
    <x v="1"/>
    <n v="179"/>
    <n v="9"/>
    <n v="5.03"/>
    <n v="37.06"/>
    <n v="6633.74"/>
  </r>
  <r>
    <x v="0"/>
    <x v="0"/>
    <x v="2"/>
    <n v="117"/>
    <n v="8"/>
    <n v="6.84"/>
    <n v="20.22"/>
    <n v="2365.7399999999998"/>
  </r>
  <r>
    <x v="0"/>
    <x v="0"/>
    <x v="2"/>
    <n v="165"/>
    <n v="15"/>
    <n v="9.09"/>
    <n v="62.4"/>
    <n v="10296"/>
  </r>
  <r>
    <x v="1"/>
    <x v="0"/>
    <x v="1"/>
    <n v="87"/>
    <n v="3"/>
    <n v="3.45"/>
    <n v="5.7"/>
    <n v="495.9"/>
  </r>
  <r>
    <x v="0"/>
    <x v="0"/>
    <x v="2"/>
    <n v="207"/>
    <n v="13"/>
    <n v="6.28"/>
    <n v="19.48"/>
    <n v="4032.36"/>
  </r>
  <r>
    <x v="0"/>
    <x v="0"/>
    <x v="2"/>
    <n v="123"/>
    <n v="0"/>
    <n v="0"/>
    <n v="16.149999999999999"/>
    <n v="1986.45"/>
  </r>
  <r>
    <x v="0"/>
    <x v="0"/>
    <x v="0"/>
    <n v="164"/>
    <n v="6"/>
    <n v="3.66"/>
    <n v="65.31"/>
    <n v="10710.84"/>
  </r>
  <r>
    <x v="2"/>
    <x v="0"/>
    <x v="2"/>
    <n v="181"/>
    <n v="1"/>
    <n v="0.55000000000000004"/>
    <n v="25.39"/>
    <n v="4595.59"/>
  </r>
  <r>
    <x v="3"/>
    <x v="0"/>
    <x v="2"/>
    <n v="194"/>
    <n v="10"/>
    <n v="5.15"/>
    <n v="53.39"/>
    <n v="10357.66"/>
  </r>
  <r>
    <x v="1"/>
    <x v="0"/>
    <x v="1"/>
    <n v="292"/>
    <n v="26"/>
    <n v="8.9"/>
    <n v="18.489999999999998"/>
    <n v="5399.08"/>
  </r>
  <r>
    <x v="1"/>
    <x v="0"/>
    <x v="1"/>
    <n v="237"/>
    <n v="14"/>
    <n v="5.91"/>
    <n v="44.03"/>
    <n v="10435.11"/>
  </r>
  <r>
    <x v="3"/>
    <x v="0"/>
    <x v="2"/>
    <n v="66"/>
    <n v="4"/>
    <n v="6.06"/>
    <n v="32.18"/>
    <n v="2123.88"/>
  </r>
  <r>
    <x v="2"/>
    <x v="0"/>
    <x v="2"/>
    <n v="102"/>
    <n v="6"/>
    <n v="5.88"/>
    <n v="58.22"/>
    <n v="5938.44"/>
  </r>
  <r>
    <x v="1"/>
    <x v="0"/>
    <x v="2"/>
    <n v="128"/>
    <n v="3"/>
    <n v="2.34"/>
    <n v="17.04"/>
    <n v="2181.12"/>
  </r>
  <r>
    <x v="1"/>
    <x v="0"/>
    <x v="1"/>
    <n v="116"/>
    <n v="10"/>
    <n v="8.6199999999999992"/>
    <n v="31.02"/>
    <n v="3598.32"/>
  </r>
  <r>
    <x v="1"/>
    <x v="0"/>
    <x v="2"/>
    <n v="257"/>
    <n v="12"/>
    <n v="4.67"/>
    <n v="64.06"/>
    <n v="16463.419999999998"/>
  </r>
  <r>
    <x v="1"/>
    <x v="0"/>
    <x v="1"/>
    <n v="179"/>
    <n v="2"/>
    <n v="1.1200000000000001"/>
    <n v="60.2"/>
    <n v="10775.8"/>
  </r>
  <r>
    <x v="3"/>
    <x v="0"/>
    <x v="2"/>
    <n v="121"/>
    <n v="4"/>
    <n v="3.31"/>
    <n v="43.4"/>
    <n v="5251.4"/>
  </r>
  <r>
    <x v="2"/>
    <x v="0"/>
    <x v="2"/>
    <n v="68"/>
    <n v="5"/>
    <n v="7.35"/>
    <n v="55.42"/>
    <n v="3768.56"/>
  </r>
  <r>
    <x v="1"/>
    <x v="0"/>
    <x v="1"/>
    <n v="295"/>
    <n v="3"/>
    <n v="1.02"/>
    <n v="21.09"/>
    <n v="6221.55"/>
  </r>
  <r>
    <x v="3"/>
    <x v="0"/>
    <x v="2"/>
    <n v="255"/>
    <n v="14"/>
    <n v="5.49"/>
    <n v="35.15"/>
    <n v="8963.25"/>
  </r>
  <r>
    <x v="0"/>
    <x v="0"/>
    <x v="2"/>
    <n v="60"/>
    <n v="5"/>
    <n v="8.33"/>
    <n v="11.14"/>
    <n v="668.4"/>
  </r>
  <r>
    <x v="3"/>
    <x v="0"/>
    <x v="2"/>
    <n v="285"/>
    <n v="8"/>
    <n v="2.81"/>
    <n v="52.31"/>
    <n v="14908.35"/>
  </r>
  <r>
    <x v="3"/>
    <x v="0"/>
    <x v="2"/>
    <n v="206"/>
    <n v="12"/>
    <n v="5.83"/>
    <n v="6.13"/>
    <n v="1262.78"/>
  </r>
  <r>
    <x v="0"/>
    <x v="0"/>
    <x v="0"/>
    <n v="88"/>
    <n v="6"/>
    <n v="6.82"/>
    <n v="18.03"/>
    <n v="1586.64"/>
  </r>
  <r>
    <x v="3"/>
    <x v="0"/>
    <x v="2"/>
    <n v="171"/>
    <n v="14"/>
    <n v="8.19"/>
    <n v="26.29"/>
    <n v="4495.59"/>
  </r>
  <r>
    <x v="1"/>
    <x v="0"/>
    <x v="2"/>
    <n v="228"/>
    <n v="19"/>
    <n v="8.33"/>
    <n v="22.92"/>
    <n v="5225.76"/>
  </r>
  <r>
    <x v="1"/>
    <x v="0"/>
    <x v="2"/>
    <n v="255"/>
    <n v="7"/>
    <n v="2.75"/>
    <n v="18.78"/>
    <n v="4788.8999999999996"/>
  </r>
  <r>
    <x v="0"/>
    <x v="0"/>
    <x v="0"/>
    <n v="93"/>
    <n v="4"/>
    <n v="4.3"/>
    <n v="41.2"/>
    <n v="3831.6"/>
  </r>
  <r>
    <x v="3"/>
    <x v="0"/>
    <x v="2"/>
    <n v="237"/>
    <n v="7"/>
    <n v="2.95"/>
    <n v="63.55"/>
    <n v="15061.35"/>
  </r>
  <r>
    <x v="1"/>
    <x v="0"/>
    <x v="2"/>
    <n v="235"/>
    <n v="3"/>
    <n v="1.28"/>
    <n v="69.62"/>
    <n v="16360.7"/>
  </r>
  <r>
    <x v="3"/>
    <x v="0"/>
    <x v="2"/>
    <n v="107"/>
    <n v="9"/>
    <n v="8.41"/>
    <n v="16.100000000000001"/>
    <n v="1722.7"/>
  </r>
  <r>
    <x v="1"/>
    <x v="0"/>
    <x v="1"/>
    <n v="207"/>
    <n v="5"/>
    <n v="2.42"/>
    <n v="59.32"/>
    <n v="12279.24"/>
  </r>
  <r>
    <x v="0"/>
    <x v="0"/>
    <x v="0"/>
    <n v="70"/>
    <n v="5"/>
    <n v="7.14"/>
    <n v="9.1199999999999992"/>
    <n v="638.4"/>
  </r>
  <r>
    <x v="0"/>
    <x v="0"/>
    <x v="2"/>
    <n v="139"/>
    <n v="3"/>
    <n v="2.16"/>
    <n v="45.93"/>
    <n v="6384.27"/>
  </r>
  <r>
    <x v="0"/>
    <x v="0"/>
    <x v="0"/>
    <n v="208"/>
    <n v="2"/>
    <n v="0.96"/>
    <n v="33.76"/>
    <n v="7022.08"/>
  </r>
  <r>
    <x v="3"/>
    <x v="0"/>
    <x v="2"/>
    <n v="204"/>
    <n v="3"/>
    <n v="1.47"/>
    <n v="68.23"/>
    <n v="13918.92"/>
  </r>
  <r>
    <x v="0"/>
    <x v="0"/>
    <x v="2"/>
    <n v="108"/>
    <n v="10"/>
    <n v="9.26"/>
    <n v="40.96"/>
    <n v="4423.68"/>
  </r>
  <r>
    <x v="1"/>
    <x v="0"/>
    <x v="2"/>
    <n v="231"/>
    <n v="13"/>
    <n v="5.63"/>
    <n v="62.04"/>
    <n v="14331.24"/>
  </r>
  <r>
    <x v="1"/>
    <x v="0"/>
    <x v="1"/>
    <n v="139"/>
    <n v="4"/>
    <n v="2.88"/>
    <n v="34.090000000000003"/>
    <n v="4738.51"/>
  </r>
  <r>
    <x v="0"/>
    <x v="0"/>
    <x v="0"/>
    <n v="78"/>
    <n v="5"/>
    <n v="6.41"/>
    <n v="47.19"/>
    <n v="3680.82"/>
  </r>
  <r>
    <x v="0"/>
    <x v="0"/>
    <x v="2"/>
    <n v="179"/>
    <n v="11"/>
    <n v="6.15"/>
    <n v="19.260000000000002"/>
    <n v="3447.54"/>
  </r>
  <r>
    <x v="3"/>
    <x v="0"/>
    <x v="2"/>
    <n v="150"/>
    <n v="1"/>
    <n v="0.67"/>
    <n v="26.32"/>
    <n v="3948"/>
  </r>
  <r>
    <x v="2"/>
    <x v="0"/>
    <x v="2"/>
    <n v="127"/>
    <n v="0"/>
    <n v="0"/>
    <n v="29.47"/>
    <n v="3742.69"/>
  </r>
  <r>
    <x v="1"/>
    <x v="0"/>
    <x v="1"/>
    <n v="80"/>
    <n v="8"/>
    <n v="10"/>
    <n v="60.18"/>
    <n v="4814.3999999999996"/>
  </r>
  <r>
    <x v="0"/>
    <x v="0"/>
    <x v="2"/>
    <n v="101"/>
    <n v="4"/>
    <n v="3.96"/>
    <n v="67.05"/>
    <n v="6772.05"/>
  </r>
  <r>
    <x v="1"/>
    <x v="0"/>
    <x v="2"/>
    <n v="86"/>
    <n v="3"/>
    <n v="3.49"/>
    <n v="58.41"/>
    <n v="5023.26"/>
  </r>
  <r>
    <x v="1"/>
    <x v="0"/>
    <x v="2"/>
    <n v="113"/>
    <n v="2"/>
    <n v="1.77"/>
    <n v="43.4"/>
    <n v="4904.2"/>
  </r>
  <r>
    <x v="1"/>
    <x v="0"/>
    <x v="1"/>
    <n v="300"/>
    <n v="22"/>
    <n v="7.33"/>
    <n v="54.72"/>
    <n v="16416"/>
  </r>
  <r>
    <x v="3"/>
    <x v="0"/>
    <x v="2"/>
    <n v="55"/>
    <n v="2"/>
    <n v="3.64"/>
    <n v="11.3"/>
    <n v="621.5"/>
  </r>
  <r>
    <x v="2"/>
    <x v="0"/>
    <x v="2"/>
    <n v="279"/>
    <n v="3"/>
    <n v="1.08"/>
    <n v="32.25"/>
    <n v="8997.75"/>
  </r>
  <r>
    <x v="0"/>
    <x v="0"/>
    <x v="2"/>
    <n v="209"/>
    <n v="13"/>
    <n v="6.22"/>
    <n v="56.52"/>
    <n v="11812.68"/>
  </r>
  <r>
    <x v="3"/>
    <x v="0"/>
    <x v="2"/>
    <n v="73"/>
    <n v="6"/>
    <n v="8.2200000000000006"/>
    <n v="17.809999999999999"/>
    <n v="1300.1300000000001"/>
  </r>
  <r>
    <x v="1"/>
    <x v="0"/>
    <x v="1"/>
    <n v="269"/>
    <n v="2"/>
    <n v="0.74"/>
    <n v="17.21"/>
    <n v="4629.49"/>
  </r>
  <r>
    <x v="3"/>
    <x v="0"/>
    <x v="2"/>
    <n v="111"/>
    <n v="3"/>
    <n v="2.7"/>
    <n v="36.340000000000003"/>
    <n v="4033.74"/>
  </r>
  <r>
    <x v="1"/>
    <x v="0"/>
    <x v="1"/>
    <n v="218"/>
    <n v="18"/>
    <n v="8.26"/>
    <n v="23.5"/>
    <n v="5123"/>
  </r>
  <r>
    <x v="1"/>
    <x v="0"/>
    <x v="1"/>
    <n v="85"/>
    <n v="0"/>
    <n v="0"/>
    <n v="26.24"/>
    <n v="2230.4"/>
  </r>
  <r>
    <x v="0"/>
    <x v="0"/>
    <x v="2"/>
    <n v="112"/>
    <n v="1"/>
    <n v="0.89"/>
    <n v="9.52"/>
    <n v="1066.24"/>
  </r>
  <r>
    <x v="1"/>
    <x v="0"/>
    <x v="2"/>
    <n v="90"/>
    <n v="8"/>
    <n v="8.89"/>
    <n v="65.709999999999994"/>
    <n v="5913.9"/>
  </r>
  <r>
    <x v="3"/>
    <x v="0"/>
    <x v="2"/>
    <n v="161"/>
    <n v="5"/>
    <n v="3.11"/>
    <n v="55.84"/>
    <n v="8990.24"/>
  </r>
  <r>
    <x v="1"/>
    <x v="0"/>
    <x v="1"/>
    <n v="295"/>
    <n v="1"/>
    <n v="0.34"/>
    <n v="64.010000000000005"/>
    <n v="18882.95"/>
  </r>
  <r>
    <x v="0"/>
    <x v="0"/>
    <x v="0"/>
    <n v="236"/>
    <n v="17"/>
    <n v="7.2"/>
    <n v="11.09"/>
    <n v="2617.2399999999998"/>
  </r>
  <r>
    <x v="1"/>
    <x v="0"/>
    <x v="2"/>
    <n v="298"/>
    <n v="11"/>
    <n v="3.69"/>
    <n v="46.62"/>
    <n v="13892.76"/>
  </r>
  <r>
    <x v="2"/>
    <x v="0"/>
    <x v="2"/>
    <n v="192"/>
    <n v="16"/>
    <n v="8.33"/>
    <n v="33.06"/>
    <n v="6347.52"/>
  </r>
  <r>
    <x v="0"/>
    <x v="0"/>
    <x v="2"/>
    <n v="255"/>
    <n v="17"/>
    <n v="6.67"/>
    <n v="24.68"/>
    <n v="6293.4"/>
  </r>
  <r>
    <x v="0"/>
    <x v="0"/>
    <x v="2"/>
    <n v="70"/>
    <n v="1"/>
    <n v="1.43"/>
    <n v="23.51"/>
    <n v="1645.7"/>
  </r>
  <r>
    <x v="1"/>
    <x v="0"/>
    <x v="2"/>
    <n v="225"/>
    <n v="11"/>
    <n v="4.8899999999999997"/>
    <n v="55.65"/>
    <n v="12521.25"/>
  </r>
  <r>
    <x v="2"/>
    <x v="0"/>
    <x v="2"/>
    <n v="114"/>
    <n v="1"/>
    <n v="0.88"/>
    <n v="19.63"/>
    <n v="2237.8200000000002"/>
  </r>
  <r>
    <x v="0"/>
    <x v="0"/>
    <x v="2"/>
    <n v="169"/>
    <n v="11"/>
    <n v="6.51"/>
    <n v="61.76"/>
    <n v="10437.44"/>
  </r>
  <r>
    <x v="1"/>
    <x v="0"/>
    <x v="1"/>
    <n v="294"/>
    <n v="6"/>
    <n v="2.04"/>
    <n v="22.66"/>
    <n v="6662.04"/>
  </r>
  <r>
    <x v="1"/>
    <x v="0"/>
    <x v="1"/>
    <n v="166"/>
    <n v="8"/>
    <n v="4.82"/>
    <n v="67.86"/>
    <n v="11264.76"/>
  </r>
  <r>
    <x v="3"/>
    <x v="0"/>
    <x v="2"/>
    <n v="99"/>
    <n v="6"/>
    <n v="6.06"/>
    <n v="59.67"/>
    <n v="5907.33"/>
  </r>
  <r>
    <x v="2"/>
    <x v="0"/>
    <x v="2"/>
    <n v="214"/>
    <n v="19"/>
    <n v="8.8800000000000008"/>
    <n v="41.63"/>
    <n v="8908.82"/>
  </r>
  <r>
    <x v="3"/>
    <x v="0"/>
    <x v="2"/>
    <n v="232"/>
    <n v="14"/>
    <n v="6.03"/>
    <n v="40.590000000000003"/>
    <n v="9416.8799999999992"/>
  </r>
  <r>
    <x v="2"/>
    <x v="0"/>
    <x v="2"/>
    <n v="53"/>
    <n v="0"/>
    <n v="0"/>
    <n v="57.92"/>
    <n v="3069.76"/>
  </r>
  <r>
    <x v="0"/>
    <x v="0"/>
    <x v="2"/>
    <n v="247"/>
    <n v="8"/>
    <n v="3.24"/>
    <n v="53.25"/>
    <n v="13152.75"/>
  </r>
  <r>
    <x v="0"/>
    <x v="0"/>
    <x v="2"/>
    <n v="93"/>
    <n v="4"/>
    <n v="4.3"/>
    <n v="40.69"/>
    <n v="3784.17"/>
  </r>
  <r>
    <x v="0"/>
    <x v="0"/>
    <x v="2"/>
    <n v="268"/>
    <n v="21"/>
    <n v="7.84"/>
    <n v="67.959999999999994"/>
    <n v="18213.28"/>
  </r>
  <r>
    <x v="3"/>
    <x v="0"/>
    <x v="2"/>
    <n v="264"/>
    <n v="19"/>
    <n v="7.2"/>
    <n v="16.27"/>
    <n v="4295.28"/>
  </r>
  <r>
    <x v="2"/>
    <x v="0"/>
    <x v="2"/>
    <n v="137"/>
    <n v="8"/>
    <n v="5.84"/>
    <n v="32.11"/>
    <n v="4399.07"/>
  </r>
  <r>
    <x v="2"/>
    <x v="0"/>
    <x v="2"/>
    <n v="52"/>
    <n v="2"/>
    <n v="3.85"/>
    <n v="43.95"/>
    <n v="2285.4"/>
  </r>
  <r>
    <x v="3"/>
    <x v="0"/>
    <x v="2"/>
    <n v="134"/>
    <n v="4"/>
    <n v="2.99"/>
    <n v="23.94"/>
    <n v="3207.96"/>
  </r>
  <r>
    <x v="1"/>
    <x v="0"/>
    <x v="1"/>
    <n v="285"/>
    <n v="21"/>
    <n v="7.37"/>
    <n v="35.14"/>
    <n v="10014.9"/>
  </r>
  <r>
    <x v="3"/>
    <x v="0"/>
    <x v="2"/>
    <n v="150"/>
    <n v="15"/>
    <n v="10"/>
    <n v="19.059999999999999"/>
    <n v="2859"/>
  </r>
  <r>
    <x v="0"/>
    <x v="0"/>
    <x v="0"/>
    <n v="114"/>
    <n v="6"/>
    <n v="5.26"/>
    <n v="36.9"/>
    <n v="4206.6000000000004"/>
  </r>
  <r>
    <x v="0"/>
    <x v="0"/>
    <x v="0"/>
    <n v="295"/>
    <n v="2"/>
    <n v="0.68"/>
    <n v="9.1199999999999992"/>
    <n v="2690.4"/>
  </r>
  <r>
    <x v="2"/>
    <x v="0"/>
    <x v="2"/>
    <n v="223"/>
    <n v="20"/>
    <n v="8.9700000000000006"/>
    <n v="22.23"/>
    <n v="4957.29"/>
  </r>
  <r>
    <x v="0"/>
    <x v="0"/>
    <x v="2"/>
    <n v="88"/>
    <n v="1"/>
    <n v="1.1399999999999999"/>
    <n v="30.64"/>
    <n v="2696.32"/>
  </r>
  <r>
    <x v="0"/>
    <x v="0"/>
    <x v="0"/>
    <n v="209"/>
    <n v="10"/>
    <n v="4.78"/>
    <n v="41.3"/>
    <n v="8631.7000000000007"/>
  </r>
  <r>
    <x v="1"/>
    <x v="0"/>
    <x v="2"/>
    <n v="287"/>
    <n v="2"/>
    <n v="0.7"/>
    <n v="9.93"/>
    <n v="2849.91"/>
  </r>
  <r>
    <x v="0"/>
    <x v="0"/>
    <x v="0"/>
    <n v="127"/>
    <n v="2"/>
    <n v="1.57"/>
    <n v="45.68"/>
    <n v="5801.36"/>
  </r>
  <r>
    <x v="0"/>
    <x v="0"/>
    <x v="2"/>
    <n v="192"/>
    <n v="12"/>
    <n v="6.25"/>
    <n v="7.3"/>
    <n v="1401.6"/>
  </r>
  <r>
    <x v="0"/>
    <x v="0"/>
    <x v="0"/>
    <n v="218"/>
    <n v="16"/>
    <n v="7.34"/>
    <n v="16.05"/>
    <n v="3498.9"/>
  </r>
  <r>
    <x v="2"/>
    <x v="0"/>
    <x v="2"/>
    <n v="168"/>
    <n v="0"/>
    <n v="0"/>
    <n v="7.51"/>
    <n v="1261.68"/>
  </r>
  <r>
    <x v="1"/>
    <x v="0"/>
    <x v="1"/>
    <n v="266"/>
    <n v="13"/>
    <n v="4.8899999999999997"/>
    <n v="9.85"/>
    <n v="2620.1"/>
  </r>
  <r>
    <x v="0"/>
    <x v="0"/>
    <x v="2"/>
    <n v="223"/>
    <n v="15"/>
    <n v="6.73"/>
    <n v="34.49"/>
    <n v="7691.27"/>
  </r>
  <r>
    <x v="3"/>
    <x v="0"/>
    <x v="2"/>
    <n v="217"/>
    <n v="21"/>
    <n v="9.68"/>
    <n v="43.18"/>
    <n v="9370.06"/>
  </r>
  <r>
    <x v="2"/>
    <x v="0"/>
    <x v="2"/>
    <n v="277"/>
    <n v="26"/>
    <n v="9.39"/>
    <n v="6.53"/>
    <n v="1808.81"/>
  </r>
  <r>
    <x v="0"/>
    <x v="0"/>
    <x v="2"/>
    <n v="286"/>
    <n v="13"/>
    <n v="4.55"/>
    <n v="32.03"/>
    <n v="9160.58"/>
  </r>
  <r>
    <x v="1"/>
    <x v="0"/>
    <x v="1"/>
    <n v="218"/>
    <n v="18"/>
    <n v="8.26"/>
    <n v="52.79"/>
    <n v="11508.22"/>
  </r>
  <r>
    <x v="3"/>
    <x v="0"/>
    <x v="2"/>
    <n v="85"/>
    <n v="1"/>
    <n v="1.18"/>
    <n v="32.950000000000003"/>
    <n v="2800.75"/>
  </r>
  <r>
    <x v="2"/>
    <x v="0"/>
    <x v="2"/>
    <n v="242"/>
    <n v="8"/>
    <n v="3.31"/>
    <n v="50.3"/>
    <n v="12172.6"/>
  </r>
  <r>
    <x v="3"/>
    <x v="0"/>
    <x v="2"/>
    <n v="298"/>
    <n v="8"/>
    <n v="2.68"/>
    <n v="68.25"/>
    <n v="20338.5"/>
  </r>
  <r>
    <x v="2"/>
    <x v="0"/>
    <x v="2"/>
    <n v="217"/>
    <n v="9"/>
    <n v="4.1500000000000004"/>
    <n v="5.44"/>
    <n v="1180.48"/>
  </r>
  <r>
    <x v="3"/>
    <x v="0"/>
    <x v="2"/>
    <n v="75"/>
    <n v="7"/>
    <n v="9.33"/>
    <n v="33.89"/>
    <n v="2541.75"/>
  </r>
  <r>
    <x v="2"/>
    <x v="0"/>
    <x v="2"/>
    <n v="289"/>
    <n v="9"/>
    <n v="3.11"/>
    <n v="49.54"/>
    <n v="14317.06"/>
  </r>
  <r>
    <x v="0"/>
    <x v="0"/>
    <x v="0"/>
    <n v="255"/>
    <n v="10"/>
    <n v="3.92"/>
    <n v="11.55"/>
    <n v="2945.25"/>
  </r>
  <r>
    <x v="1"/>
    <x v="0"/>
    <x v="2"/>
    <n v="289"/>
    <n v="1"/>
    <n v="0.35"/>
    <n v="42.34"/>
    <n v="12236.26"/>
  </r>
  <r>
    <x v="1"/>
    <x v="0"/>
    <x v="1"/>
    <n v="207"/>
    <n v="2"/>
    <n v="0.97"/>
    <n v="61.84"/>
    <n v="12800.88"/>
  </r>
  <r>
    <x v="3"/>
    <x v="0"/>
    <x v="2"/>
    <n v="194"/>
    <n v="13"/>
    <n v="6.7"/>
    <n v="49.15"/>
    <n v="9535.1"/>
  </r>
  <r>
    <x v="0"/>
    <x v="0"/>
    <x v="0"/>
    <n v="241"/>
    <n v="6"/>
    <n v="2.4900000000000002"/>
    <n v="31.25"/>
    <n v="7531.25"/>
  </r>
  <r>
    <x v="2"/>
    <x v="0"/>
    <x v="2"/>
    <n v="291"/>
    <n v="17"/>
    <n v="5.84"/>
    <n v="66.03"/>
    <n v="19214.73"/>
  </r>
  <r>
    <x v="0"/>
    <x v="0"/>
    <x v="2"/>
    <n v="238"/>
    <n v="3"/>
    <n v="1.26"/>
    <n v="55.72"/>
    <n v="13261.36"/>
  </r>
  <r>
    <x v="0"/>
    <x v="0"/>
    <x v="2"/>
    <n v="298"/>
    <n v="16"/>
    <n v="5.37"/>
    <n v="11.65"/>
    <n v="3471.7"/>
  </r>
  <r>
    <x v="0"/>
    <x v="0"/>
    <x v="0"/>
    <n v="249"/>
    <n v="13"/>
    <n v="5.22"/>
    <n v="61.27"/>
    <n v="15256.23"/>
  </r>
  <r>
    <x v="2"/>
    <x v="0"/>
    <x v="2"/>
    <n v="243"/>
    <n v="6"/>
    <n v="2.4700000000000002"/>
    <n v="20.39"/>
    <n v="4954.7700000000004"/>
  </r>
  <r>
    <x v="1"/>
    <x v="0"/>
    <x v="1"/>
    <n v="81"/>
    <n v="6"/>
    <n v="7.41"/>
    <n v="50.83"/>
    <n v="4117.2299999999996"/>
  </r>
  <r>
    <x v="2"/>
    <x v="0"/>
    <x v="2"/>
    <n v="122"/>
    <n v="1"/>
    <n v="0.82"/>
    <n v="37"/>
    <n v="4514"/>
  </r>
  <r>
    <x v="2"/>
    <x v="0"/>
    <x v="2"/>
    <n v="267"/>
    <n v="11"/>
    <n v="4.12"/>
    <n v="54.62"/>
    <n v="14583.54"/>
  </r>
  <r>
    <x v="1"/>
    <x v="0"/>
    <x v="2"/>
    <n v="275"/>
    <n v="20"/>
    <n v="7.27"/>
    <n v="46.66"/>
    <n v="12831.5"/>
  </r>
  <r>
    <x v="1"/>
    <x v="0"/>
    <x v="2"/>
    <n v="215"/>
    <n v="8"/>
    <n v="3.72"/>
    <n v="34.450000000000003"/>
    <n v="7406.75"/>
  </r>
  <r>
    <x v="0"/>
    <x v="0"/>
    <x v="2"/>
    <n v="51"/>
    <n v="2"/>
    <n v="3.92"/>
    <n v="54.02"/>
    <n v="2755.02"/>
  </r>
  <r>
    <x v="1"/>
    <x v="0"/>
    <x v="1"/>
    <n v="114"/>
    <n v="0"/>
    <n v="0"/>
    <n v="38.74"/>
    <n v="4416.3599999999997"/>
  </r>
  <r>
    <x v="3"/>
    <x v="0"/>
    <x v="2"/>
    <n v="240"/>
    <n v="5"/>
    <n v="2.08"/>
    <n v="30.43"/>
    <n v="7303.2"/>
  </r>
  <r>
    <x v="3"/>
    <x v="0"/>
    <x v="2"/>
    <n v="80"/>
    <n v="1"/>
    <n v="1.25"/>
    <n v="28.53"/>
    <n v="2282.4"/>
  </r>
  <r>
    <x v="1"/>
    <x v="0"/>
    <x v="1"/>
    <n v="171"/>
    <n v="10"/>
    <n v="5.85"/>
    <n v="39.67"/>
    <n v="6783.57"/>
  </r>
  <r>
    <x v="0"/>
    <x v="0"/>
    <x v="0"/>
    <n v="162"/>
    <n v="14"/>
    <n v="8.64"/>
    <n v="10.72"/>
    <n v="1736.64"/>
  </r>
  <r>
    <x v="1"/>
    <x v="0"/>
    <x v="1"/>
    <n v="237"/>
    <n v="7"/>
    <n v="2.95"/>
    <n v="27.11"/>
    <n v="6425.07"/>
  </r>
  <r>
    <x v="2"/>
    <x v="0"/>
    <x v="2"/>
    <n v="136"/>
    <n v="9"/>
    <n v="6.62"/>
    <n v="33.06"/>
    <n v="4496.16"/>
  </r>
  <r>
    <x v="3"/>
    <x v="0"/>
    <x v="2"/>
    <n v="291"/>
    <n v="26"/>
    <n v="8.93"/>
    <n v="40.64"/>
    <n v="11826.24"/>
  </r>
  <r>
    <x v="1"/>
    <x v="0"/>
    <x v="1"/>
    <n v="114"/>
    <n v="9"/>
    <n v="7.89"/>
    <n v="59.85"/>
    <n v="6822.9"/>
  </r>
  <r>
    <x v="3"/>
    <x v="0"/>
    <x v="2"/>
    <n v="133"/>
    <n v="8"/>
    <n v="6.02"/>
    <n v="29.11"/>
    <n v="3871.63"/>
  </r>
  <r>
    <x v="2"/>
    <x v="0"/>
    <x v="2"/>
    <n v="98"/>
    <n v="6"/>
    <n v="6.12"/>
    <n v="32.06"/>
    <n v="3141.88"/>
  </r>
  <r>
    <x v="3"/>
    <x v="0"/>
    <x v="2"/>
    <n v="53"/>
    <n v="3"/>
    <n v="5.66"/>
    <n v="44.51"/>
    <n v="2359.0300000000002"/>
  </r>
  <r>
    <x v="2"/>
    <x v="0"/>
    <x v="2"/>
    <n v="94"/>
    <n v="6"/>
    <n v="6.38"/>
    <n v="67.599999999999994"/>
    <n v="6354.4"/>
  </r>
  <r>
    <x v="1"/>
    <x v="0"/>
    <x v="2"/>
    <n v="251"/>
    <n v="15"/>
    <n v="5.98"/>
    <n v="54.22"/>
    <n v="13609.22"/>
  </r>
  <r>
    <x v="0"/>
    <x v="0"/>
    <x v="0"/>
    <n v="98"/>
    <n v="3"/>
    <n v="3.06"/>
    <n v="64.03"/>
    <n v="6274.94"/>
  </r>
  <r>
    <x v="0"/>
    <x v="0"/>
    <x v="0"/>
    <n v="112"/>
    <n v="6"/>
    <n v="5.36"/>
    <n v="5.41"/>
    <n v="605.91999999999996"/>
  </r>
  <r>
    <x v="0"/>
    <x v="0"/>
    <x v="0"/>
    <n v="73"/>
    <n v="0"/>
    <n v="0"/>
    <n v="20.350000000000001"/>
    <n v="1485.55"/>
  </r>
  <r>
    <x v="0"/>
    <x v="0"/>
    <x v="0"/>
    <n v="184"/>
    <n v="12"/>
    <n v="6.52"/>
    <n v="7.63"/>
    <n v="1403.92"/>
  </r>
  <r>
    <x v="3"/>
    <x v="0"/>
    <x v="2"/>
    <n v="171"/>
    <n v="6"/>
    <n v="3.51"/>
    <n v="16.13"/>
    <n v="2758.23"/>
  </r>
  <r>
    <x v="0"/>
    <x v="0"/>
    <x v="0"/>
    <n v="152"/>
    <n v="5"/>
    <n v="3.29"/>
    <n v="69.66"/>
    <n v="10588.32"/>
  </r>
  <r>
    <x v="3"/>
    <x v="0"/>
    <x v="2"/>
    <n v="280"/>
    <n v="25"/>
    <n v="8.93"/>
    <n v="49.19"/>
    <n v="13773.2"/>
  </r>
  <r>
    <x v="1"/>
    <x v="0"/>
    <x v="1"/>
    <n v="237"/>
    <n v="20"/>
    <n v="8.44"/>
    <n v="35.11"/>
    <n v="8321.07"/>
  </r>
  <r>
    <x v="3"/>
    <x v="0"/>
    <x v="2"/>
    <n v="242"/>
    <n v="22"/>
    <n v="9.09"/>
    <n v="47.12"/>
    <n v="11403.04"/>
  </r>
  <r>
    <x v="1"/>
    <x v="0"/>
    <x v="2"/>
    <n v="96"/>
    <n v="2"/>
    <n v="2.08"/>
    <n v="64.62"/>
    <n v="6203.52"/>
  </r>
  <r>
    <x v="0"/>
    <x v="0"/>
    <x v="0"/>
    <n v="291"/>
    <n v="26"/>
    <n v="8.93"/>
    <n v="48.92"/>
    <n v="14235.72"/>
  </r>
  <r>
    <x v="1"/>
    <x v="0"/>
    <x v="1"/>
    <n v="138"/>
    <n v="12"/>
    <n v="8.6999999999999993"/>
    <n v="54.66"/>
    <n v="7543.08"/>
  </r>
  <r>
    <x v="0"/>
    <x v="0"/>
    <x v="0"/>
    <n v="190"/>
    <n v="10"/>
    <n v="5.26"/>
    <n v="15.36"/>
    <n v="2918.4"/>
  </r>
  <r>
    <x v="1"/>
    <x v="0"/>
    <x v="2"/>
    <n v="199"/>
    <n v="14"/>
    <n v="7.04"/>
    <n v="51.89"/>
    <n v="10326.11"/>
  </r>
  <r>
    <x v="2"/>
    <x v="0"/>
    <x v="2"/>
    <n v="252"/>
    <n v="12"/>
    <n v="4.76"/>
    <n v="27.31"/>
    <n v="6882.12"/>
  </r>
  <r>
    <x v="0"/>
    <x v="0"/>
    <x v="2"/>
    <n v="51"/>
    <n v="4"/>
    <n v="7.84"/>
    <n v="57.63"/>
    <n v="2939.13"/>
  </r>
  <r>
    <x v="1"/>
    <x v="0"/>
    <x v="2"/>
    <n v="297"/>
    <n v="2"/>
    <n v="0.67"/>
    <n v="17.649999999999999"/>
    <n v="5242.05"/>
  </r>
  <r>
    <x v="0"/>
    <x v="0"/>
    <x v="0"/>
    <n v="102"/>
    <n v="5"/>
    <n v="4.9000000000000004"/>
    <n v="58.7"/>
    <n v="5987.4"/>
  </r>
  <r>
    <x v="3"/>
    <x v="0"/>
    <x v="2"/>
    <n v="85"/>
    <n v="0"/>
    <n v="0"/>
    <n v="59.37"/>
    <n v="5046.45"/>
  </r>
  <r>
    <x v="1"/>
    <x v="0"/>
    <x v="2"/>
    <n v="147"/>
    <n v="0"/>
    <n v="0"/>
    <n v="14.13"/>
    <n v="2077.11"/>
  </r>
  <r>
    <x v="1"/>
    <x v="0"/>
    <x v="1"/>
    <n v="221"/>
    <n v="1"/>
    <n v="0.45"/>
    <n v="67.27"/>
    <n v="14866.67"/>
  </r>
  <r>
    <x v="1"/>
    <x v="0"/>
    <x v="1"/>
    <n v="229"/>
    <n v="7"/>
    <n v="3.06"/>
    <n v="37.450000000000003"/>
    <n v="8576.0499999999993"/>
  </r>
  <r>
    <x v="3"/>
    <x v="0"/>
    <x v="2"/>
    <n v="257"/>
    <n v="19"/>
    <n v="7.39"/>
    <n v="44.38"/>
    <n v="11405.66"/>
  </r>
  <r>
    <x v="0"/>
    <x v="0"/>
    <x v="2"/>
    <n v="80"/>
    <n v="4"/>
    <n v="5"/>
    <n v="8.43"/>
    <n v="674.4"/>
  </r>
  <r>
    <x v="1"/>
    <x v="0"/>
    <x v="2"/>
    <n v="176"/>
    <n v="17"/>
    <n v="9.66"/>
    <n v="42.77"/>
    <n v="7527.52"/>
  </r>
  <r>
    <x v="2"/>
    <x v="0"/>
    <x v="2"/>
    <n v="251"/>
    <n v="11"/>
    <n v="4.38"/>
    <n v="21.35"/>
    <n v="5358.85"/>
  </r>
  <r>
    <x v="0"/>
    <x v="0"/>
    <x v="0"/>
    <n v="172"/>
    <n v="16"/>
    <n v="9.3000000000000007"/>
    <n v="61.76"/>
    <n v="10622.72"/>
  </r>
  <r>
    <x v="0"/>
    <x v="0"/>
    <x v="2"/>
    <n v="105"/>
    <n v="5"/>
    <n v="4.76"/>
    <n v="47.94"/>
    <n v="5033.7"/>
  </r>
  <r>
    <x v="1"/>
    <x v="0"/>
    <x v="1"/>
    <n v="299"/>
    <n v="0"/>
    <n v="0"/>
    <n v="50.83"/>
    <n v="15198.17"/>
  </r>
  <r>
    <x v="3"/>
    <x v="0"/>
    <x v="2"/>
    <n v="57"/>
    <n v="0"/>
    <n v="0"/>
    <n v="41.94"/>
    <n v="2390.58"/>
  </r>
  <r>
    <x v="2"/>
    <x v="0"/>
    <x v="2"/>
    <n v="214"/>
    <n v="1"/>
    <n v="0.47"/>
    <n v="33.590000000000003"/>
    <n v="7188.26"/>
  </r>
  <r>
    <x v="2"/>
    <x v="0"/>
    <x v="2"/>
    <n v="84"/>
    <n v="4"/>
    <n v="4.76"/>
    <n v="23.93"/>
    <n v="2010.12"/>
  </r>
  <r>
    <x v="2"/>
    <x v="0"/>
    <x v="2"/>
    <n v="249"/>
    <n v="17"/>
    <n v="6.83"/>
    <n v="8.99"/>
    <n v="2238.5100000000002"/>
  </r>
  <r>
    <x v="0"/>
    <x v="0"/>
    <x v="0"/>
    <n v="300"/>
    <n v="1"/>
    <n v="0.33"/>
    <n v="41.86"/>
    <n v="12558"/>
  </r>
  <r>
    <x v="2"/>
    <x v="0"/>
    <x v="2"/>
    <n v="209"/>
    <n v="9"/>
    <n v="4.3099999999999996"/>
    <n v="8.1999999999999993"/>
    <n v="1713.8"/>
  </r>
  <r>
    <x v="1"/>
    <x v="0"/>
    <x v="1"/>
    <n v="191"/>
    <n v="12"/>
    <n v="6.28"/>
    <n v="43.58"/>
    <n v="8323.7800000000007"/>
  </r>
  <r>
    <x v="2"/>
    <x v="0"/>
    <x v="2"/>
    <n v="223"/>
    <n v="5"/>
    <n v="2.2400000000000002"/>
    <n v="22.4"/>
    <n v="4995.2"/>
  </r>
  <r>
    <x v="2"/>
    <x v="0"/>
    <x v="2"/>
    <n v="76"/>
    <n v="3"/>
    <n v="3.95"/>
    <n v="29.03"/>
    <n v="2206.2800000000002"/>
  </r>
  <r>
    <x v="0"/>
    <x v="0"/>
    <x v="2"/>
    <n v="111"/>
    <n v="2"/>
    <n v="1.8"/>
    <n v="67.31"/>
    <n v="7471.41"/>
  </r>
  <r>
    <x v="1"/>
    <x v="0"/>
    <x v="2"/>
    <n v="210"/>
    <n v="15"/>
    <n v="7.14"/>
    <n v="22.9"/>
    <n v="4809"/>
  </r>
  <r>
    <x v="3"/>
    <x v="0"/>
    <x v="2"/>
    <n v="106"/>
    <n v="2"/>
    <n v="1.89"/>
    <n v="45.87"/>
    <n v="4862.22"/>
  </r>
  <r>
    <x v="3"/>
    <x v="0"/>
    <x v="2"/>
    <n v="97"/>
    <n v="0"/>
    <n v="0"/>
    <n v="49.46"/>
    <n v="4797.62"/>
  </r>
  <r>
    <x v="3"/>
    <x v="0"/>
    <x v="2"/>
    <n v="239"/>
    <n v="4"/>
    <n v="1.67"/>
    <n v="21.24"/>
    <n v="5076.3599999999997"/>
  </r>
  <r>
    <x v="3"/>
    <x v="0"/>
    <x v="2"/>
    <n v="265"/>
    <n v="13"/>
    <n v="4.91"/>
    <n v="49.28"/>
    <n v="13059.2"/>
  </r>
  <r>
    <x v="1"/>
    <x v="0"/>
    <x v="2"/>
    <n v="294"/>
    <n v="10"/>
    <n v="3.4"/>
    <n v="64.31"/>
    <n v="18907.14"/>
  </r>
  <r>
    <x v="3"/>
    <x v="0"/>
    <x v="2"/>
    <n v="297"/>
    <n v="28"/>
    <n v="9.43"/>
    <n v="48.36"/>
    <n v="14362.92"/>
  </r>
  <r>
    <x v="1"/>
    <x v="0"/>
    <x v="1"/>
    <n v="94"/>
    <n v="4"/>
    <n v="4.26"/>
    <n v="33.18"/>
    <n v="3118.92"/>
  </r>
  <r>
    <x v="2"/>
    <x v="0"/>
    <x v="2"/>
    <n v="229"/>
    <n v="16"/>
    <n v="6.99"/>
    <n v="34"/>
    <n v="7786"/>
  </r>
  <r>
    <x v="1"/>
    <x v="0"/>
    <x v="1"/>
    <n v="110"/>
    <n v="4"/>
    <n v="3.64"/>
    <n v="24.27"/>
    <n v="2669.7"/>
  </r>
  <r>
    <x v="1"/>
    <x v="0"/>
    <x v="1"/>
    <n v="89"/>
    <n v="8"/>
    <n v="8.99"/>
    <n v="20.63"/>
    <n v="1836.07"/>
  </r>
  <r>
    <x v="1"/>
    <x v="0"/>
    <x v="2"/>
    <n v="227"/>
    <n v="21"/>
    <n v="9.25"/>
    <n v="14.4"/>
    <n v="3268.8"/>
  </r>
  <r>
    <x v="2"/>
    <x v="0"/>
    <x v="2"/>
    <n v="288"/>
    <n v="25"/>
    <n v="8.68"/>
    <n v="63.98"/>
    <n v="18426.240000000002"/>
  </r>
  <r>
    <x v="0"/>
    <x v="0"/>
    <x v="0"/>
    <n v="164"/>
    <n v="3"/>
    <n v="1.83"/>
    <n v="34.56"/>
    <n v="5667.84"/>
  </r>
  <r>
    <x v="3"/>
    <x v="0"/>
    <x v="2"/>
    <n v="89"/>
    <n v="1"/>
    <n v="1.1200000000000001"/>
    <n v="23.06"/>
    <n v="2052.34"/>
  </r>
  <r>
    <x v="0"/>
    <x v="0"/>
    <x v="2"/>
    <n v="232"/>
    <n v="15"/>
    <n v="6.47"/>
    <n v="52.87"/>
    <n v="12265.84"/>
  </r>
  <r>
    <x v="3"/>
    <x v="0"/>
    <x v="2"/>
    <n v="106"/>
    <n v="10"/>
    <n v="9.43"/>
    <n v="63.65"/>
    <n v="6746.9"/>
  </r>
  <r>
    <x v="1"/>
    <x v="0"/>
    <x v="2"/>
    <n v="255"/>
    <n v="24"/>
    <n v="9.41"/>
    <n v="57.01"/>
    <n v="14537.55"/>
  </r>
  <r>
    <x v="1"/>
    <x v="0"/>
    <x v="1"/>
    <n v="56"/>
    <n v="5"/>
    <n v="8.93"/>
    <n v="32.31"/>
    <n v="1809.36"/>
  </r>
  <r>
    <x v="1"/>
    <x v="0"/>
    <x v="1"/>
    <n v="166"/>
    <n v="7"/>
    <n v="4.22"/>
    <n v="33.54"/>
    <n v="5567.64"/>
  </r>
  <r>
    <x v="0"/>
    <x v="0"/>
    <x v="2"/>
    <n v="281"/>
    <n v="3"/>
    <n v="1.07"/>
    <n v="42.26"/>
    <n v="11875.06"/>
  </r>
  <r>
    <x v="1"/>
    <x v="0"/>
    <x v="1"/>
    <n v="265"/>
    <n v="6"/>
    <n v="2.2599999999999998"/>
    <n v="8.34"/>
    <n v="2210.1"/>
  </r>
  <r>
    <x v="0"/>
    <x v="0"/>
    <x v="0"/>
    <n v="71"/>
    <n v="3"/>
    <n v="4.2300000000000004"/>
    <n v="56.38"/>
    <n v="4002.98"/>
  </r>
  <r>
    <x v="3"/>
    <x v="0"/>
    <x v="2"/>
    <n v="145"/>
    <n v="1"/>
    <n v="0.69"/>
    <n v="34.520000000000003"/>
    <n v="5005.3999999999996"/>
  </r>
  <r>
    <x v="1"/>
    <x v="0"/>
    <x v="1"/>
    <n v="65"/>
    <n v="3"/>
    <n v="4.62"/>
    <n v="36.200000000000003"/>
    <n v="2353"/>
  </r>
  <r>
    <x v="3"/>
    <x v="0"/>
    <x v="2"/>
    <n v="119"/>
    <n v="6"/>
    <n v="5.04"/>
    <n v="51.4"/>
    <n v="6116.6"/>
  </r>
  <r>
    <x v="0"/>
    <x v="0"/>
    <x v="0"/>
    <n v="162"/>
    <n v="13"/>
    <n v="8.02"/>
    <n v="44.28"/>
    <n v="7173.36"/>
  </r>
  <r>
    <x v="0"/>
    <x v="0"/>
    <x v="0"/>
    <n v="106"/>
    <n v="4"/>
    <n v="3.77"/>
    <n v="44.82"/>
    <n v="4750.92"/>
  </r>
  <r>
    <x v="0"/>
    <x v="0"/>
    <x v="2"/>
    <n v="294"/>
    <n v="14"/>
    <n v="4.76"/>
    <n v="60.35"/>
    <n v="17742.900000000001"/>
  </r>
  <r>
    <x v="3"/>
    <x v="0"/>
    <x v="2"/>
    <n v="164"/>
    <n v="13"/>
    <n v="7.93"/>
    <n v="63.57"/>
    <n v="10425.48"/>
  </r>
  <r>
    <x v="0"/>
    <x v="0"/>
    <x v="2"/>
    <n v="192"/>
    <n v="16"/>
    <n v="8.33"/>
    <n v="45.46"/>
    <n v="8728.32"/>
  </r>
  <r>
    <x v="1"/>
    <x v="0"/>
    <x v="2"/>
    <n v="196"/>
    <n v="7"/>
    <n v="3.57"/>
    <n v="49.21"/>
    <n v="9645.16"/>
  </r>
  <r>
    <x v="1"/>
    <x v="0"/>
    <x v="2"/>
    <n v="208"/>
    <n v="17"/>
    <n v="8.17"/>
    <n v="43.71"/>
    <n v="9091.68"/>
  </r>
  <r>
    <x v="0"/>
    <x v="0"/>
    <x v="0"/>
    <n v="161"/>
    <n v="4"/>
    <n v="2.48"/>
    <n v="47.82"/>
    <n v="7699.02"/>
  </r>
  <r>
    <x v="2"/>
    <x v="0"/>
    <x v="2"/>
    <n v="193"/>
    <n v="12"/>
    <n v="6.22"/>
    <n v="50.96"/>
    <n v="9835.2800000000007"/>
  </r>
  <r>
    <x v="0"/>
    <x v="0"/>
    <x v="0"/>
    <n v="87"/>
    <n v="3"/>
    <n v="3.45"/>
    <n v="61"/>
    <n v="5307"/>
  </r>
  <r>
    <x v="0"/>
    <x v="0"/>
    <x v="0"/>
    <n v="147"/>
    <n v="4"/>
    <n v="2.72"/>
    <n v="58.03"/>
    <n v="8530.41"/>
  </r>
  <r>
    <x v="0"/>
    <x v="0"/>
    <x v="0"/>
    <n v="202"/>
    <n v="5"/>
    <n v="2.48"/>
    <n v="58.41"/>
    <n v="11798.82"/>
  </r>
  <r>
    <x v="3"/>
    <x v="0"/>
    <x v="2"/>
    <n v="228"/>
    <n v="18"/>
    <n v="7.89"/>
    <n v="53.16"/>
    <n v="12120.48"/>
  </r>
  <r>
    <x v="0"/>
    <x v="0"/>
    <x v="0"/>
    <n v="118"/>
    <n v="3"/>
    <n v="2.54"/>
    <n v="8.64"/>
    <n v="1019.52"/>
  </r>
  <r>
    <x v="2"/>
    <x v="0"/>
    <x v="2"/>
    <n v="226"/>
    <n v="15"/>
    <n v="6.64"/>
    <n v="48.21"/>
    <n v="10895.46"/>
  </r>
  <r>
    <x v="2"/>
    <x v="0"/>
    <x v="2"/>
    <n v="244"/>
    <n v="9"/>
    <n v="3.69"/>
    <n v="44.58"/>
    <n v="10877.52"/>
  </r>
  <r>
    <x v="1"/>
    <x v="0"/>
    <x v="1"/>
    <n v="294"/>
    <n v="22"/>
    <n v="7.48"/>
    <n v="42.05"/>
    <n v="12362.7"/>
  </r>
  <r>
    <x v="0"/>
    <x v="0"/>
    <x v="2"/>
    <n v="131"/>
    <n v="10"/>
    <n v="7.63"/>
    <n v="47.3"/>
    <n v="6196.3"/>
  </r>
  <r>
    <x v="0"/>
    <x v="0"/>
    <x v="0"/>
    <n v="239"/>
    <n v="17"/>
    <n v="7.11"/>
    <n v="5.84"/>
    <n v="1395.76"/>
  </r>
  <r>
    <x v="0"/>
    <x v="0"/>
    <x v="2"/>
    <n v="152"/>
    <n v="2"/>
    <n v="1.32"/>
    <n v="59.76"/>
    <n v="9083.52"/>
  </r>
  <r>
    <x v="1"/>
    <x v="0"/>
    <x v="2"/>
    <n v="85"/>
    <n v="5"/>
    <n v="5.88"/>
    <n v="46.86"/>
    <n v="3983.1"/>
  </r>
  <r>
    <x v="3"/>
    <x v="0"/>
    <x v="2"/>
    <n v="127"/>
    <n v="6"/>
    <n v="4.72"/>
    <n v="34.950000000000003"/>
    <n v="4438.6499999999996"/>
  </r>
  <r>
    <x v="0"/>
    <x v="0"/>
    <x v="2"/>
    <n v="93"/>
    <n v="5"/>
    <n v="5.38"/>
    <n v="18.489999999999998"/>
    <n v="1719.57"/>
  </r>
  <r>
    <x v="2"/>
    <x v="0"/>
    <x v="2"/>
    <n v="95"/>
    <n v="7"/>
    <n v="7.37"/>
    <n v="38.57"/>
    <n v="3664.15"/>
  </r>
  <r>
    <x v="0"/>
    <x v="0"/>
    <x v="0"/>
    <n v="79"/>
    <n v="7"/>
    <n v="8.86"/>
    <n v="40.53"/>
    <n v="3201.87"/>
  </r>
  <r>
    <x v="0"/>
    <x v="0"/>
    <x v="2"/>
    <n v="251"/>
    <n v="12"/>
    <n v="4.78"/>
    <n v="51.2"/>
    <n v="12851.2"/>
  </r>
  <r>
    <x v="0"/>
    <x v="0"/>
    <x v="0"/>
    <n v="166"/>
    <n v="16"/>
    <n v="9.64"/>
    <n v="10.18"/>
    <n v="1689.88"/>
  </r>
  <r>
    <x v="0"/>
    <x v="0"/>
    <x v="0"/>
    <n v="75"/>
    <n v="5"/>
    <n v="6.67"/>
    <n v="43.36"/>
    <n v="3252"/>
  </r>
  <r>
    <x v="3"/>
    <x v="0"/>
    <x v="2"/>
    <n v="229"/>
    <n v="5"/>
    <n v="2.1800000000000002"/>
    <n v="27.82"/>
    <n v="6370.78"/>
  </r>
  <r>
    <x v="0"/>
    <x v="0"/>
    <x v="2"/>
    <n v="66"/>
    <n v="6"/>
    <n v="9.09"/>
    <n v="37.69"/>
    <n v="2487.54"/>
  </r>
  <r>
    <x v="1"/>
    <x v="0"/>
    <x v="2"/>
    <n v="62"/>
    <n v="0"/>
    <n v="0"/>
    <n v="64.41"/>
    <n v="3993.42"/>
  </r>
  <r>
    <x v="1"/>
    <x v="0"/>
    <x v="1"/>
    <n v="128"/>
    <n v="8"/>
    <n v="6.25"/>
    <n v="19.68"/>
    <n v="2519.04"/>
  </r>
  <r>
    <x v="0"/>
    <x v="0"/>
    <x v="0"/>
    <n v="147"/>
    <n v="8"/>
    <n v="5.44"/>
    <n v="59.71"/>
    <n v="8777.3700000000008"/>
  </r>
  <r>
    <x v="1"/>
    <x v="0"/>
    <x v="1"/>
    <n v="285"/>
    <n v="28"/>
    <n v="9.82"/>
    <n v="47.48"/>
    <n v="13531.8"/>
  </r>
  <r>
    <x v="0"/>
    <x v="0"/>
    <x v="0"/>
    <n v="62"/>
    <n v="4"/>
    <n v="6.45"/>
    <n v="31.01"/>
    <n v="1922.62"/>
  </r>
  <r>
    <x v="0"/>
    <x v="0"/>
    <x v="2"/>
    <n v="237"/>
    <n v="7"/>
    <n v="2.95"/>
    <n v="19.579999999999998"/>
    <n v="4640.46"/>
  </r>
  <r>
    <x v="1"/>
    <x v="0"/>
    <x v="1"/>
    <n v="125"/>
    <n v="8"/>
    <n v="6.4"/>
    <n v="53.6"/>
    <n v="6700"/>
  </r>
  <r>
    <x v="1"/>
    <x v="0"/>
    <x v="2"/>
    <n v="148"/>
    <n v="3"/>
    <n v="2.0299999999999998"/>
    <n v="56.05"/>
    <n v="8295.4"/>
  </r>
  <r>
    <x v="1"/>
    <x v="0"/>
    <x v="2"/>
    <n v="65"/>
    <n v="2"/>
    <n v="3.08"/>
    <n v="34.9"/>
    <n v="2268.5"/>
  </r>
  <r>
    <x v="0"/>
    <x v="0"/>
    <x v="2"/>
    <n v="209"/>
    <n v="19"/>
    <n v="9.09"/>
    <n v="10.050000000000001"/>
    <n v="2100.4499999999998"/>
  </r>
  <r>
    <x v="0"/>
    <x v="0"/>
    <x v="0"/>
    <n v="111"/>
    <n v="9"/>
    <n v="8.11"/>
    <n v="19.3"/>
    <n v="2142.3000000000002"/>
  </r>
  <r>
    <x v="3"/>
    <x v="0"/>
    <x v="2"/>
    <n v="176"/>
    <n v="6"/>
    <n v="3.41"/>
    <n v="53.55"/>
    <n v="9424.7999999999993"/>
  </r>
  <r>
    <x v="0"/>
    <x v="0"/>
    <x v="0"/>
    <n v="104"/>
    <n v="4"/>
    <n v="3.85"/>
    <n v="46.76"/>
    <n v="4863.04"/>
  </r>
  <r>
    <x v="1"/>
    <x v="0"/>
    <x v="2"/>
    <n v="136"/>
    <n v="3"/>
    <n v="2.21"/>
    <n v="59.31"/>
    <n v="8066.16"/>
  </r>
  <r>
    <x v="3"/>
    <x v="0"/>
    <x v="2"/>
    <n v="298"/>
    <n v="24"/>
    <n v="8.0500000000000007"/>
    <n v="63.19"/>
    <n v="18830.62"/>
  </r>
  <r>
    <x v="1"/>
    <x v="0"/>
    <x v="2"/>
    <n v="126"/>
    <n v="1"/>
    <n v="0.79"/>
    <n v="46.01"/>
    <n v="5797.26"/>
  </r>
  <r>
    <x v="2"/>
    <x v="0"/>
    <x v="2"/>
    <n v="251"/>
    <n v="7"/>
    <n v="2.79"/>
    <n v="32.6"/>
    <n v="8182.6"/>
  </r>
  <r>
    <x v="0"/>
    <x v="0"/>
    <x v="2"/>
    <n v="100"/>
    <n v="2"/>
    <n v="2"/>
    <n v="57.11"/>
    <n v="5711"/>
  </r>
  <r>
    <x v="0"/>
    <x v="0"/>
    <x v="0"/>
    <n v="182"/>
    <n v="18"/>
    <n v="9.89"/>
    <n v="15"/>
    <n v="2730"/>
  </r>
  <r>
    <x v="2"/>
    <x v="0"/>
    <x v="2"/>
    <n v="263"/>
    <n v="17"/>
    <n v="6.46"/>
    <n v="65.64"/>
    <n v="17263.32"/>
  </r>
  <r>
    <x v="0"/>
    <x v="0"/>
    <x v="0"/>
    <n v="50"/>
    <n v="4"/>
    <n v="8"/>
    <n v="8.81"/>
    <n v="440.5"/>
  </r>
  <r>
    <x v="0"/>
    <x v="0"/>
    <x v="2"/>
    <n v="143"/>
    <n v="14"/>
    <n v="9.7899999999999991"/>
    <n v="22.85"/>
    <n v="3267.55"/>
  </r>
  <r>
    <x v="1"/>
    <x v="0"/>
    <x v="1"/>
    <n v="133"/>
    <n v="0"/>
    <n v="0"/>
    <n v="6.47"/>
    <n v="860.51"/>
  </r>
  <r>
    <x v="0"/>
    <x v="0"/>
    <x v="2"/>
    <n v="152"/>
    <n v="5"/>
    <n v="3.29"/>
    <n v="23.03"/>
    <n v="3500.56"/>
  </r>
  <r>
    <x v="1"/>
    <x v="0"/>
    <x v="1"/>
    <n v="296"/>
    <n v="8"/>
    <n v="2.7"/>
    <n v="23.12"/>
    <n v="6843.52"/>
  </r>
  <r>
    <x v="1"/>
    <x v="0"/>
    <x v="1"/>
    <n v="195"/>
    <n v="16"/>
    <n v="8.2100000000000009"/>
    <n v="26.09"/>
    <n v="5087.55"/>
  </r>
  <r>
    <x v="3"/>
    <x v="0"/>
    <x v="2"/>
    <n v="283"/>
    <n v="28"/>
    <n v="9.89"/>
    <n v="57.72"/>
    <n v="16334.76"/>
  </r>
  <r>
    <x v="1"/>
    <x v="0"/>
    <x v="1"/>
    <n v="299"/>
    <n v="17"/>
    <n v="5.69"/>
    <n v="65.180000000000007"/>
    <n v="19488.82"/>
  </r>
  <r>
    <x v="0"/>
    <x v="0"/>
    <x v="0"/>
    <n v="94"/>
    <n v="7"/>
    <n v="7.45"/>
    <n v="8.41"/>
    <n v="790.54"/>
  </r>
  <r>
    <x v="0"/>
    <x v="0"/>
    <x v="0"/>
    <n v="82"/>
    <n v="2"/>
    <n v="2.44"/>
    <n v="12.25"/>
    <n v="1004.5"/>
  </r>
  <r>
    <x v="2"/>
    <x v="0"/>
    <x v="2"/>
    <n v="233"/>
    <n v="11"/>
    <n v="4.72"/>
    <n v="16.53"/>
    <n v="3851.49"/>
  </r>
  <r>
    <x v="0"/>
    <x v="0"/>
    <x v="2"/>
    <n v="93"/>
    <n v="4"/>
    <n v="4.3"/>
    <n v="29.84"/>
    <n v="2775.12"/>
  </r>
  <r>
    <x v="3"/>
    <x v="0"/>
    <x v="2"/>
    <n v="116"/>
    <n v="1"/>
    <n v="0.86"/>
    <n v="41.3"/>
    <n v="4790.8"/>
  </r>
  <r>
    <x v="2"/>
    <x v="0"/>
    <x v="2"/>
    <n v="257"/>
    <n v="11"/>
    <n v="4.28"/>
    <n v="17.600000000000001"/>
    <n v="4523.2"/>
  </r>
  <r>
    <x v="0"/>
    <x v="0"/>
    <x v="2"/>
    <n v="146"/>
    <n v="4"/>
    <n v="2.74"/>
    <n v="49.61"/>
    <n v="7243.06"/>
  </r>
  <r>
    <x v="0"/>
    <x v="0"/>
    <x v="2"/>
    <n v="119"/>
    <n v="2"/>
    <n v="1.68"/>
    <n v="25.2"/>
    <n v="2998.8"/>
  </r>
  <r>
    <x v="3"/>
    <x v="0"/>
    <x v="2"/>
    <n v="71"/>
    <n v="2"/>
    <n v="2.82"/>
    <n v="67.84"/>
    <n v="4816.6400000000003"/>
  </r>
  <r>
    <x v="0"/>
    <x v="0"/>
    <x v="2"/>
    <n v="141"/>
    <n v="4"/>
    <n v="2.84"/>
    <n v="24.26"/>
    <n v="3420.66"/>
  </r>
  <r>
    <x v="1"/>
    <x v="0"/>
    <x v="1"/>
    <n v="145"/>
    <n v="1"/>
    <n v="0.69"/>
    <n v="61.91"/>
    <n v="8976.9500000000007"/>
  </r>
  <r>
    <x v="0"/>
    <x v="0"/>
    <x v="0"/>
    <n v="78"/>
    <n v="5"/>
    <n v="6.41"/>
    <n v="63.07"/>
    <n v="4919.46"/>
  </r>
  <r>
    <x v="0"/>
    <x v="0"/>
    <x v="0"/>
    <n v="161"/>
    <n v="16"/>
    <n v="9.94"/>
    <n v="5.82"/>
    <n v="937.02"/>
  </r>
  <r>
    <x v="1"/>
    <x v="0"/>
    <x v="1"/>
    <n v="225"/>
    <n v="0"/>
    <n v="0"/>
    <n v="61.83"/>
    <n v="13911.75"/>
  </r>
  <r>
    <x v="3"/>
    <x v="0"/>
    <x v="2"/>
    <n v="232"/>
    <n v="4"/>
    <n v="1.72"/>
    <n v="9.6"/>
    <n v="2227.1999999999998"/>
  </r>
  <r>
    <x v="0"/>
    <x v="0"/>
    <x v="0"/>
    <n v="163"/>
    <n v="16"/>
    <n v="9.82"/>
    <n v="41.97"/>
    <n v="6841.11"/>
  </r>
  <r>
    <x v="2"/>
    <x v="0"/>
    <x v="2"/>
    <n v="58"/>
    <n v="3"/>
    <n v="5.17"/>
    <n v="26.55"/>
    <n v="1539.9"/>
  </r>
  <r>
    <x v="0"/>
    <x v="0"/>
    <x v="2"/>
    <n v="292"/>
    <n v="9"/>
    <n v="3.08"/>
    <n v="60.59"/>
    <n v="17692.28"/>
  </r>
  <r>
    <x v="0"/>
    <x v="0"/>
    <x v="2"/>
    <n v="70"/>
    <n v="7"/>
    <n v="10"/>
    <n v="19.22"/>
    <n v="1345.4"/>
  </r>
  <r>
    <x v="0"/>
    <x v="0"/>
    <x v="0"/>
    <n v="280"/>
    <n v="3"/>
    <n v="1.07"/>
    <n v="18.190000000000001"/>
    <n v="5093.2"/>
  </r>
  <r>
    <x v="2"/>
    <x v="0"/>
    <x v="2"/>
    <n v="287"/>
    <n v="11"/>
    <n v="3.83"/>
    <n v="57.98"/>
    <n v="16640.259999999998"/>
  </r>
  <r>
    <x v="0"/>
    <x v="0"/>
    <x v="0"/>
    <n v="115"/>
    <n v="11"/>
    <n v="9.57"/>
    <n v="38.94"/>
    <n v="4478.1000000000004"/>
  </r>
  <r>
    <x v="0"/>
    <x v="0"/>
    <x v="2"/>
    <n v="221"/>
    <n v="16"/>
    <n v="7.24"/>
    <n v="60.95"/>
    <n v="13469.95"/>
  </r>
  <r>
    <x v="0"/>
    <x v="0"/>
    <x v="2"/>
    <n v="133"/>
    <n v="6"/>
    <n v="4.51"/>
    <n v="17.38"/>
    <n v="2311.54"/>
  </r>
  <r>
    <x v="3"/>
    <x v="0"/>
    <x v="2"/>
    <n v="290"/>
    <n v="27"/>
    <n v="9.31"/>
    <n v="56.7"/>
    <n v="16443"/>
  </r>
  <r>
    <x v="2"/>
    <x v="0"/>
    <x v="2"/>
    <n v="160"/>
    <n v="14"/>
    <n v="8.75"/>
    <n v="48.51"/>
    <n v="7761.6"/>
  </r>
  <r>
    <x v="2"/>
    <x v="0"/>
    <x v="2"/>
    <n v="69"/>
    <n v="2"/>
    <n v="2.9"/>
    <n v="12.53"/>
    <n v="864.57"/>
  </r>
  <r>
    <x v="2"/>
    <x v="0"/>
    <x v="2"/>
    <n v="87"/>
    <n v="5"/>
    <n v="5.75"/>
    <n v="10.25"/>
    <n v="891.75"/>
  </r>
  <r>
    <x v="1"/>
    <x v="0"/>
    <x v="2"/>
    <n v="169"/>
    <n v="7"/>
    <n v="4.1399999999999997"/>
    <n v="58.25"/>
    <n v="9844.25"/>
  </r>
  <r>
    <x v="0"/>
    <x v="0"/>
    <x v="0"/>
    <n v="191"/>
    <n v="7"/>
    <n v="3.66"/>
    <n v="32.68"/>
    <n v="6241.88"/>
  </r>
  <r>
    <x v="2"/>
    <x v="0"/>
    <x v="2"/>
    <n v="168"/>
    <n v="14"/>
    <n v="8.33"/>
    <n v="39.369999999999997"/>
    <n v="6614.16"/>
  </r>
  <r>
    <x v="2"/>
    <x v="0"/>
    <x v="2"/>
    <n v="153"/>
    <n v="10"/>
    <n v="6.54"/>
    <n v="42.6"/>
    <n v="6517.8"/>
  </r>
  <r>
    <x v="0"/>
    <x v="0"/>
    <x v="2"/>
    <n v="68"/>
    <n v="2"/>
    <n v="2.94"/>
    <n v="13.29"/>
    <n v="903.72"/>
  </r>
  <r>
    <x v="1"/>
    <x v="0"/>
    <x v="1"/>
    <n v="112"/>
    <n v="9"/>
    <n v="8.0399999999999991"/>
    <n v="45.31"/>
    <n v="5074.72"/>
  </r>
  <r>
    <x v="0"/>
    <x v="0"/>
    <x v="2"/>
    <n v="296"/>
    <n v="21"/>
    <n v="7.09"/>
    <n v="25.19"/>
    <n v="7456.24"/>
  </r>
  <r>
    <x v="2"/>
    <x v="0"/>
    <x v="2"/>
    <n v="212"/>
    <n v="14"/>
    <n v="6.6"/>
    <n v="38.729999999999997"/>
    <n v="8210.76"/>
  </r>
  <r>
    <x v="0"/>
    <x v="0"/>
    <x v="0"/>
    <n v="188"/>
    <n v="17"/>
    <n v="9.0399999999999991"/>
    <n v="9.84"/>
    <n v="1849.92"/>
  </r>
  <r>
    <x v="1"/>
    <x v="0"/>
    <x v="2"/>
    <n v="254"/>
    <n v="8"/>
    <n v="3.15"/>
    <n v="20.72"/>
    <n v="5262.88"/>
  </r>
  <r>
    <x v="1"/>
    <x v="0"/>
    <x v="2"/>
    <n v="260"/>
    <n v="3"/>
    <n v="1.1499999999999999"/>
    <n v="43.4"/>
    <n v="11284"/>
  </r>
  <r>
    <x v="3"/>
    <x v="0"/>
    <x v="2"/>
    <n v="279"/>
    <n v="1"/>
    <n v="0.36"/>
    <n v="58.78"/>
    <n v="16399.62"/>
  </r>
  <r>
    <x v="2"/>
    <x v="0"/>
    <x v="2"/>
    <n v="257"/>
    <n v="21"/>
    <n v="8.17"/>
    <n v="41.41"/>
    <n v="10642.37"/>
  </r>
  <r>
    <x v="1"/>
    <x v="0"/>
    <x v="2"/>
    <n v="108"/>
    <n v="3"/>
    <n v="2.78"/>
    <n v="15.16"/>
    <n v="1637.28"/>
  </r>
  <r>
    <x v="1"/>
    <x v="0"/>
    <x v="1"/>
    <n v="209"/>
    <n v="18"/>
    <n v="8.61"/>
    <n v="8.27"/>
    <n v="1728.43"/>
  </r>
  <r>
    <x v="3"/>
    <x v="0"/>
    <x v="2"/>
    <n v="72"/>
    <n v="3"/>
    <n v="4.17"/>
    <n v="11.11"/>
    <n v="799.92"/>
  </r>
  <r>
    <x v="0"/>
    <x v="0"/>
    <x v="0"/>
    <n v="111"/>
    <n v="4"/>
    <n v="3.6"/>
    <n v="20.82"/>
    <n v="2311.02"/>
  </r>
  <r>
    <x v="3"/>
    <x v="0"/>
    <x v="2"/>
    <n v="240"/>
    <n v="13"/>
    <n v="5.42"/>
    <n v="6.85"/>
    <n v="1644"/>
  </r>
  <r>
    <x v="0"/>
    <x v="0"/>
    <x v="0"/>
    <n v="155"/>
    <n v="2"/>
    <n v="1.29"/>
    <n v="27.69"/>
    <n v="4291.95"/>
  </r>
  <r>
    <x v="0"/>
    <x v="0"/>
    <x v="0"/>
    <n v="59"/>
    <n v="1"/>
    <n v="1.69"/>
    <n v="67.209999999999994"/>
    <n v="3965.39"/>
  </r>
  <r>
    <x v="3"/>
    <x v="0"/>
    <x v="2"/>
    <n v="248"/>
    <n v="7"/>
    <n v="2.82"/>
    <n v="11.7"/>
    <n v="2901.6"/>
  </r>
  <r>
    <x v="2"/>
    <x v="0"/>
    <x v="2"/>
    <n v="283"/>
    <n v="17"/>
    <n v="6.01"/>
    <n v="57.23"/>
    <n v="16196.09"/>
  </r>
  <r>
    <x v="1"/>
    <x v="0"/>
    <x v="2"/>
    <n v="250"/>
    <n v="16"/>
    <n v="6.4"/>
    <n v="56.94"/>
    <n v="14235"/>
  </r>
  <r>
    <x v="1"/>
    <x v="0"/>
    <x v="1"/>
    <n v="216"/>
    <n v="0"/>
    <n v="0"/>
    <n v="44.17"/>
    <n v="9540.7199999999993"/>
  </r>
  <r>
    <x v="0"/>
    <x v="0"/>
    <x v="0"/>
    <n v="210"/>
    <n v="5"/>
    <n v="2.38"/>
    <n v="39.119999999999997"/>
    <n v="8215.2000000000007"/>
  </r>
  <r>
    <x v="0"/>
    <x v="0"/>
    <x v="2"/>
    <n v="155"/>
    <n v="12"/>
    <n v="7.74"/>
    <n v="37.979999999999997"/>
    <n v="5886.9"/>
  </r>
  <r>
    <x v="1"/>
    <x v="0"/>
    <x v="1"/>
    <n v="255"/>
    <n v="15"/>
    <n v="5.88"/>
    <n v="25.11"/>
    <n v="6403.05"/>
  </r>
  <r>
    <x v="1"/>
    <x v="0"/>
    <x v="1"/>
    <n v="185"/>
    <n v="16"/>
    <n v="8.65"/>
    <n v="49.17"/>
    <n v="9096.4500000000007"/>
  </r>
  <r>
    <x v="0"/>
    <x v="0"/>
    <x v="0"/>
    <n v="107"/>
    <n v="10"/>
    <n v="9.35"/>
    <n v="60.89"/>
    <n v="6515.23"/>
  </r>
  <r>
    <x v="0"/>
    <x v="0"/>
    <x v="0"/>
    <n v="85"/>
    <n v="3"/>
    <n v="3.53"/>
    <n v="47.27"/>
    <n v="4017.95"/>
  </r>
  <r>
    <x v="3"/>
    <x v="0"/>
    <x v="2"/>
    <n v="140"/>
    <n v="6"/>
    <n v="4.29"/>
    <n v="58.72"/>
    <n v="8220.7999999999993"/>
  </r>
  <r>
    <x v="1"/>
    <x v="0"/>
    <x v="2"/>
    <n v="54"/>
    <n v="5"/>
    <n v="9.26"/>
    <n v="58.05"/>
    <n v="3134.7"/>
  </r>
  <r>
    <x v="1"/>
    <x v="0"/>
    <x v="1"/>
    <n v="290"/>
    <n v="6"/>
    <n v="2.0699999999999998"/>
    <n v="16.43"/>
    <n v="4764.7"/>
  </r>
  <r>
    <x v="0"/>
    <x v="0"/>
    <x v="0"/>
    <n v="120"/>
    <n v="9"/>
    <n v="7.5"/>
    <n v="67.64"/>
    <n v="8116.8"/>
  </r>
  <r>
    <x v="3"/>
    <x v="0"/>
    <x v="2"/>
    <n v="89"/>
    <n v="2"/>
    <n v="2.25"/>
    <n v="50.14"/>
    <n v="4462.46"/>
  </r>
  <r>
    <x v="3"/>
    <x v="0"/>
    <x v="2"/>
    <n v="146"/>
    <n v="14"/>
    <n v="9.59"/>
    <n v="30.89"/>
    <n v="4509.9399999999996"/>
  </r>
  <r>
    <x v="3"/>
    <x v="0"/>
    <x v="2"/>
    <n v="224"/>
    <n v="17"/>
    <n v="7.59"/>
    <n v="11.41"/>
    <n v="2555.84"/>
  </r>
  <r>
    <x v="1"/>
    <x v="0"/>
    <x v="1"/>
    <n v="243"/>
    <n v="13"/>
    <n v="5.35"/>
    <n v="15.54"/>
    <n v="3776.22"/>
  </r>
  <r>
    <x v="0"/>
    <x v="0"/>
    <x v="0"/>
    <n v="258"/>
    <n v="20"/>
    <n v="7.75"/>
    <n v="12.24"/>
    <n v="3157.92"/>
  </r>
  <r>
    <x v="1"/>
    <x v="0"/>
    <x v="2"/>
    <n v="79"/>
    <n v="6"/>
    <n v="7.59"/>
    <n v="36.119999999999997"/>
    <n v="2853.48"/>
  </r>
  <r>
    <x v="0"/>
    <x v="0"/>
    <x v="2"/>
    <n v="279"/>
    <n v="24"/>
    <n v="8.6"/>
    <n v="55.65"/>
    <n v="15526.35"/>
  </r>
  <r>
    <x v="0"/>
    <x v="0"/>
    <x v="2"/>
    <n v="230"/>
    <n v="12"/>
    <n v="5.22"/>
    <n v="56"/>
    <n v="12880"/>
  </r>
  <r>
    <x v="0"/>
    <x v="0"/>
    <x v="0"/>
    <n v="270"/>
    <n v="4"/>
    <n v="1.48"/>
    <n v="9.65"/>
    <n v="2605.5"/>
  </r>
  <r>
    <x v="3"/>
    <x v="0"/>
    <x v="2"/>
    <n v="64"/>
    <n v="0"/>
    <n v="0"/>
    <n v="44.52"/>
    <n v="2849.28"/>
  </r>
  <r>
    <x v="3"/>
    <x v="0"/>
    <x v="2"/>
    <n v="289"/>
    <n v="19"/>
    <n v="6.57"/>
    <n v="24.68"/>
    <n v="7132.52"/>
  </r>
  <r>
    <x v="1"/>
    <x v="0"/>
    <x v="1"/>
    <n v="104"/>
    <n v="10"/>
    <n v="9.6199999999999992"/>
    <n v="11.42"/>
    <n v="1187.68"/>
  </r>
  <r>
    <x v="3"/>
    <x v="0"/>
    <x v="2"/>
    <n v="300"/>
    <n v="12"/>
    <n v="4"/>
    <n v="44.16"/>
    <n v="13248"/>
  </r>
  <r>
    <x v="3"/>
    <x v="0"/>
    <x v="2"/>
    <n v="108"/>
    <n v="0"/>
    <n v="0"/>
    <n v="7.4"/>
    <n v="799.2"/>
  </r>
  <r>
    <x v="2"/>
    <x v="0"/>
    <x v="2"/>
    <n v="268"/>
    <n v="1"/>
    <n v="0.37"/>
    <n v="19.989999999999998"/>
    <n v="5357.32"/>
  </r>
  <r>
    <x v="1"/>
    <x v="0"/>
    <x v="2"/>
    <n v="85"/>
    <n v="3"/>
    <n v="3.53"/>
    <n v="43.26"/>
    <n v="3677.1"/>
  </r>
  <r>
    <x v="0"/>
    <x v="0"/>
    <x v="0"/>
    <n v="172"/>
    <n v="5"/>
    <n v="2.91"/>
    <n v="52.34"/>
    <n v="9002.48"/>
  </r>
  <r>
    <x v="0"/>
    <x v="0"/>
    <x v="0"/>
    <n v="142"/>
    <n v="10"/>
    <n v="7.04"/>
    <n v="34.5"/>
    <n v="4899"/>
  </r>
  <r>
    <x v="1"/>
    <x v="0"/>
    <x v="2"/>
    <n v="264"/>
    <n v="26"/>
    <n v="9.85"/>
    <n v="8.24"/>
    <n v="2175.36"/>
  </r>
  <r>
    <x v="1"/>
    <x v="0"/>
    <x v="1"/>
    <n v="80"/>
    <n v="4"/>
    <n v="5"/>
    <n v="10.58"/>
    <n v="846.4"/>
  </r>
  <r>
    <x v="0"/>
    <x v="0"/>
    <x v="0"/>
    <n v="153"/>
    <n v="1"/>
    <n v="0.65"/>
    <n v="6.76"/>
    <n v="1034.28"/>
  </r>
  <r>
    <x v="0"/>
    <x v="0"/>
    <x v="2"/>
    <n v="114"/>
    <n v="6"/>
    <n v="5.26"/>
    <n v="37.950000000000003"/>
    <n v="4326.3"/>
  </r>
  <r>
    <x v="0"/>
    <x v="0"/>
    <x v="2"/>
    <n v="248"/>
    <n v="3"/>
    <n v="1.21"/>
    <n v="11.56"/>
    <n v="2866.88"/>
  </r>
  <r>
    <x v="1"/>
    <x v="0"/>
    <x v="2"/>
    <n v="265"/>
    <n v="10"/>
    <n v="3.77"/>
    <n v="31.09"/>
    <n v="8238.85"/>
  </r>
  <r>
    <x v="0"/>
    <x v="0"/>
    <x v="0"/>
    <n v="212"/>
    <n v="11"/>
    <n v="5.19"/>
    <n v="43.1"/>
    <n v="9137.2000000000007"/>
  </r>
  <r>
    <x v="1"/>
    <x v="0"/>
    <x v="2"/>
    <n v="125"/>
    <n v="10"/>
    <n v="8"/>
    <n v="24.65"/>
    <n v="3081.25"/>
  </r>
  <r>
    <x v="3"/>
    <x v="0"/>
    <x v="2"/>
    <n v="72"/>
    <n v="7"/>
    <n v="9.7200000000000006"/>
    <n v="39.44"/>
    <n v="2839.68"/>
  </r>
  <r>
    <x v="1"/>
    <x v="0"/>
    <x v="1"/>
    <n v="74"/>
    <n v="3"/>
    <n v="4.05"/>
    <n v="5.55"/>
    <n v="410.7"/>
  </r>
  <r>
    <x v="1"/>
    <x v="0"/>
    <x v="1"/>
    <n v="211"/>
    <n v="16"/>
    <n v="7.58"/>
    <n v="43.81"/>
    <n v="9243.91"/>
  </r>
  <r>
    <x v="1"/>
    <x v="0"/>
    <x v="1"/>
    <n v="91"/>
    <n v="3"/>
    <n v="3.3"/>
    <n v="45.01"/>
    <n v="4095.91"/>
  </r>
  <r>
    <x v="0"/>
    <x v="0"/>
    <x v="2"/>
    <n v="201"/>
    <n v="5"/>
    <n v="2.4900000000000002"/>
    <n v="45.86"/>
    <n v="9217.86"/>
  </r>
  <r>
    <x v="1"/>
    <x v="0"/>
    <x v="2"/>
    <n v="129"/>
    <n v="6"/>
    <n v="4.6500000000000004"/>
    <n v="17.52"/>
    <n v="2260.08"/>
  </r>
  <r>
    <x v="3"/>
    <x v="0"/>
    <x v="2"/>
    <n v="112"/>
    <n v="9"/>
    <n v="8.0399999999999991"/>
    <n v="20.059999999999999"/>
    <n v="2246.7199999999998"/>
  </r>
  <r>
    <x v="1"/>
    <x v="0"/>
    <x v="1"/>
    <n v="233"/>
    <n v="0"/>
    <n v="0"/>
    <n v="43.6"/>
    <n v="10158.799999999999"/>
  </r>
  <r>
    <x v="0"/>
    <x v="0"/>
    <x v="2"/>
    <n v="170"/>
    <n v="8"/>
    <n v="4.71"/>
    <n v="16.16"/>
    <n v="2747.2"/>
  </r>
  <r>
    <x v="1"/>
    <x v="0"/>
    <x v="1"/>
    <n v="186"/>
    <n v="12"/>
    <n v="6.45"/>
    <n v="49.28"/>
    <n v="9166.08"/>
  </r>
  <r>
    <x v="2"/>
    <x v="0"/>
    <x v="2"/>
    <n v="69"/>
    <n v="3"/>
    <n v="4.3499999999999996"/>
    <n v="20.63"/>
    <n v="1423.47"/>
  </r>
  <r>
    <x v="1"/>
    <x v="0"/>
    <x v="1"/>
    <n v="51"/>
    <n v="0"/>
    <n v="0"/>
    <n v="68.849999999999994"/>
    <n v="3511.35"/>
  </r>
  <r>
    <x v="1"/>
    <x v="0"/>
    <x v="2"/>
    <n v="103"/>
    <n v="0"/>
    <n v="0"/>
    <n v="32.47"/>
    <n v="3344.41"/>
  </r>
  <r>
    <x v="2"/>
    <x v="0"/>
    <x v="2"/>
    <n v="133"/>
    <n v="8"/>
    <n v="6.02"/>
    <n v="38.549999999999997"/>
    <n v="5127.1499999999996"/>
  </r>
  <r>
    <x v="0"/>
    <x v="0"/>
    <x v="2"/>
    <n v="105"/>
    <n v="7"/>
    <n v="6.67"/>
    <n v="30.51"/>
    <n v="3203.55"/>
  </r>
  <r>
    <x v="1"/>
    <x v="0"/>
    <x v="2"/>
    <n v="252"/>
    <n v="20"/>
    <n v="7.94"/>
    <n v="45.43"/>
    <n v="11448.36"/>
  </r>
  <r>
    <x v="1"/>
    <x v="0"/>
    <x v="1"/>
    <n v="270"/>
    <n v="9"/>
    <n v="3.33"/>
    <n v="54.82"/>
    <n v="14801.4"/>
  </r>
  <r>
    <x v="0"/>
    <x v="0"/>
    <x v="0"/>
    <n v="192"/>
    <n v="13"/>
    <n v="6.77"/>
    <n v="24.21"/>
    <n v="4648.32"/>
  </r>
  <r>
    <x v="2"/>
    <x v="0"/>
    <x v="2"/>
    <n v="169"/>
    <n v="10"/>
    <n v="5.92"/>
    <n v="38.869999999999997"/>
    <n v="6569.03"/>
  </r>
  <r>
    <x v="1"/>
    <x v="0"/>
    <x v="1"/>
    <n v="112"/>
    <n v="3"/>
    <n v="2.68"/>
    <n v="68.62"/>
    <n v="7685.44"/>
  </r>
  <r>
    <x v="0"/>
    <x v="0"/>
    <x v="0"/>
    <n v="77"/>
    <n v="5"/>
    <n v="6.49"/>
    <n v="35.31"/>
    <n v="2718.87"/>
  </r>
  <r>
    <x v="1"/>
    <x v="0"/>
    <x v="2"/>
    <n v="211"/>
    <n v="21"/>
    <n v="9.9499999999999993"/>
    <n v="27.76"/>
    <n v="5857.36"/>
  </r>
  <r>
    <x v="3"/>
    <x v="0"/>
    <x v="2"/>
    <n v="288"/>
    <n v="15"/>
    <n v="5.21"/>
    <n v="34.770000000000003"/>
    <n v="10013.76"/>
  </r>
  <r>
    <x v="0"/>
    <x v="0"/>
    <x v="2"/>
    <n v="206"/>
    <n v="12"/>
    <n v="5.83"/>
    <n v="46.58"/>
    <n v="9595.48"/>
  </r>
  <r>
    <x v="1"/>
    <x v="0"/>
    <x v="1"/>
    <n v="187"/>
    <n v="16"/>
    <n v="8.56"/>
    <n v="34.11"/>
    <n v="6378.57"/>
  </r>
  <r>
    <x v="1"/>
    <x v="0"/>
    <x v="2"/>
    <n v="195"/>
    <n v="12"/>
    <n v="6.15"/>
    <n v="9.25"/>
    <n v="1803.75"/>
  </r>
  <r>
    <x v="1"/>
    <x v="0"/>
    <x v="2"/>
    <n v="68"/>
    <n v="5"/>
    <n v="7.35"/>
    <n v="44.96"/>
    <n v="3057.28"/>
  </r>
  <r>
    <x v="0"/>
    <x v="0"/>
    <x v="0"/>
    <n v="203"/>
    <n v="6"/>
    <n v="2.96"/>
    <n v="17.45"/>
    <n v="3542.35"/>
  </r>
  <r>
    <x v="0"/>
    <x v="0"/>
    <x v="2"/>
    <n v="240"/>
    <n v="23"/>
    <n v="9.58"/>
    <n v="43.29"/>
    <n v="10389.6"/>
  </r>
  <r>
    <x v="0"/>
    <x v="0"/>
    <x v="0"/>
    <n v="281"/>
    <n v="13"/>
    <n v="4.63"/>
    <n v="62.51"/>
    <n v="17565.310000000001"/>
  </r>
  <r>
    <x v="0"/>
    <x v="0"/>
    <x v="2"/>
    <n v="120"/>
    <n v="12"/>
    <n v="10"/>
    <n v="29.29"/>
    <n v="3514.8"/>
  </r>
  <r>
    <x v="3"/>
    <x v="0"/>
    <x v="2"/>
    <n v="120"/>
    <n v="10"/>
    <n v="8.33"/>
    <n v="5.63"/>
    <n v="675.6"/>
  </r>
  <r>
    <x v="0"/>
    <x v="0"/>
    <x v="2"/>
    <n v="295"/>
    <n v="8"/>
    <n v="2.71"/>
    <n v="41.03"/>
    <n v="12103.85"/>
  </r>
  <r>
    <x v="0"/>
    <x v="0"/>
    <x v="0"/>
    <n v="171"/>
    <n v="3"/>
    <n v="1.75"/>
    <n v="65.55"/>
    <n v="11209.05"/>
  </r>
  <r>
    <x v="2"/>
    <x v="0"/>
    <x v="2"/>
    <n v="112"/>
    <n v="2"/>
    <n v="1.79"/>
    <n v="17.079999999999998"/>
    <n v="1912.96"/>
  </r>
  <r>
    <x v="2"/>
    <x v="0"/>
    <x v="2"/>
    <n v="291"/>
    <n v="12"/>
    <n v="4.12"/>
    <n v="18.850000000000001"/>
    <n v="5485.35"/>
  </r>
  <r>
    <x v="1"/>
    <x v="0"/>
    <x v="2"/>
    <n v="226"/>
    <n v="0"/>
    <n v="0"/>
    <n v="32.159999999999997"/>
    <n v="7268.16"/>
  </r>
  <r>
    <x v="1"/>
    <x v="0"/>
    <x v="1"/>
    <n v="268"/>
    <n v="19"/>
    <n v="7.09"/>
    <n v="5.75"/>
    <n v="1541"/>
  </r>
  <r>
    <x v="0"/>
    <x v="0"/>
    <x v="2"/>
    <n v="240"/>
    <n v="19"/>
    <n v="7.92"/>
    <n v="66"/>
    <n v="15840"/>
  </r>
  <r>
    <x v="0"/>
    <x v="0"/>
    <x v="0"/>
    <n v="290"/>
    <n v="6"/>
    <n v="2.0699999999999998"/>
    <n v="13.39"/>
    <n v="3883.1"/>
  </r>
  <r>
    <x v="1"/>
    <x v="0"/>
    <x v="2"/>
    <n v="266"/>
    <n v="25"/>
    <n v="9.4"/>
    <n v="43.29"/>
    <n v="11515.14"/>
  </r>
  <r>
    <x v="2"/>
    <x v="0"/>
    <x v="2"/>
    <n v="102"/>
    <n v="6"/>
    <n v="5.88"/>
    <n v="68.7"/>
    <n v="7007.4"/>
  </r>
  <r>
    <x v="0"/>
    <x v="0"/>
    <x v="2"/>
    <n v="242"/>
    <n v="6"/>
    <n v="2.48"/>
    <n v="38.15"/>
    <n v="9232.2999999999993"/>
  </r>
  <r>
    <x v="0"/>
    <x v="0"/>
    <x v="2"/>
    <n v="213"/>
    <n v="17"/>
    <n v="7.98"/>
    <n v="41.56"/>
    <n v="8852.2800000000007"/>
  </r>
  <r>
    <x v="1"/>
    <x v="0"/>
    <x v="1"/>
    <n v="288"/>
    <n v="11"/>
    <n v="3.82"/>
    <n v="10.37"/>
    <n v="2986.56"/>
  </r>
  <r>
    <x v="0"/>
    <x v="0"/>
    <x v="2"/>
    <n v="248"/>
    <n v="9"/>
    <n v="3.63"/>
    <n v="67.290000000000006"/>
    <n v="16687.919999999998"/>
  </r>
  <r>
    <x v="1"/>
    <x v="0"/>
    <x v="2"/>
    <n v="259"/>
    <n v="11"/>
    <n v="4.25"/>
    <n v="25.1"/>
    <n v="6500.9"/>
  </r>
  <r>
    <x v="1"/>
    <x v="0"/>
    <x v="1"/>
    <n v="144"/>
    <n v="14"/>
    <n v="9.7200000000000006"/>
    <n v="18.739999999999998"/>
    <n v="2698.56"/>
  </r>
  <r>
    <x v="0"/>
    <x v="0"/>
    <x v="0"/>
    <n v="233"/>
    <n v="0"/>
    <n v="0"/>
    <n v="10"/>
    <n v="2330"/>
  </r>
  <r>
    <x v="1"/>
    <x v="0"/>
    <x v="1"/>
    <n v="253"/>
    <n v="9"/>
    <n v="3.56"/>
    <n v="21.53"/>
    <n v="5447.09"/>
  </r>
  <r>
    <x v="1"/>
    <x v="0"/>
    <x v="2"/>
    <n v="58"/>
    <n v="1"/>
    <n v="1.72"/>
    <n v="58.14"/>
    <n v="3372.12"/>
  </r>
  <r>
    <x v="0"/>
    <x v="0"/>
    <x v="2"/>
    <n v="268"/>
    <n v="20"/>
    <n v="7.46"/>
    <n v="67.27"/>
    <n v="18028.36"/>
  </r>
  <r>
    <x v="2"/>
    <x v="0"/>
    <x v="2"/>
    <n v="253"/>
    <n v="8"/>
    <n v="3.16"/>
    <n v="20.03"/>
    <n v="5067.59"/>
  </r>
  <r>
    <x v="0"/>
    <x v="0"/>
    <x v="0"/>
    <n v="272"/>
    <n v="13"/>
    <n v="4.78"/>
    <n v="39.89"/>
    <n v="10850.08"/>
  </r>
  <r>
    <x v="1"/>
    <x v="0"/>
    <x v="1"/>
    <n v="74"/>
    <n v="5"/>
    <n v="6.76"/>
    <n v="17.75"/>
    <n v="1313.5"/>
  </r>
  <r>
    <x v="0"/>
    <x v="0"/>
    <x v="0"/>
    <n v="206"/>
    <n v="5"/>
    <n v="2.4300000000000002"/>
    <n v="48.54"/>
    <n v="9999.24"/>
  </r>
  <r>
    <x v="1"/>
    <x v="0"/>
    <x v="2"/>
    <n v="231"/>
    <n v="9"/>
    <n v="3.9"/>
    <n v="6.02"/>
    <n v="1390.62"/>
  </r>
  <r>
    <x v="1"/>
    <x v="0"/>
    <x v="2"/>
    <n v="201"/>
    <n v="10"/>
    <n v="4.9800000000000004"/>
    <n v="55.78"/>
    <n v="11211.78"/>
  </r>
  <r>
    <x v="2"/>
    <x v="0"/>
    <x v="2"/>
    <n v="210"/>
    <n v="8"/>
    <n v="3.81"/>
    <n v="23.83"/>
    <n v="5004.3"/>
  </r>
  <r>
    <x v="2"/>
    <x v="0"/>
    <x v="2"/>
    <n v="139"/>
    <n v="10"/>
    <n v="7.19"/>
    <n v="26.23"/>
    <n v="3645.97"/>
  </r>
  <r>
    <x v="1"/>
    <x v="0"/>
    <x v="2"/>
    <n v="74"/>
    <n v="7"/>
    <n v="9.4600000000000009"/>
    <n v="59.3"/>
    <n v="4388.2"/>
  </r>
  <r>
    <x v="0"/>
    <x v="0"/>
    <x v="2"/>
    <n v="278"/>
    <n v="1"/>
    <n v="0.36"/>
    <n v="6.89"/>
    <n v="1915.42"/>
  </r>
  <r>
    <x v="0"/>
    <x v="0"/>
    <x v="2"/>
    <n v="288"/>
    <n v="19"/>
    <n v="6.6"/>
    <n v="15.7"/>
    <n v="4521.6000000000004"/>
  </r>
  <r>
    <x v="3"/>
    <x v="0"/>
    <x v="2"/>
    <n v="261"/>
    <n v="16"/>
    <n v="6.13"/>
    <n v="28.62"/>
    <n v="7469.82"/>
  </r>
  <r>
    <x v="1"/>
    <x v="0"/>
    <x v="2"/>
    <n v="61"/>
    <n v="5"/>
    <n v="8.1999999999999993"/>
    <n v="30.4"/>
    <n v="1854.4"/>
  </r>
  <r>
    <x v="1"/>
    <x v="0"/>
    <x v="1"/>
    <n v="245"/>
    <n v="15"/>
    <n v="6.12"/>
    <n v="5.5"/>
    <n v="1347.5"/>
  </r>
  <r>
    <x v="0"/>
    <x v="0"/>
    <x v="2"/>
    <n v="245"/>
    <n v="3"/>
    <n v="1.22"/>
    <n v="50.8"/>
    <n v="12446"/>
  </r>
  <r>
    <x v="0"/>
    <x v="0"/>
    <x v="0"/>
    <n v="52"/>
    <n v="3"/>
    <n v="5.77"/>
    <n v="41.76"/>
    <n v="2171.52"/>
  </r>
  <r>
    <x v="1"/>
    <x v="0"/>
    <x v="2"/>
    <n v="185"/>
    <n v="7"/>
    <n v="3.78"/>
    <n v="7.45"/>
    <n v="1378.25"/>
  </r>
  <r>
    <x v="1"/>
    <x v="0"/>
    <x v="2"/>
    <n v="163"/>
    <n v="4"/>
    <n v="2.4500000000000002"/>
    <n v="56.91"/>
    <n v="9276.33"/>
  </r>
  <r>
    <x v="1"/>
    <x v="0"/>
    <x v="1"/>
    <n v="146"/>
    <n v="13"/>
    <n v="8.9"/>
    <n v="24.17"/>
    <n v="3528.82"/>
  </r>
  <r>
    <x v="3"/>
    <x v="0"/>
    <x v="2"/>
    <n v="53"/>
    <n v="0"/>
    <n v="0"/>
    <n v="50.58"/>
    <n v="2680.74"/>
  </r>
  <r>
    <x v="0"/>
    <x v="0"/>
    <x v="2"/>
    <n v="120"/>
    <n v="12"/>
    <n v="10"/>
    <n v="15.02"/>
    <n v="1802.4"/>
  </r>
  <r>
    <x v="3"/>
    <x v="0"/>
    <x v="2"/>
    <n v="296"/>
    <n v="7"/>
    <n v="2.36"/>
    <n v="13.55"/>
    <n v="4010.8"/>
  </r>
  <r>
    <x v="0"/>
    <x v="0"/>
    <x v="0"/>
    <n v="173"/>
    <n v="1"/>
    <n v="0.57999999999999996"/>
    <n v="28.04"/>
    <n v="4850.92"/>
  </r>
  <r>
    <x v="2"/>
    <x v="0"/>
    <x v="2"/>
    <n v="275"/>
    <n v="13"/>
    <n v="4.7300000000000004"/>
    <n v="59.02"/>
    <n v="16230.5"/>
  </r>
  <r>
    <x v="0"/>
    <x v="0"/>
    <x v="0"/>
    <n v="217"/>
    <n v="20"/>
    <n v="9.2200000000000006"/>
    <n v="21.06"/>
    <n v="4570.0200000000004"/>
  </r>
  <r>
    <x v="2"/>
    <x v="0"/>
    <x v="2"/>
    <n v="130"/>
    <n v="1"/>
    <n v="0.77"/>
    <n v="63.3"/>
    <n v="8229"/>
  </r>
  <r>
    <x v="0"/>
    <x v="0"/>
    <x v="2"/>
    <n v="92"/>
    <n v="9"/>
    <n v="9.7799999999999994"/>
    <n v="22.88"/>
    <n v="2104.96"/>
  </r>
  <r>
    <x v="1"/>
    <x v="0"/>
    <x v="1"/>
    <n v="262"/>
    <n v="7"/>
    <n v="2.67"/>
    <n v="17.23"/>
    <n v="4514.26"/>
  </r>
  <r>
    <x v="0"/>
    <x v="0"/>
    <x v="0"/>
    <n v="148"/>
    <n v="6"/>
    <n v="4.05"/>
    <n v="51.22"/>
    <n v="7580.56"/>
  </r>
  <r>
    <x v="2"/>
    <x v="0"/>
    <x v="2"/>
    <n v="256"/>
    <n v="20"/>
    <n v="7.81"/>
    <n v="49.78"/>
    <n v="12743.68"/>
  </r>
  <r>
    <x v="1"/>
    <x v="0"/>
    <x v="2"/>
    <n v="279"/>
    <n v="12"/>
    <n v="4.3"/>
    <n v="29.16"/>
    <n v="8135.64"/>
  </r>
  <r>
    <x v="0"/>
    <x v="0"/>
    <x v="2"/>
    <n v="97"/>
    <n v="0"/>
    <n v="0"/>
    <n v="39.53"/>
    <n v="3834.41"/>
  </r>
  <r>
    <x v="2"/>
    <x v="0"/>
    <x v="2"/>
    <n v="282"/>
    <n v="18"/>
    <n v="6.38"/>
    <n v="45.57"/>
    <n v="12850.74"/>
  </r>
  <r>
    <x v="3"/>
    <x v="0"/>
    <x v="2"/>
    <n v="59"/>
    <n v="0"/>
    <n v="0"/>
    <n v="21"/>
    <n v="1239"/>
  </r>
  <r>
    <x v="2"/>
    <x v="0"/>
    <x v="2"/>
    <n v="74"/>
    <n v="3"/>
    <n v="4.05"/>
    <n v="11.64"/>
    <n v="861.36"/>
  </r>
  <r>
    <x v="1"/>
    <x v="0"/>
    <x v="2"/>
    <n v="258"/>
    <n v="6"/>
    <n v="2.33"/>
    <n v="13.19"/>
    <n v="3403.02"/>
  </r>
  <r>
    <x v="2"/>
    <x v="0"/>
    <x v="2"/>
    <n v="135"/>
    <n v="5"/>
    <n v="3.7"/>
    <n v="11.32"/>
    <n v="1528.2"/>
  </r>
  <r>
    <x v="0"/>
    <x v="0"/>
    <x v="2"/>
    <n v="230"/>
    <n v="8"/>
    <n v="3.48"/>
    <n v="19.88"/>
    <n v="4572.3999999999996"/>
  </r>
  <r>
    <x v="1"/>
    <x v="0"/>
    <x v="2"/>
    <n v="134"/>
    <n v="0"/>
    <n v="0"/>
    <n v="11.43"/>
    <n v="1531.62"/>
  </r>
  <r>
    <x v="3"/>
    <x v="0"/>
    <x v="2"/>
    <n v="268"/>
    <n v="26"/>
    <n v="9.6999999999999993"/>
    <n v="39.97"/>
    <n v="10711.96"/>
  </r>
  <r>
    <x v="0"/>
    <x v="0"/>
    <x v="2"/>
    <n v="123"/>
    <n v="1"/>
    <n v="0.81"/>
    <n v="19.16"/>
    <n v="2356.6799999999998"/>
  </r>
  <r>
    <x v="0"/>
    <x v="0"/>
    <x v="0"/>
    <n v="251"/>
    <n v="15"/>
    <n v="5.98"/>
    <n v="36.15"/>
    <n v="9073.65"/>
  </r>
  <r>
    <x v="1"/>
    <x v="0"/>
    <x v="2"/>
    <n v="157"/>
    <n v="4"/>
    <n v="2.5499999999999998"/>
    <n v="56.25"/>
    <n v="8831.25"/>
  </r>
  <r>
    <x v="0"/>
    <x v="0"/>
    <x v="2"/>
    <n v="276"/>
    <n v="12"/>
    <n v="4.3499999999999996"/>
    <n v="14.42"/>
    <n v="3979.92"/>
  </r>
  <r>
    <x v="0"/>
    <x v="0"/>
    <x v="2"/>
    <n v="168"/>
    <n v="3"/>
    <n v="1.79"/>
    <n v="14.56"/>
    <n v="2446.08"/>
  </r>
  <r>
    <x v="0"/>
    <x v="0"/>
    <x v="0"/>
    <n v="74"/>
    <n v="5"/>
    <n v="6.76"/>
    <n v="25.69"/>
    <n v="1901.06"/>
  </r>
  <r>
    <x v="2"/>
    <x v="0"/>
    <x v="2"/>
    <n v="227"/>
    <n v="7"/>
    <n v="3.08"/>
    <n v="5.7"/>
    <n v="1293.9000000000001"/>
  </r>
  <r>
    <x v="1"/>
    <x v="0"/>
    <x v="1"/>
    <n v="252"/>
    <n v="12"/>
    <n v="4.76"/>
    <n v="8.4"/>
    <n v="2116.8000000000002"/>
  </r>
  <r>
    <x v="2"/>
    <x v="0"/>
    <x v="2"/>
    <n v="264"/>
    <n v="5"/>
    <n v="1.89"/>
    <n v="9.3800000000000008"/>
    <n v="2476.3200000000002"/>
  </r>
  <r>
    <x v="1"/>
    <x v="0"/>
    <x v="1"/>
    <n v="71"/>
    <n v="6"/>
    <n v="8.4499999999999993"/>
    <n v="56.85"/>
    <n v="4036.35"/>
  </r>
  <r>
    <x v="1"/>
    <x v="0"/>
    <x v="2"/>
    <n v="250"/>
    <n v="19"/>
    <n v="7.6"/>
    <n v="47.7"/>
    <n v="11925"/>
  </r>
  <r>
    <x v="2"/>
    <x v="0"/>
    <x v="2"/>
    <n v="220"/>
    <n v="9"/>
    <n v="4.09"/>
    <n v="13.19"/>
    <n v="2901.8"/>
  </r>
  <r>
    <x v="0"/>
    <x v="0"/>
    <x v="0"/>
    <n v="114"/>
    <n v="6"/>
    <n v="5.26"/>
    <n v="5.9"/>
    <n v="672.6"/>
  </r>
  <r>
    <x v="0"/>
    <x v="0"/>
    <x v="0"/>
    <n v="212"/>
    <n v="15"/>
    <n v="7.08"/>
    <n v="51"/>
    <n v="10812"/>
  </r>
  <r>
    <x v="1"/>
    <x v="0"/>
    <x v="2"/>
    <n v="290"/>
    <n v="11"/>
    <n v="3.79"/>
    <n v="61.2"/>
    <n v="17748"/>
  </r>
  <r>
    <x v="0"/>
    <x v="0"/>
    <x v="2"/>
    <n v="165"/>
    <n v="3"/>
    <n v="1.82"/>
    <n v="17.87"/>
    <n v="2948.55"/>
  </r>
  <r>
    <x v="0"/>
    <x v="0"/>
    <x v="0"/>
    <n v="127"/>
    <n v="7"/>
    <n v="5.51"/>
    <n v="32.979999999999997"/>
    <n v="4188.46"/>
  </r>
  <r>
    <x v="2"/>
    <x v="0"/>
    <x v="2"/>
    <n v="251"/>
    <n v="16"/>
    <n v="6.37"/>
    <n v="10.26"/>
    <n v="2575.2600000000002"/>
  </r>
  <r>
    <x v="0"/>
    <x v="0"/>
    <x v="2"/>
    <n v="167"/>
    <n v="13"/>
    <n v="7.78"/>
    <n v="38.869999999999997"/>
    <n v="6491.29"/>
  </r>
  <r>
    <x v="1"/>
    <x v="0"/>
    <x v="2"/>
    <n v="226"/>
    <n v="14"/>
    <n v="6.19"/>
    <n v="20.7"/>
    <n v="4678.2"/>
  </r>
  <r>
    <x v="1"/>
    <x v="0"/>
    <x v="1"/>
    <n v="203"/>
    <n v="18"/>
    <n v="8.8699999999999992"/>
    <n v="23.11"/>
    <n v="4691.33"/>
  </r>
  <r>
    <x v="3"/>
    <x v="0"/>
    <x v="2"/>
    <n v="204"/>
    <n v="13"/>
    <n v="6.37"/>
    <n v="6.63"/>
    <n v="1352.52"/>
  </r>
  <r>
    <x v="1"/>
    <x v="0"/>
    <x v="2"/>
    <n v="101"/>
    <n v="9"/>
    <n v="8.91"/>
    <n v="56.54"/>
    <n v="5710.54"/>
  </r>
  <r>
    <x v="3"/>
    <x v="0"/>
    <x v="2"/>
    <n v="298"/>
    <n v="22"/>
    <n v="7.38"/>
    <n v="40.47"/>
    <n v="12060.06"/>
  </r>
  <r>
    <x v="2"/>
    <x v="0"/>
    <x v="2"/>
    <n v="145"/>
    <n v="12"/>
    <n v="8.2799999999999994"/>
    <n v="55.48"/>
    <n v="8044.6"/>
  </r>
  <r>
    <x v="0"/>
    <x v="0"/>
    <x v="2"/>
    <n v="146"/>
    <n v="1"/>
    <n v="0.68"/>
    <n v="49.53"/>
    <n v="7231.38"/>
  </r>
  <r>
    <x v="1"/>
    <x v="0"/>
    <x v="2"/>
    <n v="211"/>
    <n v="4"/>
    <n v="1.9"/>
    <n v="36.020000000000003"/>
    <n v="7600.22"/>
  </r>
  <r>
    <x v="1"/>
    <x v="0"/>
    <x v="2"/>
    <n v="105"/>
    <n v="0"/>
    <n v="0"/>
    <n v="29.07"/>
    <n v="3052.35"/>
  </r>
  <r>
    <x v="1"/>
    <x v="0"/>
    <x v="2"/>
    <n v="225"/>
    <n v="4"/>
    <n v="1.78"/>
    <n v="7.42"/>
    <n v="1669.5"/>
  </r>
  <r>
    <x v="0"/>
    <x v="0"/>
    <x v="2"/>
    <n v="281"/>
    <n v="16"/>
    <n v="5.69"/>
    <n v="18.53"/>
    <n v="5206.93"/>
  </r>
  <r>
    <x v="1"/>
    <x v="0"/>
    <x v="1"/>
    <n v="289"/>
    <n v="17"/>
    <n v="5.88"/>
    <n v="40.68"/>
    <n v="11756.52"/>
  </r>
  <r>
    <x v="1"/>
    <x v="0"/>
    <x v="1"/>
    <n v="94"/>
    <n v="2"/>
    <n v="2.13"/>
    <n v="11.16"/>
    <n v="1049.04"/>
  </r>
  <r>
    <x v="3"/>
    <x v="0"/>
    <x v="2"/>
    <n v="211"/>
    <n v="17"/>
    <n v="8.06"/>
    <n v="64.63"/>
    <n v="13636.93"/>
  </r>
  <r>
    <x v="3"/>
    <x v="0"/>
    <x v="2"/>
    <n v="230"/>
    <n v="4"/>
    <n v="1.74"/>
    <n v="64.239999999999995"/>
    <n v="14775.2"/>
  </r>
  <r>
    <x v="3"/>
    <x v="0"/>
    <x v="2"/>
    <n v="84"/>
    <n v="6"/>
    <n v="7.14"/>
    <n v="43.77"/>
    <n v="3676.68"/>
  </r>
  <r>
    <x v="2"/>
    <x v="0"/>
    <x v="2"/>
    <n v="262"/>
    <n v="17"/>
    <n v="6.49"/>
    <n v="67.489999999999995"/>
    <n v="17682.38"/>
  </r>
  <r>
    <x v="2"/>
    <x v="0"/>
    <x v="2"/>
    <n v="145"/>
    <n v="5"/>
    <n v="3.45"/>
    <n v="11.54"/>
    <n v="1673.3"/>
  </r>
  <r>
    <x v="1"/>
    <x v="0"/>
    <x v="2"/>
    <n v="265"/>
    <n v="0"/>
    <n v="0"/>
    <n v="23.91"/>
    <n v="6336.15"/>
  </r>
  <r>
    <x v="2"/>
    <x v="0"/>
    <x v="2"/>
    <n v="227"/>
    <n v="15"/>
    <n v="6.61"/>
    <n v="32.33"/>
    <n v="7338.91"/>
  </r>
  <r>
    <x v="2"/>
    <x v="0"/>
    <x v="2"/>
    <n v="280"/>
    <n v="12"/>
    <n v="4.29"/>
    <n v="33.479999999999997"/>
    <n v="9374.4"/>
  </r>
  <r>
    <x v="0"/>
    <x v="0"/>
    <x v="0"/>
    <n v="161"/>
    <n v="8"/>
    <n v="4.97"/>
    <n v="20.45"/>
    <n v="3292.45"/>
  </r>
  <r>
    <x v="3"/>
    <x v="0"/>
    <x v="2"/>
    <n v="142"/>
    <n v="9"/>
    <n v="6.34"/>
    <n v="54.33"/>
    <n v="7714.86"/>
  </r>
  <r>
    <x v="1"/>
    <x v="0"/>
    <x v="1"/>
    <n v="69"/>
    <n v="0"/>
    <n v="0"/>
    <n v="23.78"/>
    <n v="1640.82"/>
  </r>
  <r>
    <x v="0"/>
    <x v="0"/>
    <x v="2"/>
    <n v="147"/>
    <n v="6"/>
    <n v="4.08"/>
    <n v="24.92"/>
    <n v="3663.24"/>
  </r>
  <r>
    <x v="2"/>
    <x v="0"/>
    <x v="2"/>
    <n v="135"/>
    <n v="5"/>
    <n v="3.7"/>
    <n v="42.46"/>
    <n v="5732.1"/>
  </r>
  <r>
    <x v="3"/>
    <x v="0"/>
    <x v="2"/>
    <n v="274"/>
    <n v="1"/>
    <n v="0.36"/>
    <n v="12.74"/>
    <n v="3490.76"/>
  </r>
  <r>
    <x v="1"/>
    <x v="0"/>
    <x v="1"/>
    <n v="67"/>
    <n v="6"/>
    <n v="8.9600000000000009"/>
    <n v="14.35"/>
    <n v="961.45"/>
  </r>
  <r>
    <x v="3"/>
    <x v="0"/>
    <x v="2"/>
    <n v="216"/>
    <n v="15"/>
    <n v="6.94"/>
    <n v="50.25"/>
    <n v="10854"/>
  </r>
  <r>
    <x v="3"/>
    <x v="0"/>
    <x v="2"/>
    <n v="175"/>
    <n v="11"/>
    <n v="6.29"/>
    <n v="59.01"/>
    <n v="10326.75"/>
  </r>
  <r>
    <x v="1"/>
    <x v="0"/>
    <x v="2"/>
    <n v="120"/>
    <n v="1"/>
    <n v="0.83"/>
    <n v="28.02"/>
    <n v="3362.4"/>
  </r>
  <r>
    <x v="1"/>
    <x v="0"/>
    <x v="2"/>
    <n v="85"/>
    <n v="8"/>
    <n v="9.41"/>
    <n v="37.78"/>
    <n v="3211.3"/>
  </r>
  <r>
    <x v="2"/>
    <x v="0"/>
    <x v="2"/>
    <n v="299"/>
    <n v="2"/>
    <n v="0.67"/>
    <n v="53.78"/>
    <n v="16080.22"/>
  </r>
  <r>
    <x v="1"/>
    <x v="0"/>
    <x v="2"/>
    <n v="294"/>
    <n v="26"/>
    <n v="8.84"/>
    <n v="68.19"/>
    <n v="20047.86"/>
  </r>
  <r>
    <x v="1"/>
    <x v="0"/>
    <x v="2"/>
    <n v="166"/>
    <n v="4"/>
    <n v="2.41"/>
    <n v="31.31"/>
    <n v="5197.46"/>
  </r>
  <r>
    <x v="1"/>
    <x v="0"/>
    <x v="1"/>
    <n v="265"/>
    <n v="6"/>
    <n v="2.2599999999999998"/>
    <n v="16.78"/>
    <n v="4446.7"/>
  </r>
  <r>
    <x v="0"/>
    <x v="0"/>
    <x v="2"/>
    <n v="53"/>
    <n v="2"/>
    <n v="3.77"/>
    <n v="6.57"/>
    <n v="348.21"/>
  </r>
  <r>
    <x v="2"/>
    <x v="0"/>
    <x v="2"/>
    <n v="158"/>
    <n v="4"/>
    <n v="2.5299999999999998"/>
    <n v="17.86"/>
    <n v="2821.88"/>
  </r>
  <r>
    <x v="0"/>
    <x v="0"/>
    <x v="2"/>
    <n v="61"/>
    <n v="1"/>
    <n v="1.64"/>
    <n v="54.5"/>
    <n v="3324.5"/>
  </r>
  <r>
    <x v="0"/>
    <x v="0"/>
    <x v="0"/>
    <n v="239"/>
    <n v="22"/>
    <n v="9.2100000000000009"/>
    <n v="10.63"/>
    <n v="2540.5700000000002"/>
  </r>
  <r>
    <x v="1"/>
    <x v="0"/>
    <x v="1"/>
    <n v="165"/>
    <n v="13"/>
    <n v="7.88"/>
    <n v="31.84"/>
    <n v="5253.6"/>
  </r>
  <r>
    <x v="2"/>
    <x v="0"/>
    <x v="2"/>
    <n v="214"/>
    <n v="16"/>
    <n v="7.48"/>
    <n v="27.97"/>
    <n v="5985.58"/>
  </r>
  <r>
    <x v="3"/>
    <x v="0"/>
    <x v="2"/>
    <n v="59"/>
    <n v="3"/>
    <n v="5.08"/>
    <n v="60.35"/>
    <n v="3560.65"/>
  </r>
  <r>
    <x v="3"/>
    <x v="0"/>
    <x v="2"/>
    <n v="122"/>
    <n v="2"/>
    <n v="1.64"/>
    <n v="47.94"/>
    <n v="5848.68"/>
  </r>
  <r>
    <x v="1"/>
    <x v="0"/>
    <x v="1"/>
    <n v="135"/>
    <n v="7"/>
    <n v="5.19"/>
    <n v="62.2"/>
    <n v="8397"/>
  </r>
  <r>
    <x v="3"/>
    <x v="0"/>
    <x v="2"/>
    <n v="54"/>
    <n v="2"/>
    <n v="3.7"/>
    <n v="48.35"/>
    <n v="2610.9"/>
  </r>
  <r>
    <x v="1"/>
    <x v="0"/>
    <x v="2"/>
    <n v="254"/>
    <n v="23"/>
    <n v="9.06"/>
    <n v="31.93"/>
    <n v="8110.22"/>
  </r>
  <r>
    <x v="2"/>
    <x v="0"/>
    <x v="2"/>
    <n v="257"/>
    <n v="18"/>
    <n v="7"/>
    <n v="58.77"/>
    <n v="15103.89"/>
  </r>
  <r>
    <x v="3"/>
    <x v="0"/>
    <x v="2"/>
    <n v="75"/>
    <n v="5"/>
    <n v="6.67"/>
    <n v="49.7"/>
    <n v="3727.5"/>
  </r>
  <r>
    <x v="1"/>
    <x v="0"/>
    <x v="2"/>
    <n v="70"/>
    <n v="4"/>
    <n v="5.71"/>
    <n v="62.99"/>
    <n v="4409.3"/>
  </r>
  <r>
    <x v="1"/>
    <x v="0"/>
    <x v="1"/>
    <n v="112"/>
    <n v="10"/>
    <n v="8.93"/>
    <n v="29.16"/>
    <n v="3265.92"/>
  </r>
  <r>
    <x v="3"/>
    <x v="0"/>
    <x v="2"/>
    <n v="225"/>
    <n v="8"/>
    <n v="3.56"/>
    <n v="42.85"/>
    <n v="9641.25"/>
  </r>
  <r>
    <x v="1"/>
    <x v="0"/>
    <x v="1"/>
    <n v="186"/>
    <n v="10"/>
    <n v="5.38"/>
    <n v="38.229999999999997"/>
    <n v="7110.78"/>
  </r>
  <r>
    <x v="0"/>
    <x v="0"/>
    <x v="2"/>
    <n v="164"/>
    <n v="11"/>
    <n v="6.71"/>
    <n v="60.67"/>
    <n v="9949.8799999999992"/>
  </r>
  <r>
    <x v="0"/>
    <x v="0"/>
    <x v="2"/>
    <n v="280"/>
    <n v="14"/>
    <n v="5"/>
    <n v="23.31"/>
    <n v="6526.8"/>
  </r>
  <r>
    <x v="1"/>
    <x v="0"/>
    <x v="1"/>
    <n v="229"/>
    <n v="4"/>
    <n v="1.75"/>
    <n v="46.35"/>
    <n v="10614.15"/>
  </r>
  <r>
    <x v="0"/>
    <x v="0"/>
    <x v="0"/>
    <n v="53"/>
    <n v="3"/>
    <n v="5.66"/>
    <n v="31.85"/>
    <n v="1688.05"/>
  </r>
  <r>
    <x v="2"/>
    <x v="0"/>
    <x v="2"/>
    <n v="279"/>
    <n v="16"/>
    <n v="5.73"/>
    <n v="69.88"/>
    <n v="19496.52"/>
  </r>
  <r>
    <x v="1"/>
    <x v="0"/>
    <x v="1"/>
    <n v="172"/>
    <n v="4"/>
    <n v="2.33"/>
    <n v="18.38"/>
    <n v="3161.36"/>
  </r>
  <r>
    <x v="1"/>
    <x v="0"/>
    <x v="2"/>
    <n v="82"/>
    <n v="4"/>
    <n v="4.88"/>
    <n v="15.68"/>
    <n v="1285.76"/>
  </r>
  <r>
    <x v="0"/>
    <x v="0"/>
    <x v="2"/>
    <n v="191"/>
    <n v="13"/>
    <n v="6.81"/>
    <n v="29.25"/>
    <n v="5586.75"/>
  </r>
  <r>
    <x v="3"/>
    <x v="0"/>
    <x v="2"/>
    <n v="252"/>
    <n v="6"/>
    <n v="2.38"/>
    <n v="64.260000000000005"/>
    <n v="16193.52"/>
  </r>
  <r>
    <x v="2"/>
    <x v="0"/>
    <x v="2"/>
    <n v="202"/>
    <n v="4"/>
    <n v="1.98"/>
    <n v="68.45"/>
    <n v="13826.9"/>
  </r>
  <r>
    <x v="1"/>
    <x v="0"/>
    <x v="2"/>
    <n v="206"/>
    <n v="20"/>
    <n v="9.7100000000000009"/>
    <n v="46.72"/>
    <n v="9624.32"/>
  </r>
  <r>
    <x v="1"/>
    <x v="0"/>
    <x v="2"/>
    <n v="241"/>
    <n v="15"/>
    <n v="6.22"/>
    <n v="27.82"/>
    <n v="6704.62"/>
  </r>
  <r>
    <x v="1"/>
    <x v="0"/>
    <x v="2"/>
    <n v="292"/>
    <n v="27"/>
    <n v="9.25"/>
    <n v="66.55"/>
    <n v="19432.599999999999"/>
  </r>
  <r>
    <x v="0"/>
    <x v="0"/>
    <x v="0"/>
    <n v="148"/>
    <n v="2"/>
    <n v="1.35"/>
    <n v="34.83"/>
    <n v="5154.84"/>
  </r>
  <r>
    <x v="2"/>
    <x v="0"/>
    <x v="2"/>
    <n v="232"/>
    <n v="21"/>
    <n v="9.0500000000000007"/>
    <n v="63.98"/>
    <n v="14843.36"/>
  </r>
  <r>
    <x v="1"/>
    <x v="0"/>
    <x v="1"/>
    <n v="113"/>
    <n v="5"/>
    <n v="4.42"/>
    <n v="44.32"/>
    <n v="5008.16"/>
  </r>
  <r>
    <x v="2"/>
    <x v="0"/>
    <x v="2"/>
    <n v="62"/>
    <n v="3"/>
    <n v="4.84"/>
    <n v="63.85"/>
    <n v="3958.7"/>
  </r>
  <r>
    <x v="0"/>
    <x v="0"/>
    <x v="0"/>
    <n v="118"/>
    <n v="3"/>
    <n v="2.54"/>
    <n v="8.56"/>
    <n v="1010.08"/>
  </r>
  <r>
    <x v="0"/>
    <x v="0"/>
    <x v="2"/>
    <n v="151"/>
    <n v="7"/>
    <n v="4.6399999999999997"/>
    <n v="36.799999999999997"/>
    <n v="5556.8"/>
  </r>
  <r>
    <x v="0"/>
    <x v="0"/>
    <x v="0"/>
    <n v="211"/>
    <n v="9"/>
    <n v="4.2699999999999996"/>
    <n v="13.42"/>
    <n v="2831.62"/>
  </r>
  <r>
    <x v="1"/>
    <x v="0"/>
    <x v="1"/>
    <n v="233"/>
    <n v="15"/>
    <n v="6.44"/>
    <n v="18.059999999999999"/>
    <n v="4207.9799999999996"/>
  </r>
  <r>
    <x v="1"/>
    <x v="0"/>
    <x v="1"/>
    <n v="85"/>
    <n v="3"/>
    <n v="3.53"/>
    <n v="44.25"/>
    <n v="3761.25"/>
  </r>
  <r>
    <x v="1"/>
    <x v="0"/>
    <x v="1"/>
    <n v="224"/>
    <n v="21"/>
    <n v="9.3800000000000008"/>
    <n v="6.87"/>
    <n v="1538.88"/>
  </r>
  <r>
    <x v="2"/>
    <x v="0"/>
    <x v="2"/>
    <n v="212"/>
    <n v="5"/>
    <n v="2.36"/>
    <n v="61.7"/>
    <n v="13080.4"/>
  </r>
  <r>
    <x v="3"/>
    <x v="0"/>
    <x v="2"/>
    <n v="170"/>
    <n v="12"/>
    <n v="7.06"/>
    <n v="15.56"/>
    <n v="2645.2"/>
  </r>
  <r>
    <x v="0"/>
    <x v="0"/>
    <x v="2"/>
    <n v="280"/>
    <n v="19"/>
    <n v="6.79"/>
    <n v="62.09"/>
    <n v="17385.2"/>
  </r>
  <r>
    <x v="0"/>
    <x v="0"/>
    <x v="0"/>
    <n v="285"/>
    <n v="22"/>
    <n v="7.72"/>
    <n v="67.61"/>
    <n v="19268.849999999999"/>
  </r>
  <r>
    <x v="1"/>
    <x v="0"/>
    <x v="1"/>
    <n v="126"/>
    <n v="6"/>
    <n v="4.76"/>
    <n v="51.23"/>
    <n v="6454.98"/>
  </r>
  <r>
    <x v="2"/>
    <x v="0"/>
    <x v="2"/>
    <n v="110"/>
    <n v="5"/>
    <n v="4.55"/>
    <n v="7.24"/>
    <n v="796.4"/>
  </r>
  <r>
    <x v="0"/>
    <x v="0"/>
    <x v="2"/>
    <n v="269"/>
    <n v="13"/>
    <n v="4.83"/>
    <n v="49.29"/>
    <n v="13259.01"/>
  </r>
  <r>
    <x v="0"/>
    <x v="0"/>
    <x v="0"/>
    <n v="234"/>
    <n v="18"/>
    <n v="7.69"/>
    <n v="24.96"/>
    <n v="5840.64"/>
  </r>
  <r>
    <x v="0"/>
    <x v="0"/>
    <x v="2"/>
    <n v="107"/>
    <n v="1"/>
    <n v="0.93"/>
    <n v="16.14"/>
    <n v="1726.98"/>
  </r>
  <r>
    <x v="1"/>
    <x v="0"/>
    <x v="2"/>
    <n v="193"/>
    <n v="14"/>
    <n v="7.25"/>
    <n v="65.400000000000006"/>
    <n v="12622.2"/>
  </r>
  <r>
    <x v="0"/>
    <x v="0"/>
    <x v="2"/>
    <n v="165"/>
    <n v="3"/>
    <n v="1.82"/>
    <n v="43.67"/>
    <n v="7205.55"/>
  </r>
  <r>
    <x v="3"/>
    <x v="0"/>
    <x v="2"/>
    <n v="248"/>
    <n v="10"/>
    <n v="4.03"/>
    <n v="56.65"/>
    <n v="14049.2"/>
  </r>
  <r>
    <x v="3"/>
    <x v="0"/>
    <x v="2"/>
    <n v="220"/>
    <n v="15"/>
    <n v="6.82"/>
    <n v="52.42"/>
    <n v="11532.4"/>
  </r>
  <r>
    <x v="0"/>
    <x v="0"/>
    <x v="0"/>
    <n v="143"/>
    <n v="5"/>
    <n v="3.5"/>
    <n v="58.99"/>
    <n v="8435.57"/>
  </r>
  <r>
    <x v="0"/>
    <x v="0"/>
    <x v="2"/>
    <n v="296"/>
    <n v="2"/>
    <n v="0.68"/>
    <n v="26.75"/>
    <n v="7918"/>
  </r>
  <r>
    <x v="1"/>
    <x v="0"/>
    <x v="1"/>
    <n v="206"/>
    <n v="3"/>
    <n v="1.46"/>
    <n v="36.99"/>
    <n v="7619.94"/>
  </r>
  <r>
    <x v="0"/>
    <x v="0"/>
    <x v="2"/>
    <n v="79"/>
    <n v="5"/>
    <n v="6.33"/>
    <n v="62.69"/>
    <n v="4952.51"/>
  </r>
  <r>
    <x v="2"/>
    <x v="0"/>
    <x v="2"/>
    <n v="207"/>
    <n v="9"/>
    <n v="4.3499999999999996"/>
    <n v="58.84"/>
    <n v="12179.88"/>
  </r>
  <r>
    <x v="3"/>
    <x v="0"/>
    <x v="2"/>
    <n v="86"/>
    <n v="1"/>
    <n v="1.1599999999999999"/>
    <n v="56.14"/>
    <n v="4828.04"/>
  </r>
  <r>
    <x v="2"/>
    <x v="0"/>
    <x v="2"/>
    <n v="257"/>
    <n v="1"/>
    <n v="0.39"/>
    <n v="48.16"/>
    <n v="12377.12"/>
  </r>
  <r>
    <x v="1"/>
    <x v="0"/>
    <x v="1"/>
    <n v="185"/>
    <n v="1"/>
    <n v="0.54"/>
    <n v="66.27"/>
    <n v="12259.95"/>
  </r>
  <r>
    <x v="1"/>
    <x v="0"/>
    <x v="1"/>
    <n v="149"/>
    <n v="9"/>
    <n v="6.04"/>
    <n v="49.75"/>
    <n v="7412.75"/>
  </r>
  <r>
    <x v="1"/>
    <x v="0"/>
    <x v="1"/>
    <n v="300"/>
    <n v="12"/>
    <n v="4"/>
    <n v="28.48"/>
    <n v="8544"/>
  </r>
  <r>
    <x v="3"/>
    <x v="0"/>
    <x v="2"/>
    <n v="200"/>
    <n v="7"/>
    <n v="3.5"/>
    <n v="27.06"/>
    <n v="5412"/>
  </r>
  <r>
    <x v="1"/>
    <x v="0"/>
    <x v="1"/>
    <n v="124"/>
    <n v="7"/>
    <n v="5.65"/>
    <n v="43.92"/>
    <n v="5446.08"/>
  </r>
  <r>
    <x v="0"/>
    <x v="0"/>
    <x v="2"/>
    <n v="129"/>
    <n v="11"/>
    <n v="8.5299999999999994"/>
    <n v="24.02"/>
    <n v="3098.58"/>
  </r>
  <r>
    <x v="2"/>
    <x v="0"/>
    <x v="2"/>
    <n v="179"/>
    <n v="17"/>
    <n v="9.5"/>
    <n v="19.64"/>
    <n v="3515.56"/>
  </r>
  <r>
    <x v="1"/>
    <x v="0"/>
    <x v="2"/>
    <n v="240"/>
    <n v="10"/>
    <n v="4.17"/>
    <n v="6.12"/>
    <n v="1468.8"/>
  </r>
  <r>
    <x v="1"/>
    <x v="0"/>
    <x v="2"/>
    <n v="110"/>
    <n v="9"/>
    <n v="8.18"/>
    <n v="56.63"/>
    <n v="6229.3"/>
  </r>
  <r>
    <x v="1"/>
    <x v="0"/>
    <x v="2"/>
    <n v="247"/>
    <n v="3"/>
    <n v="1.21"/>
    <n v="39.450000000000003"/>
    <n v="9744.15"/>
  </r>
  <r>
    <x v="0"/>
    <x v="0"/>
    <x v="2"/>
    <n v="70"/>
    <n v="4"/>
    <n v="5.71"/>
    <n v="26.78"/>
    <n v="1874.6"/>
  </r>
  <r>
    <x v="3"/>
    <x v="0"/>
    <x v="2"/>
    <n v="295"/>
    <n v="2"/>
    <n v="0.68"/>
    <n v="25.07"/>
    <n v="7395.65"/>
  </r>
  <r>
    <x v="2"/>
    <x v="0"/>
    <x v="2"/>
    <n v="207"/>
    <n v="13"/>
    <n v="6.28"/>
    <n v="31.74"/>
    <n v="6570.18"/>
  </r>
  <r>
    <x v="0"/>
    <x v="0"/>
    <x v="2"/>
    <n v="213"/>
    <n v="21"/>
    <n v="9.86"/>
    <n v="44.18"/>
    <n v="9410.34"/>
  </r>
  <r>
    <x v="1"/>
    <x v="0"/>
    <x v="2"/>
    <n v="186"/>
    <n v="15"/>
    <n v="8.06"/>
    <n v="26.63"/>
    <n v="4953.18"/>
  </r>
  <r>
    <x v="1"/>
    <x v="0"/>
    <x v="2"/>
    <n v="241"/>
    <n v="23"/>
    <n v="9.5399999999999991"/>
    <n v="62.78"/>
    <n v="15129.98"/>
  </r>
  <r>
    <x v="3"/>
    <x v="0"/>
    <x v="2"/>
    <n v="154"/>
    <n v="8"/>
    <n v="5.19"/>
    <n v="54.4"/>
    <n v="8377.6"/>
  </r>
  <r>
    <x v="0"/>
    <x v="0"/>
    <x v="0"/>
    <n v="144"/>
    <n v="6"/>
    <n v="4.17"/>
    <n v="35.090000000000003"/>
    <n v="5052.96"/>
  </r>
  <r>
    <x v="0"/>
    <x v="0"/>
    <x v="2"/>
    <n v="86"/>
    <n v="2"/>
    <n v="2.33"/>
    <n v="38.39"/>
    <n v="3301.54"/>
  </r>
  <r>
    <x v="1"/>
    <x v="0"/>
    <x v="2"/>
    <n v="257"/>
    <n v="25"/>
    <n v="9.73"/>
    <n v="23.88"/>
    <n v="6137.16"/>
  </r>
  <r>
    <x v="2"/>
    <x v="0"/>
    <x v="2"/>
    <n v="114"/>
    <n v="11"/>
    <n v="9.65"/>
    <n v="12.36"/>
    <n v="1409.04"/>
  </r>
  <r>
    <x v="1"/>
    <x v="0"/>
    <x v="2"/>
    <n v="153"/>
    <n v="9"/>
    <n v="5.88"/>
    <n v="21.17"/>
    <n v="3239.01"/>
  </r>
  <r>
    <x v="1"/>
    <x v="0"/>
    <x v="1"/>
    <n v="292"/>
    <n v="24"/>
    <n v="8.2200000000000006"/>
    <n v="50.65"/>
    <n v="14789.8"/>
  </r>
  <r>
    <x v="0"/>
    <x v="0"/>
    <x v="0"/>
    <n v="188"/>
    <n v="2"/>
    <n v="1.06"/>
    <n v="48.39"/>
    <n v="9097.32"/>
  </r>
  <r>
    <x v="3"/>
    <x v="0"/>
    <x v="2"/>
    <n v="269"/>
    <n v="3"/>
    <n v="1.1200000000000001"/>
    <n v="59.04"/>
    <n v="15881.76"/>
  </r>
  <r>
    <x v="0"/>
    <x v="0"/>
    <x v="2"/>
    <n v="271"/>
    <n v="14"/>
    <n v="5.17"/>
    <n v="42.36"/>
    <n v="11479.56"/>
  </r>
  <r>
    <x v="2"/>
    <x v="0"/>
    <x v="2"/>
    <n v="253"/>
    <n v="19"/>
    <n v="7.51"/>
    <n v="16.7"/>
    <n v="4225.1000000000004"/>
  </r>
  <r>
    <x v="1"/>
    <x v="0"/>
    <x v="2"/>
    <n v="170"/>
    <n v="6"/>
    <n v="3.53"/>
    <n v="9.68"/>
    <n v="1645.6"/>
  </r>
  <r>
    <x v="3"/>
    <x v="0"/>
    <x v="2"/>
    <n v="256"/>
    <n v="15"/>
    <n v="5.86"/>
    <n v="52.94"/>
    <n v="13552.64"/>
  </r>
  <r>
    <x v="2"/>
    <x v="0"/>
    <x v="2"/>
    <n v="117"/>
    <n v="3"/>
    <n v="2.56"/>
    <n v="16.55"/>
    <n v="1936.35"/>
  </r>
  <r>
    <x v="1"/>
    <x v="0"/>
    <x v="2"/>
    <n v="277"/>
    <n v="26"/>
    <n v="9.39"/>
    <n v="27.29"/>
    <n v="7559.33"/>
  </r>
  <r>
    <x v="0"/>
    <x v="0"/>
    <x v="0"/>
    <n v="299"/>
    <n v="25"/>
    <n v="8.36"/>
    <n v="13.91"/>
    <n v="4159.09"/>
  </r>
  <r>
    <x v="3"/>
    <x v="0"/>
    <x v="2"/>
    <n v="268"/>
    <n v="18"/>
    <n v="6.72"/>
    <n v="49.97"/>
    <n v="13391.96"/>
  </r>
  <r>
    <x v="1"/>
    <x v="0"/>
    <x v="2"/>
    <n v="51"/>
    <n v="2"/>
    <n v="3.92"/>
    <n v="67.260000000000005"/>
    <n v="3430.26"/>
  </r>
  <r>
    <x v="3"/>
    <x v="0"/>
    <x v="2"/>
    <n v="169"/>
    <n v="10"/>
    <n v="5.92"/>
    <n v="45.65"/>
    <n v="7714.85"/>
  </r>
  <r>
    <x v="1"/>
    <x v="0"/>
    <x v="1"/>
    <n v="184"/>
    <n v="16"/>
    <n v="8.6999999999999993"/>
    <n v="47.94"/>
    <n v="8820.9599999999991"/>
  </r>
  <r>
    <x v="1"/>
    <x v="0"/>
    <x v="1"/>
    <n v="65"/>
    <n v="6"/>
    <n v="9.23"/>
    <n v="20.56"/>
    <n v="1336.4"/>
  </r>
  <r>
    <x v="0"/>
    <x v="0"/>
    <x v="2"/>
    <n v="180"/>
    <n v="7"/>
    <n v="3.89"/>
    <n v="9.08"/>
    <n v="1634.4"/>
  </r>
  <r>
    <x v="1"/>
    <x v="0"/>
    <x v="2"/>
    <n v="268"/>
    <n v="22"/>
    <n v="8.2100000000000009"/>
    <n v="50.07"/>
    <n v="13418.76"/>
  </r>
  <r>
    <x v="3"/>
    <x v="0"/>
    <x v="2"/>
    <n v="218"/>
    <n v="13"/>
    <n v="5.96"/>
    <n v="45.41"/>
    <n v="9899.3799999999992"/>
  </r>
  <r>
    <x v="0"/>
    <x v="0"/>
    <x v="0"/>
    <n v="226"/>
    <n v="12"/>
    <n v="5.31"/>
    <n v="8.5299999999999994"/>
    <n v="1927.78"/>
  </r>
  <r>
    <x v="1"/>
    <x v="0"/>
    <x v="2"/>
    <n v="58"/>
    <n v="1"/>
    <n v="1.72"/>
    <n v="32.21"/>
    <n v="1868.18"/>
  </r>
  <r>
    <x v="0"/>
    <x v="0"/>
    <x v="2"/>
    <n v="268"/>
    <n v="9"/>
    <n v="3.36"/>
    <n v="21.26"/>
    <n v="5697.68"/>
  </r>
  <r>
    <x v="0"/>
    <x v="0"/>
    <x v="0"/>
    <n v="152"/>
    <n v="1"/>
    <n v="0.66"/>
    <n v="39.26"/>
    <n v="5967.52"/>
  </r>
  <r>
    <x v="3"/>
    <x v="0"/>
    <x v="2"/>
    <n v="175"/>
    <n v="11"/>
    <n v="6.29"/>
    <n v="51.42"/>
    <n v="8998.5"/>
  </r>
  <r>
    <x v="3"/>
    <x v="0"/>
    <x v="2"/>
    <n v="214"/>
    <n v="2"/>
    <n v="0.93"/>
    <n v="65.849999999999994"/>
    <n v="14091.9"/>
  </r>
  <r>
    <x v="3"/>
    <x v="0"/>
    <x v="2"/>
    <n v="240"/>
    <n v="18"/>
    <n v="7.5"/>
    <n v="45.89"/>
    <n v="11013.6"/>
  </r>
  <r>
    <x v="0"/>
    <x v="0"/>
    <x v="0"/>
    <n v="281"/>
    <n v="4"/>
    <n v="1.42"/>
    <n v="27.27"/>
    <n v="7662.87"/>
  </r>
  <r>
    <x v="3"/>
    <x v="0"/>
    <x v="2"/>
    <n v="238"/>
    <n v="5"/>
    <n v="2.1"/>
    <n v="69.55"/>
    <n v="16552.900000000001"/>
  </r>
  <r>
    <x v="2"/>
    <x v="0"/>
    <x v="2"/>
    <n v="50"/>
    <n v="4"/>
    <n v="8"/>
    <n v="27.17"/>
    <n v="1358.5"/>
  </r>
  <r>
    <x v="2"/>
    <x v="0"/>
    <x v="2"/>
    <n v="233"/>
    <n v="0"/>
    <n v="0"/>
    <n v="68.790000000000006"/>
    <n v="16028.07"/>
  </r>
  <r>
    <x v="3"/>
    <x v="0"/>
    <x v="2"/>
    <n v="53"/>
    <n v="1"/>
    <n v="1.89"/>
    <n v="61.1"/>
    <n v="3238.3"/>
  </r>
  <r>
    <x v="1"/>
    <x v="0"/>
    <x v="1"/>
    <n v="298"/>
    <n v="20"/>
    <n v="6.71"/>
    <n v="24.41"/>
    <n v="7274.18"/>
  </r>
  <r>
    <x v="0"/>
    <x v="0"/>
    <x v="0"/>
    <n v="183"/>
    <n v="4"/>
    <n v="2.19"/>
    <n v="5.35"/>
    <n v="979.05"/>
  </r>
  <r>
    <x v="0"/>
    <x v="0"/>
    <x v="2"/>
    <n v="269"/>
    <n v="5"/>
    <n v="1.86"/>
    <n v="62.05"/>
    <n v="16691.45"/>
  </r>
  <r>
    <x v="1"/>
    <x v="0"/>
    <x v="2"/>
    <n v="164"/>
    <n v="10"/>
    <n v="6.1"/>
    <n v="10.26"/>
    <n v="1682.64"/>
  </r>
  <r>
    <x v="3"/>
    <x v="0"/>
    <x v="2"/>
    <n v="241"/>
    <n v="15"/>
    <n v="6.22"/>
    <n v="56.41"/>
    <n v="13594.81"/>
  </r>
  <r>
    <x v="2"/>
    <x v="0"/>
    <x v="2"/>
    <n v="90"/>
    <n v="4"/>
    <n v="4.4400000000000004"/>
    <n v="29.46"/>
    <n v="2651.4"/>
  </r>
  <r>
    <x v="1"/>
    <x v="0"/>
    <x v="1"/>
    <n v="90"/>
    <n v="9"/>
    <n v="10"/>
    <n v="69.22"/>
    <n v="6229.8"/>
  </r>
  <r>
    <x v="1"/>
    <x v="0"/>
    <x v="1"/>
    <n v="174"/>
    <n v="15"/>
    <n v="8.6199999999999992"/>
    <n v="41.71"/>
    <n v="7257.54"/>
  </r>
  <r>
    <x v="3"/>
    <x v="0"/>
    <x v="2"/>
    <n v="78"/>
    <n v="6"/>
    <n v="7.69"/>
    <n v="68.400000000000006"/>
    <n v="5335.2"/>
  </r>
  <r>
    <x v="1"/>
    <x v="0"/>
    <x v="1"/>
    <n v="150"/>
    <n v="0"/>
    <n v="0"/>
    <n v="63.58"/>
    <n v="9537"/>
  </r>
  <r>
    <x v="0"/>
    <x v="0"/>
    <x v="0"/>
    <n v="149"/>
    <n v="14"/>
    <n v="9.4"/>
    <n v="12.89"/>
    <n v="1920.61"/>
  </r>
  <r>
    <x v="0"/>
    <x v="0"/>
    <x v="2"/>
    <n v="62"/>
    <n v="0"/>
    <n v="0"/>
    <n v="14.26"/>
    <n v="884.12"/>
  </r>
  <r>
    <x v="0"/>
    <x v="0"/>
    <x v="0"/>
    <n v="295"/>
    <n v="18"/>
    <n v="6.1"/>
    <n v="45.66"/>
    <n v="13469.7"/>
  </r>
  <r>
    <x v="3"/>
    <x v="0"/>
    <x v="2"/>
    <n v="93"/>
    <n v="2"/>
    <n v="2.15"/>
    <n v="31.16"/>
    <n v="2897.88"/>
  </r>
  <r>
    <x v="0"/>
    <x v="0"/>
    <x v="2"/>
    <n v="87"/>
    <n v="5"/>
    <n v="5.75"/>
    <n v="30.88"/>
    <n v="2686.56"/>
  </r>
  <r>
    <x v="0"/>
    <x v="0"/>
    <x v="0"/>
    <n v="87"/>
    <n v="2"/>
    <n v="2.2999999999999998"/>
    <n v="66.12"/>
    <n v="5752.44"/>
  </r>
  <r>
    <x v="0"/>
    <x v="0"/>
    <x v="2"/>
    <n v="51"/>
    <n v="0"/>
    <n v="0"/>
    <n v="37.450000000000003"/>
    <n v="1909.95"/>
  </r>
  <r>
    <x v="1"/>
    <x v="0"/>
    <x v="1"/>
    <n v="228"/>
    <n v="7"/>
    <n v="3.07"/>
    <n v="65.180000000000007"/>
    <n v="14861.04"/>
  </r>
  <r>
    <x v="3"/>
    <x v="0"/>
    <x v="2"/>
    <n v="82"/>
    <n v="2"/>
    <n v="2.44"/>
    <n v="53.46"/>
    <n v="4383.72"/>
  </r>
  <r>
    <x v="0"/>
    <x v="0"/>
    <x v="2"/>
    <n v="175"/>
    <n v="5"/>
    <n v="2.86"/>
    <n v="16.25"/>
    <n v="2843.75"/>
  </r>
  <r>
    <x v="2"/>
    <x v="0"/>
    <x v="2"/>
    <n v="88"/>
    <n v="5"/>
    <n v="5.68"/>
    <n v="22.76"/>
    <n v="2002.88"/>
  </r>
  <r>
    <x v="0"/>
    <x v="0"/>
    <x v="2"/>
    <n v="149"/>
    <n v="10"/>
    <n v="6.71"/>
    <n v="43.95"/>
    <n v="6548.55"/>
  </r>
  <r>
    <x v="2"/>
    <x v="0"/>
    <x v="2"/>
    <n v="106"/>
    <n v="4"/>
    <n v="3.77"/>
    <n v="60.16"/>
    <n v="6376.96"/>
  </r>
  <r>
    <x v="0"/>
    <x v="0"/>
    <x v="2"/>
    <n v="295"/>
    <n v="16"/>
    <n v="5.42"/>
    <n v="31.69"/>
    <n v="9348.5499999999993"/>
  </r>
  <r>
    <x v="3"/>
    <x v="0"/>
    <x v="2"/>
    <n v="180"/>
    <n v="5"/>
    <n v="2.78"/>
    <n v="43.56"/>
    <n v="7840.8"/>
  </r>
  <r>
    <x v="1"/>
    <x v="0"/>
    <x v="2"/>
    <n v="97"/>
    <n v="1"/>
    <n v="1.03"/>
    <n v="37.840000000000003"/>
    <n v="3670.48"/>
  </r>
  <r>
    <x v="0"/>
    <x v="0"/>
    <x v="0"/>
    <n v="273"/>
    <n v="12"/>
    <n v="4.4000000000000004"/>
    <n v="68.45"/>
    <n v="18686.849999999999"/>
  </r>
  <r>
    <x v="0"/>
    <x v="0"/>
    <x v="2"/>
    <n v="271"/>
    <n v="2"/>
    <n v="0.74"/>
    <n v="48.53"/>
    <n v="13151.63"/>
  </r>
  <r>
    <x v="0"/>
    <x v="0"/>
    <x v="0"/>
    <n v="65"/>
    <n v="4"/>
    <n v="6.15"/>
    <n v="28.69"/>
    <n v="1864.85"/>
  </r>
  <r>
    <x v="1"/>
    <x v="0"/>
    <x v="1"/>
    <n v="159"/>
    <n v="0"/>
    <n v="0"/>
    <n v="15.73"/>
    <n v="2501.0700000000002"/>
  </r>
  <r>
    <x v="0"/>
    <x v="0"/>
    <x v="0"/>
    <n v="218"/>
    <n v="13"/>
    <n v="5.96"/>
    <n v="20.49"/>
    <n v="4466.82"/>
  </r>
  <r>
    <x v="1"/>
    <x v="0"/>
    <x v="2"/>
    <n v="261"/>
    <n v="25"/>
    <n v="9.58"/>
    <n v="42.21"/>
    <n v="11016.81"/>
  </r>
  <r>
    <x v="3"/>
    <x v="0"/>
    <x v="2"/>
    <n v="201"/>
    <n v="2"/>
    <n v="1"/>
    <n v="19.47"/>
    <n v="3913.47"/>
  </r>
  <r>
    <x v="3"/>
    <x v="0"/>
    <x v="2"/>
    <n v="258"/>
    <n v="0"/>
    <n v="0"/>
    <n v="8.16"/>
    <n v="2105.2800000000002"/>
  </r>
  <r>
    <x v="0"/>
    <x v="0"/>
    <x v="0"/>
    <n v="173"/>
    <n v="8"/>
    <n v="4.62"/>
    <n v="54.27"/>
    <n v="9388.7099999999991"/>
  </r>
  <r>
    <x v="0"/>
    <x v="0"/>
    <x v="2"/>
    <n v="96"/>
    <n v="2"/>
    <n v="2.08"/>
    <n v="21.4"/>
    <n v="2054.4"/>
  </r>
  <r>
    <x v="1"/>
    <x v="0"/>
    <x v="2"/>
    <n v="108"/>
    <n v="0"/>
    <n v="0"/>
    <n v="44.47"/>
    <n v="4802.76"/>
  </r>
  <r>
    <x v="0"/>
    <x v="0"/>
    <x v="2"/>
    <n v="143"/>
    <n v="11"/>
    <n v="7.69"/>
    <n v="43.03"/>
    <n v="6153.29"/>
  </r>
  <r>
    <x v="0"/>
    <x v="0"/>
    <x v="2"/>
    <n v="259"/>
    <n v="17"/>
    <n v="6.56"/>
    <n v="17.84"/>
    <n v="4620.5600000000004"/>
  </r>
  <r>
    <x v="2"/>
    <x v="0"/>
    <x v="2"/>
    <n v="217"/>
    <n v="16"/>
    <n v="7.37"/>
    <n v="55.3"/>
    <n v="12000.1"/>
  </r>
  <r>
    <x v="2"/>
    <x v="0"/>
    <x v="2"/>
    <n v="291"/>
    <n v="15"/>
    <n v="5.15"/>
    <n v="52.24"/>
    <n v="15201.84"/>
  </r>
  <r>
    <x v="2"/>
    <x v="0"/>
    <x v="2"/>
    <n v="203"/>
    <n v="5"/>
    <n v="2.46"/>
    <n v="25.5"/>
    <n v="5176.5"/>
  </r>
  <r>
    <x v="0"/>
    <x v="0"/>
    <x v="2"/>
    <n v="75"/>
    <n v="0"/>
    <n v="0"/>
    <n v="20.27"/>
    <n v="1520.25"/>
  </r>
  <r>
    <x v="0"/>
    <x v="0"/>
    <x v="0"/>
    <n v="83"/>
    <n v="2"/>
    <n v="2.41"/>
    <n v="21.42"/>
    <n v="1777.86"/>
  </r>
  <r>
    <x v="0"/>
    <x v="0"/>
    <x v="2"/>
    <n v="144"/>
    <n v="4"/>
    <n v="2.78"/>
    <n v="52.01"/>
    <n v="7489.44"/>
  </r>
  <r>
    <x v="2"/>
    <x v="0"/>
    <x v="2"/>
    <n v="133"/>
    <n v="12"/>
    <n v="9.02"/>
    <n v="33.619999999999997"/>
    <n v="4471.46"/>
  </r>
  <r>
    <x v="0"/>
    <x v="0"/>
    <x v="0"/>
    <n v="201"/>
    <n v="8"/>
    <n v="3.98"/>
    <n v="62.93"/>
    <n v="12648.93"/>
  </r>
  <r>
    <x v="1"/>
    <x v="0"/>
    <x v="1"/>
    <n v="196"/>
    <n v="19"/>
    <n v="9.69"/>
    <n v="33.340000000000003"/>
    <n v="6534.64"/>
  </r>
  <r>
    <x v="0"/>
    <x v="0"/>
    <x v="0"/>
    <n v="268"/>
    <n v="25"/>
    <n v="9.33"/>
    <n v="64.489999999999995"/>
    <n v="17283.32"/>
  </r>
  <r>
    <x v="2"/>
    <x v="0"/>
    <x v="2"/>
    <n v="271"/>
    <n v="23"/>
    <n v="8.49"/>
    <n v="19.73"/>
    <n v="5346.83"/>
  </r>
  <r>
    <x v="2"/>
    <x v="0"/>
    <x v="2"/>
    <n v="61"/>
    <n v="2"/>
    <n v="3.28"/>
    <n v="42.49"/>
    <n v="2591.89"/>
  </r>
  <r>
    <x v="2"/>
    <x v="0"/>
    <x v="2"/>
    <n v="87"/>
    <n v="8"/>
    <n v="9.1999999999999993"/>
    <n v="27.14"/>
    <n v="2361.1799999999998"/>
  </r>
  <r>
    <x v="1"/>
    <x v="0"/>
    <x v="1"/>
    <n v="208"/>
    <n v="6"/>
    <n v="2.88"/>
    <n v="11.35"/>
    <n v="2360.8000000000002"/>
  </r>
  <r>
    <x v="1"/>
    <x v="0"/>
    <x v="2"/>
    <n v="193"/>
    <n v="11"/>
    <n v="5.7"/>
    <n v="41.13"/>
    <n v="7938.09"/>
  </r>
  <r>
    <x v="3"/>
    <x v="0"/>
    <x v="2"/>
    <n v="102"/>
    <n v="2"/>
    <n v="1.96"/>
    <n v="35.61"/>
    <n v="3632.22"/>
  </r>
  <r>
    <x v="3"/>
    <x v="0"/>
    <x v="2"/>
    <n v="170"/>
    <n v="1"/>
    <n v="0.59"/>
    <n v="28.41"/>
    <n v="4829.7"/>
  </r>
  <r>
    <x v="0"/>
    <x v="0"/>
    <x v="0"/>
    <n v="241"/>
    <n v="16"/>
    <n v="6.64"/>
    <n v="38.53"/>
    <n v="9285.73"/>
  </r>
  <r>
    <x v="1"/>
    <x v="0"/>
    <x v="1"/>
    <n v="211"/>
    <n v="18"/>
    <n v="8.5299999999999994"/>
    <n v="51.91"/>
    <n v="10953.01"/>
  </r>
  <r>
    <x v="2"/>
    <x v="0"/>
    <x v="2"/>
    <n v="93"/>
    <n v="8"/>
    <n v="8.6"/>
    <n v="64.03"/>
    <n v="5954.79"/>
  </r>
  <r>
    <x v="2"/>
    <x v="0"/>
    <x v="2"/>
    <n v="210"/>
    <n v="0"/>
    <n v="0"/>
    <n v="57.42"/>
    <n v="12058.2"/>
  </r>
  <r>
    <x v="2"/>
    <x v="0"/>
    <x v="2"/>
    <n v="160"/>
    <n v="1"/>
    <n v="0.62"/>
    <n v="51.86"/>
    <n v="8297.6"/>
  </r>
  <r>
    <x v="3"/>
    <x v="0"/>
    <x v="2"/>
    <n v="288"/>
    <n v="20"/>
    <n v="6.94"/>
    <n v="57.4"/>
    <n v="16531.2"/>
  </r>
  <r>
    <x v="1"/>
    <x v="0"/>
    <x v="1"/>
    <n v="131"/>
    <n v="1"/>
    <n v="0.76"/>
    <n v="47.76"/>
    <n v="6256.56"/>
  </r>
  <r>
    <x v="2"/>
    <x v="0"/>
    <x v="2"/>
    <n v="282"/>
    <n v="22"/>
    <n v="7.8"/>
    <n v="24.16"/>
    <n v="6813.12"/>
  </r>
  <r>
    <x v="2"/>
    <x v="0"/>
    <x v="2"/>
    <n v="241"/>
    <n v="13"/>
    <n v="5.39"/>
    <n v="20.99"/>
    <n v="5058.59"/>
  </r>
  <r>
    <x v="3"/>
    <x v="0"/>
    <x v="2"/>
    <n v="229"/>
    <n v="15"/>
    <n v="6.55"/>
    <n v="20.97"/>
    <n v="4802.13"/>
  </r>
  <r>
    <x v="1"/>
    <x v="0"/>
    <x v="2"/>
    <n v="158"/>
    <n v="12"/>
    <n v="7.59"/>
    <n v="39.47"/>
    <n v="6236.26"/>
  </r>
  <r>
    <x v="0"/>
    <x v="0"/>
    <x v="2"/>
    <n v="64"/>
    <n v="0"/>
    <n v="0"/>
    <n v="50.08"/>
    <n v="3205.12"/>
  </r>
  <r>
    <x v="3"/>
    <x v="0"/>
    <x v="2"/>
    <n v="286"/>
    <n v="12"/>
    <n v="4.2"/>
    <n v="21.75"/>
    <n v="6220.5"/>
  </r>
  <r>
    <x v="1"/>
    <x v="0"/>
    <x v="2"/>
    <n v="66"/>
    <n v="3"/>
    <n v="4.55"/>
    <n v="49.42"/>
    <n v="3261.72"/>
  </r>
  <r>
    <x v="3"/>
    <x v="0"/>
    <x v="2"/>
    <n v="130"/>
    <n v="7"/>
    <n v="5.38"/>
    <n v="9.73"/>
    <n v="1264.9000000000001"/>
  </r>
  <r>
    <x v="2"/>
    <x v="0"/>
    <x v="2"/>
    <n v="102"/>
    <n v="6"/>
    <n v="5.88"/>
    <n v="22.12"/>
    <n v="2256.2399999999998"/>
  </r>
  <r>
    <x v="0"/>
    <x v="0"/>
    <x v="2"/>
    <n v="131"/>
    <n v="9"/>
    <n v="6.87"/>
    <n v="12.29"/>
    <n v="1609.99"/>
  </r>
  <r>
    <x v="1"/>
    <x v="0"/>
    <x v="1"/>
    <n v="141"/>
    <n v="0"/>
    <n v="0"/>
    <n v="35.229999999999997"/>
    <n v="4967.43"/>
  </r>
  <r>
    <x v="1"/>
    <x v="0"/>
    <x v="2"/>
    <n v="85"/>
    <n v="3"/>
    <n v="3.53"/>
    <n v="32.03"/>
    <n v="2722.55"/>
  </r>
  <r>
    <x v="1"/>
    <x v="0"/>
    <x v="1"/>
    <n v="183"/>
    <n v="3"/>
    <n v="1.64"/>
    <n v="22.27"/>
    <n v="4075.41"/>
  </r>
  <r>
    <x v="1"/>
    <x v="0"/>
    <x v="2"/>
    <n v="244"/>
    <n v="5"/>
    <n v="2.0499999999999998"/>
    <n v="20.29"/>
    <n v="4950.76"/>
  </r>
  <r>
    <x v="0"/>
    <x v="0"/>
    <x v="2"/>
    <n v="206"/>
    <n v="0"/>
    <n v="0"/>
    <n v="27.22"/>
    <n v="5607.32"/>
  </r>
  <r>
    <x v="3"/>
    <x v="0"/>
    <x v="2"/>
    <n v="254"/>
    <n v="3"/>
    <n v="1.18"/>
    <n v="48.39"/>
    <n v="12291.06"/>
  </r>
  <r>
    <x v="1"/>
    <x v="0"/>
    <x v="1"/>
    <n v="299"/>
    <n v="22"/>
    <n v="7.36"/>
    <n v="46.42"/>
    <n v="13879.58"/>
  </r>
  <r>
    <x v="1"/>
    <x v="0"/>
    <x v="1"/>
    <n v="263"/>
    <n v="13"/>
    <n v="4.9400000000000004"/>
    <n v="61.74"/>
    <n v="16237.62"/>
  </r>
  <r>
    <x v="0"/>
    <x v="0"/>
    <x v="0"/>
    <n v="72"/>
    <n v="1"/>
    <n v="1.39"/>
    <n v="53.01"/>
    <n v="3816.72"/>
  </r>
  <r>
    <x v="3"/>
    <x v="0"/>
    <x v="2"/>
    <n v="287"/>
    <n v="4"/>
    <n v="1.39"/>
    <n v="31.92"/>
    <n v="9161.0400000000009"/>
  </r>
  <r>
    <x v="3"/>
    <x v="0"/>
    <x v="2"/>
    <n v="212"/>
    <n v="8"/>
    <n v="3.77"/>
    <n v="39.06"/>
    <n v="8280.7199999999993"/>
  </r>
  <r>
    <x v="0"/>
    <x v="0"/>
    <x v="2"/>
    <n v="275"/>
    <n v="13"/>
    <n v="4.7300000000000004"/>
    <n v="6.25"/>
    <n v="1718.75"/>
  </r>
  <r>
    <x v="0"/>
    <x v="0"/>
    <x v="2"/>
    <n v="234"/>
    <n v="6"/>
    <n v="2.56"/>
    <n v="26.19"/>
    <n v="6128.46"/>
  </r>
  <r>
    <x v="2"/>
    <x v="0"/>
    <x v="2"/>
    <n v="191"/>
    <n v="6"/>
    <n v="3.14"/>
    <n v="13.74"/>
    <n v="2624.34"/>
  </r>
  <r>
    <x v="2"/>
    <x v="0"/>
    <x v="2"/>
    <n v="256"/>
    <n v="21"/>
    <n v="8.1999999999999993"/>
    <n v="18.670000000000002"/>
    <n v="4779.5200000000004"/>
  </r>
  <r>
    <x v="0"/>
    <x v="0"/>
    <x v="0"/>
    <n v="235"/>
    <n v="1"/>
    <n v="0.43"/>
    <n v="42.71"/>
    <n v="10036.85"/>
  </r>
  <r>
    <x v="1"/>
    <x v="0"/>
    <x v="2"/>
    <n v="141"/>
    <n v="12"/>
    <n v="8.51"/>
    <n v="67.989999999999995"/>
    <n v="9586.59"/>
  </r>
  <r>
    <x v="2"/>
    <x v="0"/>
    <x v="2"/>
    <n v="255"/>
    <n v="20"/>
    <n v="7.84"/>
    <n v="23.86"/>
    <n v="6084.3"/>
  </r>
  <r>
    <x v="1"/>
    <x v="0"/>
    <x v="1"/>
    <n v="246"/>
    <n v="13"/>
    <n v="5.28"/>
    <n v="26.64"/>
    <n v="6553.44"/>
  </r>
  <r>
    <x v="1"/>
    <x v="0"/>
    <x v="2"/>
    <n v="95"/>
    <n v="0"/>
    <n v="0"/>
    <n v="5.53"/>
    <n v="525.35"/>
  </r>
  <r>
    <x v="3"/>
    <x v="0"/>
    <x v="2"/>
    <n v="142"/>
    <n v="0"/>
    <n v="0"/>
    <n v="22.92"/>
    <n v="3254.64"/>
  </r>
  <r>
    <x v="1"/>
    <x v="0"/>
    <x v="2"/>
    <n v="161"/>
    <n v="11"/>
    <n v="6.83"/>
    <n v="38.11"/>
    <n v="6135.71"/>
  </r>
  <r>
    <x v="3"/>
    <x v="0"/>
    <x v="2"/>
    <n v="220"/>
    <n v="16"/>
    <n v="7.27"/>
    <n v="33.909999999999997"/>
    <n v="7460.2"/>
  </r>
  <r>
    <x v="3"/>
    <x v="0"/>
    <x v="2"/>
    <n v="287"/>
    <n v="24"/>
    <n v="8.36"/>
    <n v="63.66"/>
    <n v="18270.419999999998"/>
  </r>
  <r>
    <x v="0"/>
    <x v="0"/>
    <x v="2"/>
    <n v="295"/>
    <n v="21"/>
    <n v="7.12"/>
    <n v="46.9"/>
    <n v="13835.5"/>
  </r>
  <r>
    <x v="2"/>
    <x v="0"/>
    <x v="2"/>
    <n v="131"/>
    <n v="5"/>
    <n v="3.82"/>
    <n v="40.090000000000003"/>
    <n v="5251.79"/>
  </r>
  <r>
    <x v="1"/>
    <x v="0"/>
    <x v="2"/>
    <n v="217"/>
    <n v="11"/>
    <n v="5.07"/>
    <n v="41.79"/>
    <n v="9068.43"/>
  </r>
  <r>
    <x v="0"/>
    <x v="0"/>
    <x v="0"/>
    <n v="115"/>
    <n v="3"/>
    <n v="2.61"/>
    <n v="63.24"/>
    <n v="7272.6"/>
  </r>
  <r>
    <x v="3"/>
    <x v="0"/>
    <x v="2"/>
    <n v="238"/>
    <n v="20"/>
    <n v="8.4"/>
    <n v="30.67"/>
    <n v="7299.46"/>
  </r>
  <r>
    <x v="0"/>
    <x v="0"/>
    <x v="2"/>
    <n v="204"/>
    <n v="3"/>
    <n v="1.47"/>
    <n v="5.26"/>
    <n v="1073.04"/>
  </r>
  <r>
    <x v="1"/>
    <x v="0"/>
    <x v="1"/>
    <n v="103"/>
    <n v="5"/>
    <n v="4.8499999999999996"/>
    <n v="42.89"/>
    <n v="4417.67"/>
  </r>
  <r>
    <x v="1"/>
    <x v="0"/>
    <x v="2"/>
    <n v="282"/>
    <n v="10"/>
    <n v="3.55"/>
    <n v="27.5"/>
    <n v="7755"/>
  </r>
  <r>
    <x v="0"/>
    <x v="0"/>
    <x v="2"/>
    <n v="64"/>
    <n v="1"/>
    <n v="1.56"/>
    <n v="37.729999999999997"/>
    <n v="2414.7199999999998"/>
  </r>
  <r>
    <x v="0"/>
    <x v="0"/>
    <x v="0"/>
    <n v="77"/>
    <n v="1"/>
    <n v="1.3"/>
    <n v="15.98"/>
    <n v="1230.46"/>
  </r>
  <r>
    <x v="2"/>
    <x v="0"/>
    <x v="2"/>
    <n v="133"/>
    <n v="7"/>
    <n v="5.26"/>
    <n v="18.559999999999999"/>
    <n v="2468.48"/>
  </r>
  <r>
    <x v="0"/>
    <x v="0"/>
    <x v="0"/>
    <n v="231"/>
    <n v="12"/>
    <n v="5.19"/>
    <n v="25.47"/>
    <n v="5883.57"/>
  </r>
  <r>
    <x v="0"/>
    <x v="0"/>
    <x v="0"/>
    <n v="101"/>
    <n v="4"/>
    <n v="3.96"/>
    <n v="15.78"/>
    <n v="1593.78"/>
  </r>
  <r>
    <x v="1"/>
    <x v="0"/>
    <x v="2"/>
    <n v="214"/>
    <n v="20"/>
    <n v="9.35"/>
    <n v="21.22"/>
    <n v="4541.08"/>
  </r>
  <r>
    <x v="1"/>
    <x v="0"/>
    <x v="1"/>
    <n v="157"/>
    <n v="13"/>
    <n v="8.2799999999999994"/>
    <n v="43.15"/>
    <n v="6774.55"/>
  </r>
  <r>
    <x v="1"/>
    <x v="0"/>
    <x v="1"/>
    <n v="270"/>
    <n v="6"/>
    <n v="2.2200000000000002"/>
    <n v="61.21"/>
    <n v="16526.7"/>
  </r>
  <r>
    <x v="3"/>
    <x v="0"/>
    <x v="2"/>
    <n v="202"/>
    <n v="4"/>
    <n v="1.98"/>
    <n v="33.81"/>
    <n v="6829.62"/>
  </r>
  <r>
    <x v="0"/>
    <x v="0"/>
    <x v="0"/>
    <n v="167"/>
    <n v="3"/>
    <n v="1.8"/>
    <n v="45.82"/>
    <n v="7651.94"/>
  </r>
  <r>
    <x v="2"/>
    <x v="0"/>
    <x v="2"/>
    <n v="194"/>
    <n v="8"/>
    <n v="4.12"/>
    <n v="54.3"/>
    <n v="10534.2"/>
  </r>
  <r>
    <x v="0"/>
    <x v="0"/>
    <x v="0"/>
    <n v="181"/>
    <n v="6"/>
    <n v="3.31"/>
    <n v="30.83"/>
    <n v="5580.23"/>
  </r>
  <r>
    <x v="2"/>
    <x v="0"/>
    <x v="2"/>
    <n v="189"/>
    <n v="0"/>
    <n v="0"/>
    <n v="47.91"/>
    <n v="9054.99"/>
  </r>
  <r>
    <x v="0"/>
    <x v="0"/>
    <x v="2"/>
    <n v="134"/>
    <n v="11"/>
    <n v="8.2100000000000009"/>
    <n v="58.23"/>
    <n v="7802.82"/>
  </r>
  <r>
    <x v="0"/>
    <x v="0"/>
    <x v="0"/>
    <n v="169"/>
    <n v="3"/>
    <n v="1.78"/>
    <n v="57.51"/>
    <n v="9719.19"/>
  </r>
  <r>
    <x v="0"/>
    <x v="0"/>
    <x v="2"/>
    <n v="88"/>
    <n v="0"/>
    <n v="0"/>
    <n v="63.54"/>
    <n v="5591.52"/>
  </r>
  <r>
    <x v="2"/>
    <x v="0"/>
    <x v="2"/>
    <n v="83"/>
    <n v="4"/>
    <n v="4.82"/>
    <n v="7.89"/>
    <n v="654.87"/>
  </r>
  <r>
    <x v="0"/>
    <x v="0"/>
    <x v="0"/>
    <n v="281"/>
    <n v="11"/>
    <n v="3.91"/>
    <n v="49.67"/>
    <n v="13957.27"/>
  </r>
  <r>
    <x v="1"/>
    <x v="0"/>
    <x v="1"/>
    <n v="176"/>
    <n v="6"/>
    <n v="3.41"/>
    <n v="38.21"/>
    <n v="6724.96"/>
  </r>
  <r>
    <x v="3"/>
    <x v="0"/>
    <x v="2"/>
    <n v="110"/>
    <n v="11"/>
    <n v="10"/>
    <n v="26.96"/>
    <n v="2965.6"/>
  </r>
  <r>
    <x v="1"/>
    <x v="0"/>
    <x v="1"/>
    <n v="76"/>
    <n v="5"/>
    <n v="6.58"/>
    <n v="61.78"/>
    <n v="4695.28"/>
  </r>
  <r>
    <x v="0"/>
    <x v="0"/>
    <x v="0"/>
    <n v="191"/>
    <n v="0"/>
    <n v="0"/>
    <n v="32.840000000000003"/>
    <n v="6272.44"/>
  </r>
  <r>
    <x v="0"/>
    <x v="0"/>
    <x v="2"/>
    <n v="263"/>
    <n v="24"/>
    <n v="9.1300000000000008"/>
    <n v="63.78"/>
    <n v="16774.14"/>
  </r>
  <r>
    <x v="2"/>
    <x v="0"/>
    <x v="2"/>
    <n v="206"/>
    <n v="1"/>
    <n v="0.49"/>
    <n v="39.46"/>
    <n v="8128.76"/>
  </r>
  <r>
    <x v="3"/>
    <x v="0"/>
    <x v="2"/>
    <n v="210"/>
    <n v="19"/>
    <n v="9.0500000000000007"/>
    <n v="15.64"/>
    <n v="3284.4"/>
  </r>
  <r>
    <x v="0"/>
    <x v="0"/>
    <x v="2"/>
    <n v="193"/>
    <n v="4"/>
    <n v="2.0699999999999998"/>
    <n v="46.75"/>
    <n v="9022.75"/>
  </r>
  <r>
    <x v="0"/>
    <x v="0"/>
    <x v="2"/>
    <n v="117"/>
    <n v="3"/>
    <n v="2.56"/>
    <n v="45.09"/>
    <n v="5275.53"/>
  </r>
  <r>
    <x v="0"/>
    <x v="0"/>
    <x v="0"/>
    <n v="173"/>
    <n v="12"/>
    <n v="6.94"/>
    <n v="65.989999999999995"/>
    <n v="11416.27"/>
  </r>
  <r>
    <x v="1"/>
    <x v="0"/>
    <x v="1"/>
    <n v="190"/>
    <n v="6"/>
    <n v="3.16"/>
    <n v="47.95"/>
    <n v="9110.5"/>
  </r>
  <r>
    <x v="0"/>
    <x v="0"/>
    <x v="0"/>
    <n v="269"/>
    <n v="16"/>
    <n v="5.95"/>
    <n v="53.44"/>
    <n v="14375.36"/>
  </r>
  <r>
    <x v="3"/>
    <x v="0"/>
    <x v="2"/>
    <n v="83"/>
    <n v="6"/>
    <n v="7.23"/>
    <n v="58.09"/>
    <n v="4821.47"/>
  </r>
  <r>
    <x v="3"/>
    <x v="0"/>
    <x v="2"/>
    <n v="278"/>
    <n v="5"/>
    <n v="1.8"/>
    <n v="35.07"/>
    <n v="9749.4599999999991"/>
  </r>
  <r>
    <x v="1"/>
    <x v="0"/>
    <x v="1"/>
    <n v="194"/>
    <n v="2"/>
    <n v="1.03"/>
    <n v="24.42"/>
    <n v="4737.4799999999996"/>
  </r>
  <r>
    <x v="2"/>
    <x v="0"/>
    <x v="2"/>
    <n v="212"/>
    <n v="18"/>
    <n v="8.49"/>
    <n v="20.399999999999999"/>
    <n v="4324.8"/>
  </r>
  <r>
    <x v="3"/>
    <x v="0"/>
    <x v="2"/>
    <n v="265"/>
    <n v="11"/>
    <n v="4.1500000000000004"/>
    <n v="17.43"/>
    <n v="4618.95"/>
  </r>
  <r>
    <x v="0"/>
    <x v="0"/>
    <x v="2"/>
    <n v="79"/>
    <n v="1"/>
    <n v="1.27"/>
    <n v="9.9499999999999993"/>
    <n v="786.05"/>
  </r>
  <r>
    <x v="1"/>
    <x v="0"/>
    <x v="1"/>
    <n v="218"/>
    <n v="9"/>
    <n v="4.13"/>
    <n v="55.86"/>
    <n v="12177.48"/>
  </r>
  <r>
    <x v="0"/>
    <x v="0"/>
    <x v="2"/>
    <n v="51"/>
    <n v="2"/>
    <n v="3.92"/>
    <n v="65.2"/>
    <n v="3325.2"/>
  </r>
  <r>
    <x v="1"/>
    <x v="0"/>
    <x v="2"/>
    <n v="126"/>
    <n v="9"/>
    <n v="7.14"/>
    <n v="9.4"/>
    <n v="1184.4000000000001"/>
  </r>
  <r>
    <x v="2"/>
    <x v="0"/>
    <x v="2"/>
    <n v="184"/>
    <n v="8"/>
    <n v="4.3499999999999996"/>
    <n v="26.04"/>
    <n v="4791.3599999999997"/>
  </r>
  <r>
    <x v="0"/>
    <x v="0"/>
    <x v="2"/>
    <n v="280"/>
    <n v="3"/>
    <n v="1.07"/>
    <n v="40.9"/>
    <n v="11452"/>
  </r>
  <r>
    <x v="3"/>
    <x v="0"/>
    <x v="2"/>
    <n v="263"/>
    <n v="16"/>
    <n v="6.08"/>
    <n v="13.07"/>
    <n v="3437.41"/>
  </r>
  <r>
    <x v="2"/>
    <x v="0"/>
    <x v="2"/>
    <n v="268"/>
    <n v="13"/>
    <n v="4.8499999999999996"/>
    <n v="65.83"/>
    <n v="17642.439999999999"/>
  </r>
  <r>
    <x v="1"/>
    <x v="0"/>
    <x v="1"/>
    <n v="126"/>
    <n v="6"/>
    <n v="4.76"/>
    <n v="47.85"/>
    <n v="6029.1"/>
  </r>
  <r>
    <x v="1"/>
    <x v="0"/>
    <x v="1"/>
    <n v="218"/>
    <n v="20"/>
    <n v="9.17"/>
    <n v="19.84"/>
    <n v="4325.12"/>
  </r>
  <r>
    <x v="1"/>
    <x v="0"/>
    <x v="2"/>
    <n v="223"/>
    <n v="9"/>
    <n v="4.04"/>
    <n v="32.25"/>
    <n v="7191.75"/>
  </r>
  <r>
    <x v="0"/>
    <x v="0"/>
    <x v="2"/>
    <n v="90"/>
    <n v="7"/>
    <n v="7.78"/>
    <n v="13.23"/>
    <n v="1190.7"/>
  </r>
  <r>
    <x v="0"/>
    <x v="0"/>
    <x v="0"/>
    <n v="148"/>
    <n v="3"/>
    <n v="2.0299999999999998"/>
    <n v="50.3"/>
    <n v="7444.4"/>
  </r>
  <r>
    <x v="1"/>
    <x v="0"/>
    <x v="2"/>
    <n v="52"/>
    <n v="2"/>
    <n v="3.85"/>
    <n v="67.27"/>
    <n v="3498.04"/>
  </r>
  <r>
    <x v="3"/>
    <x v="0"/>
    <x v="2"/>
    <n v="161"/>
    <n v="12"/>
    <n v="7.45"/>
    <n v="17.95"/>
    <n v="2889.95"/>
  </r>
  <r>
    <x v="2"/>
    <x v="0"/>
    <x v="2"/>
    <n v="203"/>
    <n v="5"/>
    <n v="2.46"/>
    <n v="58.5"/>
    <n v="11875.5"/>
  </r>
  <r>
    <x v="1"/>
    <x v="0"/>
    <x v="1"/>
    <n v="205"/>
    <n v="1"/>
    <n v="0.49"/>
    <n v="58.6"/>
    <n v="12013"/>
  </r>
  <r>
    <x v="3"/>
    <x v="0"/>
    <x v="2"/>
    <n v="119"/>
    <n v="8"/>
    <n v="6.72"/>
    <n v="47.36"/>
    <n v="5635.84"/>
  </r>
  <r>
    <x v="0"/>
    <x v="0"/>
    <x v="0"/>
    <n v="288"/>
    <n v="15"/>
    <n v="5.21"/>
    <n v="61.95"/>
    <n v="17841.599999999999"/>
  </r>
  <r>
    <x v="1"/>
    <x v="0"/>
    <x v="2"/>
    <n v="151"/>
    <n v="6"/>
    <n v="3.97"/>
    <n v="56.79"/>
    <n v="8575.2900000000009"/>
  </r>
  <r>
    <x v="1"/>
    <x v="0"/>
    <x v="2"/>
    <n v="269"/>
    <n v="10"/>
    <n v="3.72"/>
    <n v="64.06"/>
    <n v="17232.14"/>
  </r>
  <r>
    <x v="2"/>
    <x v="0"/>
    <x v="2"/>
    <n v="76"/>
    <n v="4"/>
    <n v="5.26"/>
    <n v="49.83"/>
    <n v="3787.08"/>
  </r>
  <r>
    <x v="3"/>
    <x v="0"/>
    <x v="2"/>
    <n v="218"/>
    <n v="5"/>
    <n v="2.29"/>
    <n v="25.93"/>
    <n v="5652.74"/>
  </r>
  <r>
    <x v="1"/>
    <x v="0"/>
    <x v="2"/>
    <n v="283"/>
    <n v="4"/>
    <n v="1.41"/>
    <n v="67.38"/>
    <n v="19068.54"/>
  </r>
  <r>
    <x v="2"/>
    <x v="0"/>
    <x v="2"/>
    <n v="274"/>
    <n v="18"/>
    <n v="6.57"/>
    <n v="42.11"/>
    <n v="11538.14"/>
  </r>
  <r>
    <x v="3"/>
    <x v="0"/>
    <x v="2"/>
    <n v="162"/>
    <n v="10"/>
    <n v="6.17"/>
    <n v="25.76"/>
    <n v="4173.12"/>
  </r>
  <r>
    <x v="1"/>
    <x v="0"/>
    <x v="2"/>
    <n v="252"/>
    <n v="0"/>
    <n v="0"/>
    <n v="8.1"/>
    <n v="2041.2"/>
  </r>
  <r>
    <x v="3"/>
    <x v="0"/>
    <x v="2"/>
    <n v="159"/>
    <n v="12"/>
    <n v="7.55"/>
    <n v="64.86"/>
    <n v="10312.74"/>
  </r>
  <r>
    <x v="1"/>
    <x v="0"/>
    <x v="1"/>
    <n v="161"/>
    <n v="8"/>
    <n v="4.97"/>
    <n v="14.76"/>
    <n v="2376.36"/>
  </r>
  <r>
    <x v="0"/>
    <x v="0"/>
    <x v="0"/>
    <n v="178"/>
    <n v="16"/>
    <n v="8.99"/>
    <n v="25.76"/>
    <n v="4585.28"/>
  </r>
  <r>
    <x v="3"/>
    <x v="0"/>
    <x v="2"/>
    <n v="137"/>
    <n v="9"/>
    <n v="6.57"/>
    <n v="20.12"/>
    <n v="2756.44"/>
  </r>
  <r>
    <x v="0"/>
    <x v="0"/>
    <x v="2"/>
    <n v="165"/>
    <n v="6"/>
    <n v="3.64"/>
    <n v="22.49"/>
    <n v="3710.85"/>
  </r>
  <r>
    <x v="0"/>
    <x v="0"/>
    <x v="2"/>
    <n v="218"/>
    <n v="16"/>
    <n v="7.34"/>
    <n v="39.44"/>
    <n v="8597.92"/>
  </r>
  <r>
    <x v="0"/>
    <x v="0"/>
    <x v="2"/>
    <n v="198"/>
    <n v="13"/>
    <n v="6.57"/>
    <n v="35.229999999999997"/>
    <n v="6975.54"/>
  </r>
  <r>
    <x v="1"/>
    <x v="0"/>
    <x v="1"/>
    <n v="260"/>
    <n v="5"/>
    <n v="1.92"/>
    <n v="25.7"/>
    <n v="6682"/>
  </r>
  <r>
    <x v="4"/>
    <x v="1"/>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C55F3-F4E5-497D-8EDB-3DC6E024168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8">
    <pivotField showAll="0">
      <items count="5">
        <item x="3"/>
        <item x="2"/>
        <item x="1"/>
        <item x="0"/>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Total 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01C628-9B7C-4757-895B-2EE6565887A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8">
    <pivotField showAll="0">
      <items count="5">
        <item x="3"/>
        <item x="2"/>
        <item x="1"/>
        <item x="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Cost per Lea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45DB9B-B070-4CB0-A10B-19EE512FE57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8">
    <pivotField showAll="0">
      <items count="5">
        <item x="3"/>
        <item x="2"/>
        <item x="1"/>
        <item x="0"/>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of Conversion Rat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0DF51C-CDAA-481B-8CBB-1EF26EDB207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8">
    <pivotField showAll="0">
      <items count="5">
        <item x="3"/>
        <item x="2"/>
        <item x="1"/>
        <item x="0"/>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5E934-8B02-45B4-BD56-1B122D73B70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items count="5">
        <item x="3"/>
        <item x="2"/>
        <item x="1"/>
        <item x="0"/>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Total Lead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E765CF-C01D-4193-82E5-B57EAEF30651}"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6:N11" firstHeaderRow="0" firstDataRow="1" firstDataCol="1"/>
  <pivotFields count="8">
    <pivotField axis="axisRow" showAll="0">
      <items count="5">
        <item x="3"/>
        <item x="2"/>
        <item x="1"/>
        <item x="0"/>
        <item t="default"/>
      </items>
    </pivotField>
    <pivotField showAll="0">
      <items count="2">
        <item x="0"/>
        <item t="default"/>
      </items>
    </pivotField>
    <pivotField showAll="0"/>
    <pivotField showAll="0"/>
    <pivotField dataField="1" showAll="0"/>
    <pivotField dataField="1" showAll="0"/>
    <pivotField showAll="0"/>
    <pivotField showAll="0"/>
  </pivotFields>
  <rowFields count="1">
    <field x="0"/>
  </rowFields>
  <rowItems count="5">
    <i>
      <x/>
    </i>
    <i>
      <x v="1"/>
    </i>
    <i>
      <x v="2"/>
    </i>
    <i>
      <x v="3"/>
    </i>
    <i t="grand">
      <x/>
    </i>
  </rowItems>
  <colFields count="1">
    <field x="-2"/>
  </colFields>
  <colItems count="2">
    <i>
      <x/>
    </i>
    <i i="1">
      <x v="1"/>
    </i>
  </colItems>
  <dataFields count="2">
    <dataField name="Sum of Sales" fld="4" baseField="0" baseItem="0"/>
    <dataField name="Average of Conversion Rate" fld="5"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083EB0-F45E-448A-B6A3-BA372D794367}"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8" firstHeaderRow="0" firstDataRow="1" firstDataCol="1"/>
  <pivotFields count="8">
    <pivotField axis="axisRow" showAll="0">
      <items count="6">
        <item x="3"/>
        <item x="2"/>
        <item x="1"/>
        <item x="0"/>
        <item h="1" x="4"/>
        <item t="default"/>
      </items>
    </pivotField>
    <pivotField showAll="0">
      <items count="3">
        <item x="0"/>
        <item x="1"/>
        <item t="default"/>
      </items>
    </pivotField>
    <pivotField showAll="0"/>
    <pivotField showAll="0"/>
    <pivotField dataField="1" showAll="0"/>
    <pivotField showAll="0"/>
    <pivotField showAll="0"/>
    <pivotField dataField="1" showAll="0"/>
  </pivotFields>
  <rowFields count="1">
    <field x="0"/>
  </rowFields>
  <rowItems count="5">
    <i>
      <x/>
    </i>
    <i>
      <x v="1"/>
    </i>
    <i>
      <x v="2"/>
    </i>
    <i>
      <x v="3"/>
    </i>
    <i t="grand">
      <x/>
    </i>
  </rowItems>
  <colFields count="1">
    <field x="-2"/>
  </colFields>
  <colItems count="2">
    <i>
      <x/>
    </i>
    <i i="1">
      <x v="1"/>
    </i>
  </colItems>
  <dataFields count="2">
    <dataField name="Sum of Total Cost" fld="7" baseField="0" baseItem="0"/>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423FB3-E5A5-407F-8374-16970ED6E700}"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8">
    <pivotField showAll="0">
      <items count="5">
        <item x="3"/>
        <item x="2"/>
        <item x="1"/>
        <item x="0"/>
        <item t="default"/>
      </items>
    </pivotField>
    <pivotField showAll="0"/>
    <pivotField axis="axisRow" showAll="0">
      <items count="4">
        <item x="0"/>
        <item x="2"/>
        <item x="1"/>
        <item t="default"/>
      </items>
    </pivotField>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Average of Conversion Rate" fld="5" subtotal="average" baseField="2" baseItem="0"/>
  </dataField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6018D8-491F-483D-A26B-5738925956CB}"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axis="axisRow" showAll="0">
      <items count="5">
        <item x="3"/>
        <item x="2"/>
        <item x="1"/>
        <item x="0"/>
        <item t="default"/>
      </items>
    </pivotField>
    <pivotField showAll="0"/>
    <pivotField showAll="0"/>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67731E-3054-4056-926A-4164B21A808D}"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8:M13" firstHeaderRow="1" firstDataRow="1" firstDataCol="1"/>
  <pivotFields count="8">
    <pivotField axis="axisRow" showAll="0" sortType="descending">
      <items count="5">
        <item x="0"/>
        <item x="1"/>
        <item x="2"/>
        <item x="3"/>
        <item t="default"/>
      </items>
    </pivotField>
    <pivotField showAll="0"/>
    <pivotField showAll="0"/>
    <pivotField showAll="0"/>
    <pivotField showAll="0"/>
    <pivotField showAll="0"/>
    <pivotField dataField="1" showAll="0"/>
    <pivotField showAll="0"/>
  </pivotFields>
  <rowFields count="1">
    <field x="0"/>
  </rowFields>
  <rowItems count="5">
    <i>
      <x/>
    </i>
    <i>
      <x v="1"/>
    </i>
    <i>
      <x v="2"/>
    </i>
    <i>
      <x v="3"/>
    </i>
    <i t="grand">
      <x/>
    </i>
  </rowItems>
  <colItems count="1">
    <i/>
  </colItems>
  <dataFields count="1">
    <dataField name="Sum of Cost per Lead" fld="6"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3"/>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052280-790C-48B8-97F4-6FF3C613195A}"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axis="axisRow" showAll="0">
      <items count="5">
        <item x="3"/>
        <item x="2"/>
        <item x="1"/>
        <item x="0"/>
        <item t="default"/>
      </items>
    </pivotField>
    <pivotField showAll="0"/>
    <pivotField showAll="0"/>
    <pivotField showAll="0"/>
    <pivotField showAll="0"/>
    <pivotField showAll="0"/>
    <pivotField dataField="1" showAll="0"/>
    <pivotField showAll="0"/>
  </pivotFields>
  <rowFields count="1">
    <field x="0"/>
  </rowFields>
  <rowItems count="5">
    <i>
      <x/>
    </i>
    <i>
      <x v="1"/>
    </i>
    <i>
      <x v="2"/>
    </i>
    <i>
      <x v="3"/>
    </i>
    <i t="grand">
      <x/>
    </i>
  </rowItems>
  <colItems count="1">
    <i/>
  </colItems>
  <dataFields count="1">
    <dataField name="Sum of Cost per Lead" fld="6"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C6024A-2684-4190-9827-BB0C7598B512}"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8">
    <pivotField axis="axisRow" showAll="0">
      <items count="5">
        <item x="3"/>
        <item x="2"/>
        <item x="1"/>
        <item x="0"/>
        <item t="default"/>
      </items>
    </pivotField>
    <pivotField showAll="0">
      <items count="2">
        <item x="0"/>
        <item t="default"/>
      </items>
    </pivotField>
    <pivotField showAll="0"/>
    <pivotField showAll="0"/>
    <pivotField dataField="1" showAll="0"/>
    <pivotField dataField="1" showAll="0"/>
    <pivotField showAll="0"/>
    <pivotField showAll="0"/>
  </pivotFields>
  <rowFields count="1">
    <field x="0"/>
  </rowFields>
  <rowItems count="5">
    <i>
      <x/>
    </i>
    <i>
      <x v="1"/>
    </i>
    <i>
      <x v="2"/>
    </i>
    <i>
      <x v="3"/>
    </i>
    <i t="grand">
      <x/>
    </i>
  </rowItems>
  <colFields count="1">
    <field x="-2"/>
  </colFields>
  <colItems count="2">
    <i>
      <x/>
    </i>
    <i i="1">
      <x v="1"/>
    </i>
  </colItems>
  <dataFields count="2">
    <dataField name="Sum of Sales" fld="4" baseField="0" baseItem="0"/>
    <dataField name="Average of Conversion Rate" fld="5"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34D7336E-6D32-4449-8E09-14A03EF2AC35}" sourceName="Campaign">
  <pivotTables>
    <pivotTable tabId="9" name="PivotTable9"/>
    <pivotTable tabId="6" name="PivotTable6"/>
    <pivotTable tabId="8" name="PivotTable8"/>
    <pivotTable tabId="5" name="PivotTable1"/>
    <pivotTable tabId="5" name="PivotTable2"/>
    <pivotTable tabId="5" name="PivotTable3"/>
    <pivotTable tabId="5" name="PivotTable4"/>
    <pivotTable tabId="5" name="PivotTable5"/>
    <pivotTable tabId="7" name="PivotTable7"/>
    <pivotTable tabId="13" name="PivotTable14"/>
    <pivotTable tabId="8" name="PivotTable16"/>
  </pivotTables>
  <data>
    <tabular pivotCacheId="60626158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1" xr10:uid="{28751C17-DCB4-40A4-AAB1-EB93640726DD}" cache="Slicer_Campaign" caption="Campaign" columnCount="4"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78C886BE-E69D-4256-BDE8-F35E2813E124}" cache="Slicer_Campaign" caption="Campaign" style="SlicerStyleLight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DA95-B971-41C6-9E72-291660E7D21B}">
  <dimension ref="A1"/>
  <sheetViews>
    <sheetView tabSelected="1" workbookViewId="0">
      <selection activeCell="D21" sqref="D21"/>
    </sheetView>
  </sheetViews>
  <sheetFormatPr defaultRowHeight="14.5" x14ac:dyDescent="0.35"/>
  <cols>
    <col min="1" max="16384" width="8.7265625" style="2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01"/>
  <sheetViews>
    <sheetView workbookViewId="0">
      <selection activeCell="B9" sqref="B9"/>
    </sheetView>
  </sheetViews>
  <sheetFormatPr defaultRowHeight="14.5" x14ac:dyDescent="0.35"/>
  <cols>
    <col min="1" max="2" width="24.36328125" customWidth="1"/>
    <col min="3" max="3" width="24.7265625" customWidth="1"/>
    <col min="4" max="4" width="18.81640625" customWidth="1"/>
    <col min="5" max="5" width="15.81640625" customWidth="1"/>
    <col min="6" max="6" width="18.1796875" customWidth="1"/>
    <col min="7" max="7" width="17.7265625" customWidth="1"/>
    <col min="8" max="8" width="19.7265625" customWidth="1"/>
  </cols>
  <sheetData>
    <row r="1" spans="1:8" x14ac:dyDescent="0.35">
      <c r="A1" s="1" t="s">
        <v>0</v>
      </c>
      <c r="B1" s="1" t="s">
        <v>16</v>
      </c>
      <c r="C1" s="1" t="s">
        <v>15</v>
      </c>
      <c r="D1" s="1" t="s">
        <v>1</v>
      </c>
      <c r="E1" s="1" t="s">
        <v>2</v>
      </c>
      <c r="F1" s="1" t="s">
        <v>17</v>
      </c>
      <c r="G1" s="1" t="s">
        <v>3</v>
      </c>
      <c r="H1" s="1" t="s">
        <v>4</v>
      </c>
    </row>
    <row r="2" spans="1:8" x14ac:dyDescent="0.35">
      <c r="A2" t="s">
        <v>6</v>
      </c>
      <c r="B2" t="s">
        <v>12</v>
      </c>
      <c r="C2" t="s">
        <v>11</v>
      </c>
      <c r="D2">
        <v>60</v>
      </c>
      <c r="E2">
        <v>6</v>
      </c>
      <c r="F2">
        <v>10</v>
      </c>
      <c r="G2">
        <v>68.62</v>
      </c>
      <c r="H2">
        <v>4117.2</v>
      </c>
    </row>
    <row r="3" spans="1:8" x14ac:dyDescent="0.35">
      <c r="A3" t="s">
        <v>7</v>
      </c>
      <c r="B3" t="s">
        <v>12</v>
      </c>
      <c r="C3" t="s">
        <v>10</v>
      </c>
      <c r="D3">
        <v>173</v>
      </c>
      <c r="E3">
        <v>3</v>
      </c>
      <c r="F3">
        <v>1.73</v>
      </c>
      <c r="G3">
        <v>47.97</v>
      </c>
      <c r="H3">
        <v>8298.81</v>
      </c>
    </row>
    <row r="4" spans="1:8" x14ac:dyDescent="0.35">
      <c r="A4" t="s">
        <v>6</v>
      </c>
      <c r="B4" t="s">
        <v>12</v>
      </c>
      <c r="C4" t="s">
        <v>9</v>
      </c>
      <c r="D4">
        <v>65</v>
      </c>
      <c r="E4">
        <v>0</v>
      </c>
      <c r="F4">
        <v>0</v>
      </c>
      <c r="G4">
        <v>55.63</v>
      </c>
      <c r="H4">
        <v>3615.95</v>
      </c>
    </row>
    <row r="5" spans="1:8" x14ac:dyDescent="0.35">
      <c r="A5" t="s">
        <v>6</v>
      </c>
      <c r="B5" t="s">
        <v>12</v>
      </c>
      <c r="C5" t="s">
        <v>11</v>
      </c>
      <c r="D5">
        <v>231</v>
      </c>
      <c r="E5">
        <v>11</v>
      </c>
      <c r="F5">
        <v>4.76</v>
      </c>
      <c r="G5">
        <v>41.15</v>
      </c>
      <c r="H5">
        <v>9505.65</v>
      </c>
    </row>
    <row r="6" spans="1:8" x14ac:dyDescent="0.35">
      <c r="A6" t="s">
        <v>7</v>
      </c>
      <c r="B6" t="s">
        <v>12</v>
      </c>
      <c r="C6" t="s">
        <v>9</v>
      </c>
      <c r="D6">
        <v>294</v>
      </c>
      <c r="E6">
        <v>11</v>
      </c>
      <c r="F6">
        <v>3.74</v>
      </c>
      <c r="G6">
        <v>28.06</v>
      </c>
      <c r="H6">
        <v>8249.64</v>
      </c>
    </row>
    <row r="7" spans="1:8" x14ac:dyDescent="0.35">
      <c r="A7" t="s">
        <v>8</v>
      </c>
      <c r="B7" t="s">
        <v>12</v>
      </c>
      <c r="C7" t="s">
        <v>9</v>
      </c>
      <c r="D7">
        <v>233</v>
      </c>
      <c r="E7">
        <v>23</v>
      </c>
      <c r="F7">
        <v>9.8699999999999992</v>
      </c>
      <c r="G7">
        <v>63.87</v>
      </c>
      <c r="H7">
        <v>14881.71</v>
      </c>
    </row>
    <row r="8" spans="1:8" x14ac:dyDescent="0.35">
      <c r="A8" t="s">
        <v>6</v>
      </c>
      <c r="B8" t="s">
        <v>12</v>
      </c>
      <c r="C8" t="s">
        <v>9</v>
      </c>
      <c r="D8">
        <v>162</v>
      </c>
      <c r="E8">
        <v>11</v>
      </c>
      <c r="F8">
        <v>6.79</v>
      </c>
      <c r="G8">
        <v>42.8</v>
      </c>
      <c r="H8">
        <v>6933.6</v>
      </c>
    </row>
    <row r="9" spans="1:8" x14ac:dyDescent="0.35">
      <c r="A9" t="s">
        <v>7</v>
      </c>
      <c r="B9" t="s">
        <v>12</v>
      </c>
      <c r="C9" t="s">
        <v>10</v>
      </c>
      <c r="D9">
        <v>202</v>
      </c>
      <c r="E9">
        <v>5</v>
      </c>
      <c r="F9">
        <v>2.48</v>
      </c>
      <c r="G9">
        <v>62.35</v>
      </c>
      <c r="H9">
        <v>12594.7</v>
      </c>
    </row>
    <row r="10" spans="1:8" x14ac:dyDescent="0.35">
      <c r="A10" t="s">
        <v>6</v>
      </c>
      <c r="B10" t="s">
        <v>12</v>
      </c>
      <c r="C10" t="s">
        <v>11</v>
      </c>
      <c r="D10">
        <v>92</v>
      </c>
      <c r="E10">
        <v>6</v>
      </c>
      <c r="F10">
        <v>6.52</v>
      </c>
      <c r="G10">
        <v>54.47</v>
      </c>
      <c r="H10">
        <v>5011.24</v>
      </c>
    </row>
    <row r="11" spans="1:8" x14ac:dyDescent="0.35">
      <c r="A11" t="s">
        <v>6</v>
      </c>
      <c r="B11" t="s">
        <v>12</v>
      </c>
      <c r="C11" t="s">
        <v>11</v>
      </c>
      <c r="D11">
        <v>150</v>
      </c>
      <c r="E11">
        <v>4</v>
      </c>
      <c r="F11">
        <v>2.67</v>
      </c>
      <c r="G11">
        <v>12.66</v>
      </c>
      <c r="H11">
        <v>1899</v>
      </c>
    </row>
    <row r="12" spans="1:8" x14ac:dyDescent="0.35">
      <c r="A12" t="s">
        <v>7</v>
      </c>
      <c r="B12" t="s">
        <v>12</v>
      </c>
      <c r="C12" t="s">
        <v>10</v>
      </c>
      <c r="D12">
        <v>76</v>
      </c>
      <c r="E12">
        <v>0</v>
      </c>
      <c r="F12">
        <v>0</v>
      </c>
      <c r="G12">
        <v>30.36</v>
      </c>
      <c r="H12">
        <v>2307.36</v>
      </c>
    </row>
    <row r="13" spans="1:8" x14ac:dyDescent="0.35">
      <c r="A13" t="s">
        <v>6</v>
      </c>
      <c r="B13" t="s">
        <v>12</v>
      </c>
      <c r="C13" t="s">
        <v>9</v>
      </c>
      <c r="D13">
        <v>262</v>
      </c>
      <c r="E13">
        <v>8</v>
      </c>
      <c r="F13">
        <v>3.05</v>
      </c>
      <c r="G13">
        <v>7.49</v>
      </c>
      <c r="H13">
        <v>1962.38</v>
      </c>
    </row>
    <row r="14" spans="1:8" x14ac:dyDescent="0.35">
      <c r="A14" t="s">
        <v>6</v>
      </c>
      <c r="B14" t="s">
        <v>12</v>
      </c>
      <c r="C14" t="s">
        <v>9</v>
      </c>
      <c r="D14">
        <v>201</v>
      </c>
      <c r="E14">
        <v>17</v>
      </c>
      <c r="F14">
        <v>8.4600000000000009</v>
      </c>
      <c r="G14">
        <v>11.99</v>
      </c>
      <c r="H14">
        <v>2409.9899999999998</v>
      </c>
    </row>
    <row r="15" spans="1:8" x14ac:dyDescent="0.35">
      <c r="A15" t="s">
        <v>6</v>
      </c>
      <c r="B15" t="s">
        <v>12</v>
      </c>
      <c r="C15" t="s">
        <v>9</v>
      </c>
      <c r="D15">
        <v>242</v>
      </c>
      <c r="E15">
        <v>18</v>
      </c>
      <c r="F15">
        <v>7.44</v>
      </c>
      <c r="G15">
        <v>65.38</v>
      </c>
      <c r="H15">
        <v>15821.96</v>
      </c>
    </row>
    <row r="16" spans="1:8" x14ac:dyDescent="0.35">
      <c r="A16" t="s">
        <v>6</v>
      </c>
      <c r="B16" t="s">
        <v>12</v>
      </c>
      <c r="C16" t="s">
        <v>11</v>
      </c>
      <c r="D16">
        <v>194</v>
      </c>
      <c r="E16">
        <v>7</v>
      </c>
      <c r="F16">
        <v>3.61</v>
      </c>
      <c r="G16">
        <v>7.08</v>
      </c>
      <c r="H16">
        <v>1373.52</v>
      </c>
    </row>
    <row r="17" spans="1:8" x14ac:dyDescent="0.35">
      <c r="A17" t="s">
        <v>6</v>
      </c>
      <c r="B17" t="s">
        <v>12</v>
      </c>
      <c r="C17" t="s">
        <v>9</v>
      </c>
      <c r="D17">
        <v>108</v>
      </c>
      <c r="E17">
        <v>2</v>
      </c>
      <c r="F17">
        <v>1.85</v>
      </c>
      <c r="G17">
        <v>41.07</v>
      </c>
      <c r="H17">
        <v>4435.5600000000004</v>
      </c>
    </row>
    <row r="18" spans="1:8" x14ac:dyDescent="0.35">
      <c r="A18" t="s">
        <v>6</v>
      </c>
      <c r="B18" t="s">
        <v>12</v>
      </c>
      <c r="C18" t="s">
        <v>9</v>
      </c>
      <c r="D18">
        <v>177</v>
      </c>
      <c r="E18">
        <v>7</v>
      </c>
      <c r="F18">
        <v>3.95</v>
      </c>
      <c r="G18">
        <v>38.32</v>
      </c>
      <c r="H18">
        <v>6782.64</v>
      </c>
    </row>
    <row r="19" spans="1:8" x14ac:dyDescent="0.35">
      <c r="A19" t="s">
        <v>8</v>
      </c>
      <c r="B19" t="s">
        <v>12</v>
      </c>
      <c r="C19" t="s">
        <v>9</v>
      </c>
      <c r="D19">
        <v>241</v>
      </c>
      <c r="E19">
        <v>15</v>
      </c>
      <c r="F19">
        <v>6.22</v>
      </c>
      <c r="G19">
        <v>32.78</v>
      </c>
      <c r="H19">
        <v>7899.98</v>
      </c>
    </row>
    <row r="20" spans="1:8" x14ac:dyDescent="0.35">
      <c r="A20" t="s">
        <v>6</v>
      </c>
      <c r="B20" t="s">
        <v>12</v>
      </c>
      <c r="C20" t="s">
        <v>9</v>
      </c>
      <c r="D20">
        <v>146</v>
      </c>
      <c r="E20">
        <v>3</v>
      </c>
      <c r="F20">
        <v>2.0499999999999998</v>
      </c>
      <c r="G20">
        <v>64.63</v>
      </c>
      <c r="H20">
        <v>9435.98</v>
      </c>
    </row>
    <row r="21" spans="1:8" x14ac:dyDescent="0.35">
      <c r="A21" t="s">
        <v>6</v>
      </c>
      <c r="B21" t="s">
        <v>12</v>
      </c>
      <c r="C21" t="s">
        <v>11</v>
      </c>
      <c r="D21">
        <v>114</v>
      </c>
      <c r="E21">
        <v>8</v>
      </c>
      <c r="F21">
        <v>7.02</v>
      </c>
      <c r="G21">
        <v>8.58</v>
      </c>
      <c r="H21">
        <v>978.12</v>
      </c>
    </row>
    <row r="22" spans="1:8" x14ac:dyDescent="0.35">
      <c r="A22" t="s">
        <v>6</v>
      </c>
      <c r="B22" t="s">
        <v>12</v>
      </c>
      <c r="C22" t="s">
        <v>11</v>
      </c>
      <c r="D22">
        <v>135</v>
      </c>
      <c r="E22">
        <v>6</v>
      </c>
      <c r="F22">
        <v>4.4400000000000004</v>
      </c>
      <c r="G22">
        <v>47.54</v>
      </c>
      <c r="H22">
        <v>6417.9</v>
      </c>
    </row>
    <row r="23" spans="1:8" x14ac:dyDescent="0.35">
      <c r="A23" t="s">
        <v>5</v>
      </c>
      <c r="B23" t="s">
        <v>12</v>
      </c>
      <c r="C23" t="s">
        <v>9</v>
      </c>
      <c r="D23">
        <v>143</v>
      </c>
      <c r="E23">
        <v>4</v>
      </c>
      <c r="F23">
        <v>2.8</v>
      </c>
      <c r="G23">
        <v>53.83</v>
      </c>
      <c r="H23">
        <v>7697.69</v>
      </c>
    </row>
    <row r="24" spans="1:8" x14ac:dyDescent="0.35">
      <c r="A24" t="s">
        <v>7</v>
      </c>
      <c r="B24" t="s">
        <v>12</v>
      </c>
      <c r="C24" t="s">
        <v>10</v>
      </c>
      <c r="D24">
        <v>151</v>
      </c>
      <c r="E24">
        <v>5</v>
      </c>
      <c r="F24">
        <v>3.31</v>
      </c>
      <c r="G24">
        <v>15.33</v>
      </c>
      <c r="H24">
        <v>2314.83</v>
      </c>
    </row>
    <row r="25" spans="1:8" x14ac:dyDescent="0.35">
      <c r="A25" t="s">
        <v>8</v>
      </c>
      <c r="B25" t="s">
        <v>12</v>
      </c>
      <c r="C25" t="s">
        <v>9</v>
      </c>
      <c r="D25">
        <v>268</v>
      </c>
      <c r="E25">
        <v>6</v>
      </c>
      <c r="F25">
        <v>2.2400000000000002</v>
      </c>
      <c r="G25">
        <v>29.75</v>
      </c>
      <c r="H25">
        <v>7973</v>
      </c>
    </row>
    <row r="26" spans="1:8" x14ac:dyDescent="0.35">
      <c r="A26" t="s">
        <v>6</v>
      </c>
      <c r="B26" t="s">
        <v>12</v>
      </c>
      <c r="C26" t="s">
        <v>11</v>
      </c>
      <c r="D26">
        <v>205</v>
      </c>
      <c r="E26">
        <v>3</v>
      </c>
      <c r="F26">
        <v>1.46</v>
      </c>
      <c r="G26">
        <v>48.86</v>
      </c>
      <c r="H26">
        <v>10016.299999999999</v>
      </c>
    </row>
    <row r="27" spans="1:8" x14ac:dyDescent="0.35">
      <c r="A27" t="s">
        <v>6</v>
      </c>
      <c r="B27" t="s">
        <v>12</v>
      </c>
      <c r="C27" t="s">
        <v>9</v>
      </c>
      <c r="D27">
        <v>131</v>
      </c>
      <c r="E27">
        <v>11</v>
      </c>
      <c r="F27">
        <v>8.4</v>
      </c>
      <c r="G27">
        <v>52.13</v>
      </c>
      <c r="H27">
        <v>6829.03</v>
      </c>
    </row>
    <row r="28" spans="1:8" x14ac:dyDescent="0.35">
      <c r="A28" t="s">
        <v>7</v>
      </c>
      <c r="B28" t="s">
        <v>12</v>
      </c>
      <c r="C28" t="s">
        <v>10</v>
      </c>
      <c r="D28">
        <v>146</v>
      </c>
      <c r="E28">
        <v>0</v>
      </c>
      <c r="F28">
        <v>0</v>
      </c>
      <c r="G28">
        <v>30.65</v>
      </c>
      <c r="H28">
        <v>4474.8999999999996</v>
      </c>
    </row>
    <row r="29" spans="1:8" x14ac:dyDescent="0.35">
      <c r="A29" t="s">
        <v>6</v>
      </c>
      <c r="B29" t="s">
        <v>12</v>
      </c>
      <c r="C29" t="s">
        <v>11</v>
      </c>
      <c r="D29">
        <v>126</v>
      </c>
      <c r="E29">
        <v>8</v>
      </c>
      <c r="F29">
        <v>6.35</v>
      </c>
      <c r="G29">
        <v>18.8</v>
      </c>
      <c r="H29">
        <v>2368.8000000000002</v>
      </c>
    </row>
    <row r="30" spans="1:8" x14ac:dyDescent="0.35">
      <c r="A30" t="s">
        <v>6</v>
      </c>
      <c r="B30" t="s">
        <v>12</v>
      </c>
      <c r="C30" t="s">
        <v>9</v>
      </c>
      <c r="D30">
        <v>112</v>
      </c>
      <c r="E30">
        <v>7</v>
      </c>
      <c r="F30">
        <v>6.25</v>
      </c>
      <c r="G30">
        <v>30.89</v>
      </c>
      <c r="H30">
        <v>3459.68</v>
      </c>
    </row>
    <row r="31" spans="1:8" x14ac:dyDescent="0.35">
      <c r="A31" t="s">
        <v>6</v>
      </c>
      <c r="B31" t="s">
        <v>12</v>
      </c>
      <c r="C31" t="s">
        <v>11</v>
      </c>
      <c r="D31">
        <v>174</v>
      </c>
      <c r="E31">
        <v>6</v>
      </c>
      <c r="F31">
        <v>3.45</v>
      </c>
      <c r="G31">
        <v>36.58</v>
      </c>
      <c r="H31">
        <v>6364.92</v>
      </c>
    </row>
    <row r="32" spans="1:8" x14ac:dyDescent="0.35">
      <c r="A32" t="s">
        <v>7</v>
      </c>
      <c r="B32" t="s">
        <v>12</v>
      </c>
      <c r="C32" t="s">
        <v>10</v>
      </c>
      <c r="D32">
        <v>157</v>
      </c>
      <c r="E32">
        <v>0</v>
      </c>
      <c r="F32">
        <v>0</v>
      </c>
      <c r="G32">
        <v>8.31</v>
      </c>
      <c r="H32">
        <v>1304.67</v>
      </c>
    </row>
    <row r="33" spans="1:8" x14ac:dyDescent="0.35">
      <c r="A33" t="s">
        <v>5</v>
      </c>
      <c r="B33" t="s">
        <v>12</v>
      </c>
      <c r="C33" t="s">
        <v>9</v>
      </c>
      <c r="D33">
        <v>141</v>
      </c>
      <c r="E33">
        <v>2</v>
      </c>
      <c r="F33">
        <v>1.42</v>
      </c>
      <c r="G33">
        <v>40.61</v>
      </c>
      <c r="H33">
        <v>5726.01</v>
      </c>
    </row>
    <row r="34" spans="1:8" x14ac:dyDescent="0.35">
      <c r="A34" t="s">
        <v>7</v>
      </c>
      <c r="B34" t="s">
        <v>12</v>
      </c>
      <c r="C34" t="s">
        <v>9</v>
      </c>
      <c r="D34">
        <v>270</v>
      </c>
      <c r="E34">
        <v>23</v>
      </c>
      <c r="F34">
        <v>8.52</v>
      </c>
      <c r="G34">
        <v>64.59</v>
      </c>
      <c r="H34">
        <v>17439.3</v>
      </c>
    </row>
    <row r="35" spans="1:8" x14ac:dyDescent="0.35">
      <c r="A35" t="s">
        <v>7</v>
      </c>
      <c r="B35" t="s">
        <v>12</v>
      </c>
      <c r="C35" t="s">
        <v>10</v>
      </c>
      <c r="D35">
        <v>63</v>
      </c>
      <c r="E35">
        <v>1</v>
      </c>
      <c r="F35">
        <v>1.59</v>
      </c>
      <c r="G35">
        <v>48.9</v>
      </c>
      <c r="H35">
        <v>3080.7</v>
      </c>
    </row>
    <row r="36" spans="1:8" x14ac:dyDescent="0.35">
      <c r="A36" t="s">
        <v>6</v>
      </c>
      <c r="B36" t="s">
        <v>12</v>
      </c>
      <c r="C36" t="s">
        <v>11</v>
      </c>
      <c r="D36">
        <v>115</v>
      </c>
      <c r="E36">
        <v>4</v>
      </c>
      <c r="F36">
        <v>3.48</v>
      </c>
      <c r="G36">
        <v>42.18</v>
      </c>
      <c r="H36">
        <v>4850.7</v>
      </c>
    </row>
    <row r="37" spans="1:8" x14ac:dyDescent="0.35">
      <c r="A37" t="s">
        <v>8</v>
      </c>
      <c r="B37" t="s">
        <v>12</v>
      </c>
      <c r="C37" t="s">
        <v>9</v>
      </c>
      <c r="D37">
        <v>79</v>
      </c>
      <c r="E37">
        <v>0</v>
      </c>
      <c r="F37">
        <v>0</v>
      </c>
      <c r="G37">
        <v>42.41</v>
      </c>
      <c r="H37">
        <v>3350.39</v>
      </c>
    </row>
    <row r="38" spans="1:8" x14ac:dyDescent="0.35">
      <c r="A38" t="s">
        <v>6</v>
      </c>
      <c r="B38" t="s">
        <v>12</v>
      </c>
      <c r="C38" t="s">
        <v>11</v>
      </c>
      <c r="D38">
        <v>276</v>
      </c>
      <c r="E38">
        <v>14</v>
      </c>
      <c r="F38">
        <v>5.07</v>
      </c>
      <c r="G38">
        <v>9.61</v>
      </c>
      <c r="H38">
        <v>2652.36</v>
      </c>
    </row>
    <row r="39" spans="1:8" x14ac:dyDescent="0.35">
      <c r="A39" t="s">
        <v>6</v>
      </c>
      <c r="B39" t="s">
        <v>12</v>
      </c>
      <c r="C39" t="s">
        <v>9</v>
      </c>
      <c r="D39">
        <v>135</v>
      </c>
      <c r="E39">
        <v>11</v>
      </c>
      <c r="F39">
        <v>8.15</v>
      </c>
      <c r="G39">
        <v>27.44</v>
      </c>
      <c r="H39">
        <v>3704.4</v>
      </c>
    </row>
    <row r="40" spans="1:8" x14ac:dyDescent="0.35">
      <c r="A40" t="s">
        <v>5</v>
      </c>
      <c r="B40" t="s">
        <v>12</v>
      </c>
      <c r="C40" t="s">
        <v>9</v>
      </c>
      <c r="D40">
        <v>278</v>
      </c>
      <c r="E40">
        <v>9</v>
      </c>
      <c r="F40">
        <v>3.24</v>
      </c>
      <c r="G40">
        <v>6.36</v>
      </c>
      <c r="H40">
        <v>1768.08</v>
      </c>
    </row>
    <row r="41" spans="1:8" x14ac:dyDescent="0.35">
      <c r="A41" t="s">
        <v>5</v>
      </c>
      <c r="B41" t="s">
        <v>12</v>
      </c>
      <c r="C41" t="s">
        <v>9</v>
      </c>
      <c r="D41">
        <v>91</v>
      </c>
      <c r="E41">
        <v>0</v>
      </c>
      <c r="F41">
        <v>0</v>
      </c>
      <c r="G41">
        <v>16.760000000000002</v>
      </c>
      <c r="H41">
        <v>1525.16</v>
      </c>
    </row>
    <row r="42" spans="1:8" x14ac:dyDescent="0.35">
      <c r="A42" t="s">
        <v>8</v>
      </c>
      <c r="B42" t="s">
        <v>12</v>
      </c>
      <c r="C42" t="s">
        <v>9</v>
      </c>
      <c r="D42">
        <v>50</v>
      </c>
      <c r="E42">
        <v>2</v>
      </c>
      <c r="F42">
        <v>4</v>
      </c>
      <c r="G42">
        <v>52.18</v>
      </c>
      <c r="H42">
        <v>2609</v>
      </c>
    </row>
    <row r="43" spans="1:8" x14ac:dyDescent="0.35">
      <c r="A43" t="s">
        <v>5</v>
      </c>
      <c r="B43" t="s">
        <v>12</v>
      </c>
      <c r="C43" t="s">
        <v>9</v>
      </c>
      <c r="D43">
        <v>53</v>
      </c>
      <c r="E43">
        <v>5</v>
      </c>
      <c r="F43">
        <v>9.43</v>
      </c>
      <c r="G43">
        <v>32.74</v>
      </c>
      <c r="H43">
        <v>1735.22</v>
      </c>
    </row>
    <row r="44" spans="1:8" x14ac:dyDescent="0.35">
      <c r="A44" t="s">
        <v>6</v>
      </c>
      <c r="B44" t="s">
        <v>12</v>
      </c>
      <c r="C44" t="s">
        <v>9</v>
      </c>
      <c r="D44">
        <v>98</v>
      </c>
      <c r="E44">
        <v>6</v>
      </c>
      <c r="F44">
        <v>6.12</v>
      </c>
      <c r="G44">
        <v>47.39</v>
      </c>
      <c r="H44">
        <v>4644.22</v>
      </c>
    </row>
    <row r="45" spans="1:8" x14ac:dyDescent="0.35">
      <c r="A45" t="s">
        <v>7</v>
      </c>
      <c r="B45" t="s">
        <v>12</v>
      </c>
      <c r="C45" t="s">
        <v>9</v>
      </c>
      <c r="D45">
        <v>254</v>
      </c>
      <c r="E45">
        <v>2</v>
      </c>
      <c r="F45">
        <v>0.79</v>
      </c>
      <c r="G45">
        <v>6.95</v>
      </c>
      <c r="H45">
        <v>1765.3</v>
      </c>
    </row>
    <row r="46" spans="1:8" x14ac:dyDescent="0.35">
      <c r="A46" t="s">
        <v>8</v>
      </c>
      <c r="B46" t="s">
        <v>12</v>
      </c>
      <c r="C46" t="s">
        <v>9</v>
      </c>
      <c r="D46">
        <v>133</v>
      </c>
      <c r="E46">
        <v>12</v>
      </c>
      <c r="F46">
        <v>9.02</v>
      </c>
      <c r="G46">
        <v>24.19</v>
      </c>
      <c r="H46">
        <v>3217.27</v>
      </c>
    </row>
    <row r="47" spans="1:8" x14ac:dyDescent="0.35">
      <c r="A47" t="s">
        <v>7</v>
      </c>
      <c r="B47" t="s">
        <v>12</v>
      </c>
      <c r="C47" t="s">
        <v>10</v>
      </c>
      <c r="D47">
        <v>143</v>
      </c>
      <c r="E47">
        <v>2</v>
      </c>
      <c r="F47">
        <v>1.4</v>
      </c>
      <c r="G47">
        <v>51.47</v>
      </c>
      <c r="H47">
        <v>7360.21</v>
      </c>
    </row>
    <row r="48" spans="1:8" x14ac:dyDescent="0.35">
      <c r="A48" t="s">
        <v>7</v>
      </c>
      <c r="B48" t="s">
        <v>12</v>
      </c>
      <c r="C48" t="s">
        <v>9</v>
      </c>
      <c r="D48">
        <v>147</v>
      </c>
      <c r="E48">
        <v>10</v>
      </c>
      <c r="F48">
        <v>6.8</v>
      </c>
      <c r="G48">
        <v>46.23</v>
      </c>
      <c r="H48">
        <v>6795.81</v>
      </c>
    </row>
    <row r="49" spans="1:8" x14ac:dyDescent="0.35">
      <c r="A49" t="s">
        <v>6</v>
      </c>
      <c r="B49" t="s">
        <v>12</v>
      </c>
      <c r="C49" t="s">
        <v>11</v>
      </c>
      <c r="D49">
        <v>73</v>
      </c>
      <c r="E49">
        <v>5</v>
      </c>
      <c r="F49">
        <v>6.85</v>
      </c>
      <c r="G49">
        <v>38.130000000000003</v>
      </c>
      <c r="H49">
        <v>2783.49</v>
      </c>
    </row>
    <row r="50" spans="1:8" x14ac:dyDescent="0.35">
      <c r="A50" t="s">
        <v>6</v>
      </c>
      <c r="B50" t="s">
        <v>12</v>
      </c>
      <c r="C50" t="s">
        <v>9</v>
      </c>
      <c r="D50">
        <v>152</v>
      </c>
      <c r="E50">
        <v>2</v>
      </c>
      <c r="F50">
        <v>1.32</v>
      </c>
      <c r="G50">
        <v>23.85</v>
      </c>
      <c r="H50">
        <v>3625.2</v>
      </c>
    </row>
    <row r="51" spans="1:8" x14ac:dyDescent="0.35">
      <c r="A51" t="s">
        <v>5</v>
      </c>
      <c r="B51" t="s">
        <v>12</v>
      </c>
      <c r="C51" t="s">
        <v>9</v>
      </c>
      <c r="D51">
        <v>300</v>
      </c>
      <c r="E51">
        <v>7</v>
      </c>
      <c r="F51">
        <v>2.33</v>
      </c>
      <c r="G51">
        <v>48.73</v>
      </c>
      <c r="H51">
        <v>14619</v>
      </c>
    </row>
    <row r="52" spans="1:8" x14ac:dyDescent="0.35">
      <c r="A52" t="s">
        <v>7</v>
      </c>
      <c r="B52" t="s">
        <v>12</v>
      </c>
      <c r="C52" t="s">
        <v>9</v>
      </c>
      <c r="D52">
        <v>53</v>
      </c>
      <c r="E52">
        <v>2</v>
      </c>
      <c r="F52">
        <v>3.77</v>
      </c>
      <c r="G52">
        <v>62.02</v>
      </c>
      <c r="H52">
        <v>3287.06</v>
      </c>
    </row>
    <row r="53" spans="1:8" x14ac:dyDescent="0.35">
      <c r="A53" t="s">
        <v>6</v>
      </c>
      <c r="B53" t="s">
        <v>12</v>
      </c>
      <c r="C53" t="s">
        <v>11</v>
      </c>
      <c r="D53">
        <v>182</v>
      </c>
      <c r="E53">
        <v>4</v>
      </c>
      <c r="F53">
        <v>2.2000000000000002</v>
      </c>
      <c r="G53">
        <v>58.51</v>
      </c>
      <c r="H53">
        <v>10648.82</v>
      </c>
    </row>
    <row r="54" spans="1:8" x14ac:dyDescent="0.35">
      <c r="A54" t="s">
        <v>5</v>
      </c>
      <c r="B54" t="s">
        <v>12</v>
      </c>
      <c r="C54" t="s">
        <v>9</v>
      </c>
      <c r="D54">
        <v>209</v>
      </c>
      <c r="E54">
        <v>20</v>
      </c>
      <c r="F54">
        <v>9.57</v>
      </c>
      <c r="G54">
        <v>44.99</v>
      </c>
      <c r="H54">
        <v>9402.91</v>
      </c>
    </row>
    <row r="55" spans="1:8" x14ac:dyDescent="0.35">
      <c r="A55" t="s">
        <v>5</v>
      </c>
      <c r="B55" t="s">
        <v>12</v>
      </c>
      <c r="C55" t="s">
        <v>9</v>
      </c>
      <c r="D55">
        <v>113</v>
      </c>
      <c r="E55">
        <v>0</v>
      </c>
      <c r="F55">
        <v>0</v>
      </c>
      <c r="G55">
        <v>5.5</v>
      </c>
      <c r="H55">
        <v>621.5</v>
      </c>
    </row>
    <row r="56" spans="1:8" x14ac:dyDescent="0.35">
      <c r="A56" t="s">
        <v>8</v>
      </c>
      <c r="B56" t="s">
        <v>12</v>
      </c>
      <c r="C56" t="s">
        <v>9</v>
      </c>
      <c r="D56">
        <v>271</v>
      </c>
      <c r="E56">
        <v>27</v>
      </c>
      <c r="F56">
        <v>9.9600000000000009</v>
      </c>
      <c r="G56">
        <v>52.98</v>
      </c>
      <c r="H56">
        <v>14357.58</v>
      </c>
    </row>
    <row r="57" spans="1:8" x14ac:dyDescent="0.35">
      <c r="A57" t="s">
        <v>6</v>
      </c>
      <c r="B57" t="s">
        <v>12</v>
      </c>
      <c r="C57" t="s">
        <v>11</v>
      </c>
      <c r="D57">
        <v>91</v>
      </c>
      <c r="E57">
        <v>4</v>
      </c>
      <c r="F57">
        <v>4.4000000000000004</v>
      </c>
      <c r="G57">
        <v>9.5399999999999991</v>
      </c>
      <c r="H57">
        <v>868.14</v>
      </c>
    </row>
    <row r="58" spans="1:8" x14ac:dyDescent="0.35">
      <c r="A58" t="s">
        <v>7</v>
      </c>
      <c r="B58" t="s">
        <v>12</v>
      </c>
      <c r="C58" t="s">
        <v>10</v>
      </c>
      <c r="D58">
        <v>296</v>
      </c>
      <c r="E58">
        <v>21</v>
      </c>
      <c r="F58">
        <v>7.09</v>
      </c>
      <c r="G58">
        <v>20.98</v>
      </c>
      <c r="H58">
        <v>6210.08</v>
      </c>
    </row>
    <row r="59" spans="1:8" x14ac:dyDescent="0.35">
      <c r="A59" t="s">
        <v>8</v>
      </c>
      <c r="B59" t="s">
        <v>12</v>
      </c>
      <c r="C59" t="s">
        <v>9</v>
      </c>
      <c r="D59">
        <v>213</v>
      </c>
      <c r="E59">
        <v>8</v>
      </c>
      <c r="F59">
        <v>3.76</v>
      </c>
      <c r="G59">
        <v>30.89</v>
      </c>
      <c r="H59">
        <v>6579.57</v>
      </c>
    </row>
    <row r="60" spans="1:8" x14ac:dyDescent="0.35">
      <c r="A60" t="s">
        <v>7</v>
      </c>
      <c r="B60" t="s">
        <v>12</v>
      </c>
      <c r="C60" t="s">
        <v>9</v>
      </c>
      <c r="D60">
        <v>240</v>
      </c>
      <c r="E60">
        <v>12</v>
      </c>
      <c r="F60">
        <v>5</v>
      </c>
      <c r="G60">
        <v>52.64</v>
      </c>
      <c r="H60">
        <v>12633.6</v>
      </c>
    </row>
    <row r="61" spans="1:8" x14ac:dyDescent="0.35">
      <c r="A61" t="s">
        <v>5</v>
      </c>
      <c r="B61" t="s">
        <v>12</v>
      </c>
      <c r="C61" t="s">
        <v>9</v>
      </c>
      <c r="D61">
        <v>208</v>
      </c>
      <c r="E61">
        <v>1</v>
      </c>
      <c r="F61">
        <v>0.48</v>
      </c>
      <c r="G61">
        <v>33.53</v>
      </c>
      <c r="H61">
        <v>6974.24</v>
      </c>
    </row>
    <row r="62" spans="1:8" x14ac:dyDescent="0.35">
      <c r="A62" t="s">
        <v>8</v>
      </c>
      <c r="B62" t="s">
        <v>12</v>
      </c>
      <c r="C62" t="s">
        <v>9</v>
      </c>
      <c r="D62">
        <v>102</v>
      </c>
      <c r="E62">
        <v>0</v>
      </c>
      <c r="F62">
        <v>0</v>
      </c>
      <c r="G62">
        <v>69.69</v>
      </c>
      <c r="H62">
        <v>7108.38</v>
      </c>
    </row>
    <row r="63" spans="1:8" x14ac:dyDescent="0.35">
      <c r="A63" t="s">
        <v>6</v>
      </c>
      <c r="B63" t="s">
        <v>12</v>
      </c>
      <c r="C63" t="s">
        <v>11</v>
      </c>
      <c r="D63">
        <v>262</v>
      </c>
      <c r="E63">
        <v>21</v>
      </c>
      <c r="F63">
        <v>8.02</v>
      </c>
      <c r="G63">
        <v>23.16</v>
      </c>
      <c r="H63">
        <v>6067.92</v>
      </c>
    </row>
    <row r="64" spans="1:8" x14ac:dyDescent="0.35">
      <c r="A64" t="s">
        <v>7</v>
      </c>
      <c r="B64" t="s">
        <v>12</v>
      </c>
      <c r="C64" t="s">
        <v>9</v>
      </c>
      <c r="D64">
        <v>189</v>
      </c>
      <c r="E64">
        <v>17</v>
      </c>
      <c r="F64">
        <v>8.99</v>
      </c>
      <c r="G64">
        <v>34.9</v>
      </c>
      <c r="H64">
        <v>6596.1</v>
      </c>
    </row>
    <row r="65" spans="1:8" x14ac:dyDescent="0.35">
      <c r="A65" t="s">
        <v>6</v>
      </c>
      <c r="B65" t="s">
        <v>12</v>
      </c>
      <c r="C65" t="s">
        <v>9</v>
      </c>
      <c r="D65">
        <v>223</v>
      </c>
      <c r="E65">
        <v>10</v>
      </c>
      <c r="F65">
        <v>4.4800000000000004</v>
      </c>
      <c r="G65">
        <v>24.72</v>
      </c>
      <c r="H65">
        <v>5512.56</v>
      </c>
    </row>
    <row r="66" spans="1:8" x14ac:dyDescent="0.35">
      <c r="A66" t="s">
        <v>6</v>
      </c>
      <c r="B66" t="s">
        <v>12</v>
      </c>
      <c r="C66" t="s">
        <v>9</v>
      </c>
      <c r="D66">
        <v>252</v>
      </c>
      <c r="E66">
        <v>1</v>
      </c>
      <c r="F66">
        <v>0.4</v>
      </c>
      <c r="G66">
        <v>69.040000000000006</v>
      </c>
      <c r="H66">
        <v>17398.080000000002</v>
      </c>
    </row>
    <row r="67" spans="1:8" x14ac:dyDescent="0.35">
      <c r="A67" t="s">
        <v>6</v>
      </c>
      <c r="B67" t="s">
        <v>12</v>
      </c>
      <c r="C67" t="s">
        <v>9</v>
      </c>
      <c r="D67">
        <v>184</v>
      </c>
      <c r="E67">
        <v>15</v>
      </c>
      <c r="F67">
        <v>8.15</v>
      </c>
      <c r="G67">
        <v>22.73</v>
      </c>
      <c r="H67">
        <v>4182.32</v>
      </c>
    </row>
    <row r="68" spans="1:8" x14ac:dyDescent="0.35">
      <c r="A68" t="s">
        <v>8</v>
      </c>
      <c r="B68" t="s">
        <v>12</v>
      </c>
      <c r="C68" t="s">
        <v>9</v>
      </c>
      <c r="D68">
        <v>153</v>
      </c>
      <c r="E68">
        <v>6</v>
      </c>
      <c r="F68">
        <v>3.92</v>
      </c>
      <c r="G68">
        <v>20.22</v>
      </c>
      <c r="H68">
        <v>3093.66</v>
      </c>
    </row>
    <row r="69" spans="1:8" x14ac:dyDescent="0.35">
      <c r="A69" t="s">
        <v>6</v>
      </c>
      <c r="B69" t="s">
        <v>12</v>
      </c>
      <c r="C69" t="s">
        <v>11</v>
      </c>
      <c r="D69">
        <v>167</v>
      </c>
      <c r="E69">
        <v>7</v>
      </c>
      <c r="F69">
        <v>4.1900000000000004</v>
      </c>
      <c r="G69">
        <v>7.09</v>
      </c>
      <c r="H69">
        <v>1184.03</v>
      </c>
    </row>
    <row r="70" spans="1:8" x14ac:dyDescent="0.35">
      <c r="A70" t="s">
        <v>5</v>
      </c>
      <c r="B70" t="s">
        <v>12</v>
      </c>
      <c r="C70" t="s">
        <v>9</v>
      </c>
      <c r="D70">
        <v>126</v>
      </c>
      <c r="E70">
        <v>4</v>
      </c>
      <c r="F70">
        <v>3.17</v>
      </c>
      <c r="G70">
        <v>56.24</v>
      </c>
      <c r="H70">
        <v>7086.24</v>
      </c>
    </row>
    <row r="71" spans="1:8" x14ac:dyDescent="0.35">
      <c r="A71" t="s">
        <v>6</v>
      </c>
      <c r="B71" t="s">
        <v>12</v>
      </c>
      <c r="C71" t="s">
        <v>11</v>
      </c>
      <c r="D71">
        <v>85</v>
      </c>
      <c r="E71">
        <v>5</v>
      </c>
      <c r="F71">
        <v>5.88</v>
      </c>
      <c r="G71">
        <v>52.49</v>
      </c>
      <c r="H71">
        <v>4461.6499999999996</v>
      </c>
    </row>
    <row r="72" spans="1:8" x14ac:dyDescent="0.35">
      <c r="A72" t="s">
        <v>5</v>
      </c>
      <c r="B72" t="s">
        <v>12</v>
      </c>
      <c r="C72" t="s">
        <v>9</v>
      </c>
      <c r="D72">
        <v>288</v>
      </c>
      <c r="E72">
        <v>23</v>
      </c>
      <c r="F72">
        <v>7.99</v>
      </c>
      <c r="G72">
        <v>45.6</v>
      </c>
      <c r="H72">
        <v>13132.8</v>
      </c>
    </row>
    <row r="73" spans="1:8" x14ac:dyDescent="0.35">
      <c r="A73" t="s">
        <v>5</v>
      </c>
      <c r="B73" t="s">
        <v>12</v>
      </c>
      <c r="C73" t="s">
        <v>9</v>
      </c>
      <c r="D73">
        <v>198</v>
      </c>
      <c r="E73">
        <v>0</v>
      </c>
      <c r="F73">
        <v>0</v>
      </c>
      <c r="G73">
        <v>26.02</v>
      </c>
      <c r="H73">
        <v>5151.96</v>
      </c>
    </row>
    <row r="74" spans="1:8" x14ac:dyDescent="0.35">
      <c r="A74" t="s">
        <v>6</v>
      </c>
      <c r="B74" t="s">
        <v>12</v>
      </c>
      <c r="C74" t="s">
        <v>9</v>
      </c>
      <c r="D74">
        <v>145</v>
      </c>
      <c r="E74">
        <v>0</v>
      </c>
      <c r="F74">
        <v>0</v>
      </c>
      <c r="G74">
        <v>47.69</v>
      </c>
      <c r="H74">
        <v>6915.05</v>
      </c>
    </row>
    <row r="75" spans="1:8" x14ac:dyDescent="0.35">
      <c r="A75" t="s">
        <v>6</v>
      </c>
      <c r="B75" t="s">
        <v>12</v>
      </c>
      <c r="C75" t="s">
        <v>9</v>
      </c>
      <c r="D75">
        <v>184</v>
      </c>
      <c r="E75">
        <v>11</v>
      </c>
      <c r="F75">
        <v>5.98</v>
      </c>
      <c r="G75">
        <v>41.49</v>
      </c>
      <c r="H75">
        <v>7634.16</v>
      </c>
    </row>
    <row r="76" spans="1:8" x14ac:dyDescent="0.35">
      <c r="A76" t="s">
        <v>8</v>
      </c>
      <c r="B76" t="s">
        <v>12</v>
      </c>
      <c r="C76" t="s">
        <v>9</v>
      </c>
      <c r="D76">
        <v>77</v>
      </c>
      <c r="E76">
        <v>0</v>
      </c>
      <c r="F76">
        <v>0</v>
      </c>
      <c r="G76">
        <v>43.8</v>
      </c>
      <c r="H76">
        <v>3372.6</v>
      </c>
    </row>
    <row r="77" spans="1:8" x14ac:dyDescent="0.35">
      <c r="A77" t="s">
        <v>7</v>
      </c>
      <c r="B77" t="s">
        <v>12</v>
      </c>
      <c r="C77" t="s">
        <v>10</v>
      </c>
      <c r="D77">
        <v>279</v>
      </c>
      <c r="E77">
        <v>25</v>
      </c>
      <c r="F77">
        <v>8.9600000000000009</v>
      </c>
      <c r="G77">
        <v>26.57</v>
      </c>
      <c r="H77">
        <v>7413.03</v>
      </c>
    </row>
    <row r="78" spans="1:8" x14ac:dyDescent="0.35">
      <c r="A78" t="s">
        <v>7</v>
      </c>
      <c r="B78" t="s">
        <v>12</v>
      </c>
      <c r="C78" t="s">
        <v>10</v>
      </c>
      <c r="D78">
        <v>272</v>
      </c>
      <c r="E78">
        <v>13</v>
      </c>
      <c r="F78">
        <v>4.78</v>
      </c>
      <c r="G78">
        <v>10.1</v>
      </c>
      <c r="H78">
        <v>2747.2</v>
      </c>
    </row>
    <row r="79" spans="1:8" x14ac:dyDescent="0.35">
      <c r="A79" t="s">
        <v>5</v>
      </c>
      <c r="B79" t="s">
        <v>12</v>
      </c>
      <c r="C79" t="s">
        <v>9</v>
      </c>
      <c r="D79">
        <v>258</v>
      </c>
      <c r="E79">
        <v>15</v>
      </c>
      <c r="F79">
        <v>5.81</v>
      </c>
      <c r="G79">
        <v>30.53</v>
      </c>
      <c r="H79">
        <v>7876.74</v>
      </c>
    </row>
    <row r="80" spans="1:8" x14ac:dyDescent="0.35">
      <c r="A80" t="s">
        <v>6</v>
      </c>
      <c r="B80" t="s">
        <v>12</v>
      </c>
      <c r="C80" t="s">
        <v>11</v>
      </c>
      <c r="D80">
        <v>195</v>
      </c>
      <c r="E80">
        <v>12</v>
      </c>
      <c r="F80">
        <v>6.15</v>
      </c>
      <c r="G80">
        <v>22.08</v>
      </c>
      <c r="H80">
        <v>4305.6000000000004</v>
      </c>
    </row>
    <row r="81" spans="1:8" x14ac:dyDescent="0.35">
      <c r="A81" t="s">
        <v>5</v>
      </c>
      <c r="B81" t="s">
        <v>12</v>
      </c>
      <c r="C81" t="s">
        <v>9</v>
      </c>
      <c r="D81">
        <v>273</v>
      </c>
      <c r="E81">
        <v>21</v>
      </c>
      <c r="F81">
        <v>7.69</v>
      </c>
      <c r="G81">
        <v>27.32</v>
      </c>
      <c r="H81">
        <v>7458.36</v>
      </c>
    </row>
    <row r="82" spans="1:8" x14ac:dyDescent="0.35">
      <c r="A82" t="s">
        <v>6</v>
      </c>
      <c r="B82" t="s">
        <v>12</v>
      </c>
      <c r="C82" t="s">
        <v>9</v>
      </c>
      <c r="D82">
        <v>257</v>
      </c>
      <c r="E82">
        <v>10</v>
      </c>
      <c r="F82">
        <v>3.89</v>
      </c>
      <c r="G82">
        <v>18.47</v>
      </c>
      <c r="H82">
        <v>4746.79</v>
      </c>
    </row>
    <row r="83" spans="1:8" x14ac:dyDescent="0.35">
      <c r="A83" t="s">
        <v>6</v>
      </c>
      <c r="B83" t="s">
        <v>12</v>
      </c>
      <c r="C83" t="s">
        <v>9</v>
      </c>
      <c r="D83">
        <v>213</v>
      </c>
      <c r="E83">
        <v>17</v>
      </c>
      <c r="F83">
        <v>7.98</v>
      </c>
      <c r="G83">
        <v>31.47</v>
      </c>
      <c r="H83">
        <v>6703.11</v>
      </c>
    </row>
    <row r="84" spans="1:8" x14ac:dyDescent="0.35">
      <c r="A84" t="s">
        <v>6</v>
      </c>
      <c r="B84" t="s">
        <v>12</v>
      </c>
      <c r="C84" t="s">
        <v>11</v>
      </c>
      <c r="D84">
        <v>150</v>
      </c>
      <c r="E84">
        <v>8</v>
      </c>
      <c r="F84">
        <v>5.33</v>
      </c>
      <c r="G84">
        <v>10.220000000000001</v>
      </c>
      <c r="H84">
        <v>1533</v>
      </c>
    </row>
    <row r="85" spans="1:8" x14ac:dyDescent="0.35">
      <c r="A85" t="s">
        <v>6</v>
      </c>
      <c r="B85" t="s">
        <v>12</v>
      </c>
      <c r="C85" t="s">
        <v>9</v>
      </c>
      <c r="D85">
        <v>115</v>
      </c>
      <c r="E85">
        <v>1</v>
      </c>
      <c r="F85">
        <v>0.87</v>
      </c>
      <c r="G85">
        <v>68.92</v>
      </c>
      <c r="H85">
        <v>7925.8</v>
      </c>
    </row>
    <row r="86" spans="1:8" x14ac:dyDescent="0.35">
      <c r="A86" t="s">
        <v>7</v>
      </c>
      <c r="B86" t="s">
        <v>12</v>
      </c>
      <c r="C86" t="s">
        <v>9</v>
      </c>
      <c r="D86">
        <v>93</v>
      </c>
      <c r="E86">
        <v>2</v>
      </c>
      <c r="F86">
        <v>2.15</v>
      </c>
      <c r="G86">
        <v>44.75</v>
      </c>
      <c r="H86">
        <v>4161.75</v>
      </c>
    </row>
    <row r="87" spans="1:8" x14ac:dyDescent="0.35">
      <c r="A87" t="s">
        <v>7</v>
      </c>
      <c r="B87" t="s">
        <v>12</v>
      </c>
      <c r="C87" t="s">
        <v>10</v>
      </c>
      <c r="D87">
        <v>216</v>
      </c>
      <c r="E87">
        <v>10</v>
      </c>
      <c r="F87">
        <v>4.63</v>
      </c>
      <c r="G87">
        <v>7.23</v>
      </c>
      <c r="H87">
        <v>1561.68</v>
      </c>
    </row>
    <row r="88" spans="1:8" x14ac:dyDescent="0.35">
      <c r="A88" t="s">
        <v>6</v>
      </c>
      <c r="B88" t="s">
        <v>12</v>
      </c>
      <c r="C88" t="s">
        <v>9</v>
      </c>
      <c r="D88">
        <v>129</v>
      </c>
      <c r="E88">
        <v>12</v>
      </c>
      <c r="F88">
        <v>9.3000000000000007</v>
      </c>
      <c r="G88">
        <v>67.47</v>
      </c>
      <c r="H88">
        <v>8703.6299999999992</v>
      </c>
    </row>
    <row r="89" spans="1:8" x14ac:dyDescent="0.35">
      <c r="A89" t="s">
        <v>8</v>
      </c>
      <c r="B89" t="s">
        <v>12</v>
      </c>
      <c r="C89" t="s">
        <v>9</v>
      </c>
      <c r="D89">
        <v>251</v>
      </c>
      <c r="E89">
        <v>24</v>
      </c>
      <c r="F89">
        <v>9.56</v>
      </c>
      <c r="G89">
        <v>10.57</v>
      </c>
      <c r="H89">
        <v>2653.07</v>
      </c>
    </row>
    <row r="90" spans="1:8" x14ac:dyDescent="0.35">
      <c r="A90" t="s">
        <v>8</v>
      </c>
      <c r="B90" t="s">
        <v>12</v>
      </c>
      <c r="C90" t="s">
        <v>9</v>
      </c>
      <c r="D90">
        <v>186</v>
      </c>
      <c r="E90">
        <v>16</v>
      </c>
      <c r="F90">
        <v>8.6</v>
      </c>
      <c r="G90">
        <v>66.930000000000007</v>
      </c>
      <c r="H90">
        <v>12448.98</v>
      </c>
    </row>
    <row r="91" spans="1:8" x14ac:dyDescent="0.35">
      <c r="A91" t="s">
        <v>7</v>
      </c>
      <c r="B91" t="s">
        <v>12</v>
      </c>
      <c r="C91" t="s">
        <v>10</v>
      </c>
      <c r="D91">
        <v>179</v>
      </c>
      <c r="E91">
        <v>8</v>
      </c>
      <c r="F91">
        <v>4.47</v>
      </c>
      <c r="G91">
        <v>15.51</v>
      </c>
      <c r="H91">
        <v>2776.29</v>
      </c>
    </row>
    <row r="92" spans="1:8" x14ac:dyDescent="0.35">
      <c r="A92" t="s">
        <v>7</v>
      </c>
      <c r="B92" t="s">
        <v>12</v>
      </c>
      <c r="C92" t="s">
        <v>10</v>
      </c>
      <c r="D92">
        <v>86</v>
      </c>
      <c r="E92">
        <v>5</v>
      </c>
      <c r="F92">
        <v>5.81</v>
      </c>
      <c r="G92">
        <v>41.13</v>
      </c>
      <c r="H92">
        <v>3537.18</v>
      </c>
    </row>
    <row r="93" spans="1:8" x14ac:dyDescent="0.35">
      <c r="A93" t="s">
        <v>7</v>
      </c>
      <c r="B93" t="s">
        <v>12</v>
      </c>
      <c r="C93" t="s">
        <v>9</v>
      </c>
      <c r="D93">
        <v>276</v>
      </c>
      <c r="E93">
        <v>19</v>
      </c>
      <c r="F93">
        <v>6.88</v>
      </c>
      <c r="G93">
        <v>54.69</v>
      </c>
      <c r="H93">
        <v>15094.44</v>
      </c>
    </row>
    <row r="94" spans="1:8" x14ac:dyDescent="0.35">
      <c r="A94" t="s">
        <v>7</v>
      </c>
      <c r="B94" t="s">
        <v>12</v>
      </c>
      <c r="C94" t="s">
        <v>9</v>
      </c>
      <c r="D94">
        <v>118</v>
      </c>
      <c r="E94">
        <v>9</v>
      </c>
      <c r="F94">
        <v>7.63</v>
      </c>
      <c r="G94">
        <v>32.79</v>
      </c>
      <c r="H94">
        <v>3869.22</v>
      </c>
    </row>
    <row r="95" spans="1:8" x14ac:dyDescent="0.35">
      <c r="A95" t="s">
        <v>8</v>
      </c>
      <c r="B95" t="s">
        <v>12</v>
      </c>
      <c r="C95" t="s">
        <v>9</v>
      </c>
      <c r="D95">
        <v>84</v>
      </c>
      <c r="E95">
        <v>4</v>
      </c>
      <c r="F95">
        <v>4.76</v>
      </c>
      <c r="G95">
        <v>26.95</v>
      </c>
      <c r="H95">
        <v>2263.8000000000002</v>
      </c>
    </row>
    <row r="96" spans="1:8" x14ac:dyDescent="0.35">
      <c r="A96" t="s">
        <v>5</v>
      </c>
      <c r="B96" t="s">
        <v>12</v>
      </c>
      <c r="C96" t="s">
        <v>9</v>
      </c>
      <c r="D96">
        <v>124</v>
      </c>
      <c r="E96">
        <v>6</v>
      </c>
      <c r="F96">
        <v>4.84</v>
      </c>
      <c r="G96">
        <v>48.92</v>
      </c>
      <c r="H96">
        <v>6066.08</v>
      </c>
    </row>
    <row r="97" spans="1:8" x14ac:dyDescent="0.35">
      <c r="A97" t="s">
        <v>5</v>
      </c>
      <c r="B97" t="s">
        <v>12</v>
      </c>
      <c r="C97" t="s">
        <v>9</v>
      </c>
      <c r="D97">
        <v>275</v>
      </c>
      <c r="E97">
        <v>20</v>
      </c>
      <c r="F97">
        <v>7.27</v>
      </c>
      <c r="G97">
        <v>9.66</v>
      </c>
      <c r="H97">
        <v>2656.5</v>
      </c>
    </row>
    <row r="98" spans="1:8" x14ac:dyDescent="0.35">
      <c r="A98" t="s">
        <v>8</v>
      </c>
      <c r="B98" t="s">
        <v>12</v>
      </c>
      <c r="C98" t="s">
        <v>9</v>
      </c>
      <c r="D98">
        <v>94</v>
      </c>
      <c r="E98">
        <v>4</v>
      </c>
      <c r="F98">
        <v>4.26</v>
      </c>
      <c r="G98">
        <v>23.68</v>
      </c>
      <c r="H98">
        <v>2225.92</v>
      </c>
    </row>
    <row r="99" spans="1:8" x14ac:dyDescent="0.35">
      <c r="A99" t="s">
        <v>7</v>
      </c>
      <c r="B99" t="s">
        <v>12</v>
      </c>
      <c r="C99" t="s">
        <v>10</v>
      </c>
      <c r="D99">
        <v>285</v>
      </c>
      <c r="E99">
        <v>27</v>
      </c>
      <c r="F99">
        <v>9.4700000000000006</v>
      </c>
      <c r="G99">
        <v>35.9</v>
      </c>
      <c r="H99">
        <v>10231.5</v>
      </c>
    </row>
    <row r="100" spans="1:8" x14ac:dyDescent="0.35">
      <c r="A100" t="s">
        <v>5</v>
      </c>
      <c r="B100" t="s">
        <v>12</v>
      </c>
      <c r="C100" t="s">
        <v>9</v>
      </c>
      <c r="D100">
        <v>138</v>
      </c>
      <c r="E100">
        <v>8</v>
      </c>
      <c r="F100">
        <v>5.8</v>
      </c>
      <c r="G100">
        <v>60.87</v>
      </c>
      <c r="H100">
        <v>8400.06</v>
      </c>
    </row>
    <row r="101" spans="1:8" x14ac:dyDescent="0.35">
      <c r="A101" t="s">
        <v>6</v>
      </c>
      <c r="B101" t="s">
        <v>12</v>
      </c>
      <c r="C101" t="s">
        <v>9</v>
      </c>
      <c r="D101">
        <v>253</v>
      </c>
      <c r="E101">
        <v>0</v>
      </c>
      <c r="F101">
        <v>0</v>
      </c>
      <c r="G101">
        <v>40.299999999999997</v>
      </c>
      <c r="H101">
        <v>10195.9</v>
      </c>
    </row>
    <row r="102" spans="1:8" x14ac:dyDescent="0.35">
      <c r="A102" t="s">
        <v>8</v>
      </c>
      <c r="B102" t="s">
        <v>12</v>
      </c>
      <c r="C102" t="s">
        <v>9</v>
      </c>
      <c r="D102">
        <v>213</v>
      </c>
      <c r="E102">
        <v>2</v>
      </c>
      <c r="F102">
        <v>0.94</v>
      </c>
      <c r="G102">
        <v>29.96</v>
      </c>
      <c r="H102">
        <v>6381.48</v>
      </c>
    </row>
    <row r="103" spans="1:8" x14ac:dyDescent="0.35">
      <c r="A103" t="s">
        <v>7</v>
      </c>
      <c r="B103" t="s">
        <v>12</v>
      </c>
      <c r="C103" t="s">
        <v>9</v>
      </c>
      <c r="D103">
        <v>153</v>
      </c>
      <c r="E103">
        <v>0</v>
      </c>
      <c r="F103">
        <v>0</v>
      </c>
      <c r="G103">
        <v>8.2100000000000009</v>
      </c>
      <c r="H103">
        <v>1256.1300000000001</v>
      </c>
    </row>
    <row r="104" spans="1:8" x14ac:dyDescent="0.35">
      <c r="A104" t="s">
        <v>7</v>
      </c>
      <c r="B104" t="s">
        <v>12</v>
      </c>
      <c r="C104" t="s">
        <v>9</v>
      </c>
      <c r="D104">
        <v>267</v>
      </c>
      <c r="E104">
        <v>4</v>
      </c>
      <c r="F104">
        <v>1.5</v>
      </c>
      <c r="G104">
        <v>45.43</v>
      </c>
      <c r="H104">
        <v>12129.81</v>
      </c>
    </row>
    <row r="105" spans="1:8" x14ac:dyDescent="0.35">
      <c r="A105" t="s">
        <v>6</v>
      </c>
      <c r="B105" t="s">
        <v>12</v>
      </c>
      <c r="C105" t="s">
        <v>11</v>
      </c>
      <c r="D105">
        <v>97</v>
      </c>
      <c r="E105">
        <v>9</v>
      </c>
      <c r="F105">
        <v>9.2799999999999994</v>
      </c>
      <c r="G105">
        <v>21.25</v>
      </c>
      <c r="H105">
        <v>2061.25</v>
      </c>
    </row>
    <row r="106" spans="1:8" x14ac:dyDescent="0.35">
      <c r="A106" t="s">
        <v>6</v>
      </c>
      <c r="B106" t="s">
        <v>12</v>
      </c>
      <c r="C106" t="s">
        <v>9</v>
      </c>
      <c r="D106">
        <v>76</v>
      </c>
      <c r="E106">
        <v>3</v>
      </c>
      <c r="F106">
        <v>3.95</v>
      </c>
      <c r="G106">
        <v>26.25</v>
      </c>
      <c r="H106">
        <v>1995</v>
      </c>
    </row>
    <row r="107" spans="1:8" x14ac:dyDescent="0.35">
      <c r="A107" t="s">
        <v>5</v>
      </c>
      <c r="B107" t="s">
        <v>12</v>
      </c>
      <c r="C107" t="s">
        <v>9</v>
      </c>
      <c r="D107">
        <v>78</v>
      </c>
      <c r="E107">
        <v>7</v>
      </c>
      <c r="F107">
        <v>8.9700000000000006</v>
      </c>
      <c r="G107">
        <v>16.32</v>
      </c>
      <c r="H107">
        <v>1272.96</v>
      </c>
    </row>
    <row r="108" spans="1:8" x14ac:dyDescent="0.35">
      <c r="A108" t="s">
        <v>6</v>
      </c>
      <c r="B108" t="s">
        <v>12</v>
      </c>
      <c r="C108" t="s">
        <v>11</v>
      </c>
      <c r="D108">
        <v>107</v>
      </c>
      <c r="E108">
        <v>8</v>
      </c>
      <c r="F108">
        <v>7.48</v>
      </c>
      <c r="G108">
        <v>10.68</v>
      </c>
      <c r="H108">
        <v>1142.76</v>
      </c>
    </row>
    <row r="109" spans="1:8" x14ac:dyDescent="0.35">
      <c r="A109" t="s">
        <v>6</v>
      </c>
      <c r="B109" t="s">
        <v>12</v>
      </c>
      <c r="C109" t="s">
        <v>11</v>
      </c>
      <c r="D109">
        <v>272</v>
      </c>
      <c r="E109">
        <v>16</v>
      </c>
      <c r="F109">
        <v>5.88</v>
      </c>
      <c r="G109">
        <v>9.7200000000000006</v>
      </c>
      <c r="H109">
        <v>2643.84</v>
      </c>
    </row>
    <row r="110" spans="1:8" x14ac:dyDescent="0.35">
      <c r="A110" t="s">
        <v>7</v>
      </c>
      <c r="B110" t="s">
        <v>12</v>
      </c>
      <c r="C110" t="s">
        <v>10</v>
      </c>
      <c r="D110">
        <v>278</v>
      </c>
      <c r="E110">
        <v>26</v>
      </c>
      <c r="F110">
        <v>9.35</v>
      </c>
      <c r="G110">
        <v>40.520000000000003</v>
      </c>
      <c r="H110">
        <v>11264.56</v>
      </c>
    </row>
    <row r="111" spans="1:8" x14ac:dyDescent="0.35">
      <c r="A111" t="s">
        <v>6</v>
      </c>
      <c r="B111" t="s">
        <v>12</v>
      </c>
      <c r="C111" t="s">
        <v>11</v>
      </c>
      <c r="D111">
        <v>139</v>
      </c>
      <c r="E111">
        <v>13</v>
      </c>
      <c r="F111">
        <v>9.35</v>
      </c>
      <c r="G111">
        <v>63.45</v>
      </c>
      <c r="H111">
        <v>8819.5499999999993</v>
      </c>
    </row>
    <row r="112" spans="1:8" x14ac:dyDescent="0.35">
      <c r="A112" t="s">
        <v>8</v>
      </c>
      <c r="B112" t="s">
        <v>12</v>
      </c>
      <c r="C112" t="s">
        <v>9</v>
      </c>
      <c r="D112">
        <v>171</v>
      </c>
      <c r="E112">
        <v>13</v>
      </c>
      <c r="F112">
        <v>7.6</v>
      </c>
      <c r="G112">
        <v>23.54</v>
      </c>
      <c r="H112">
        <v>4025.34</v>
      </c>
    </row>
    <row r="113" spans="1:8" x14ac:dyDescent="0.35">
      <c r="A113" t="s">
        <v>7</v>
      </c>
      <c r="B113" t="s">
        <v>12</v>
      </c>
      <c r="C113" t="s">
        <v>9</v>
      </c>
      <c r="D113">
        <v>162</v>
      </c>
      <c r="E113">
        <v>2</v>
      </c>
      <c r="F113">
        <v>1.23</v>
      </c>
      <c r="G113">
        <v>42.85</v>
      </c>
      <c r="H113">
        <v>6941.7</v>
      </c>
    </row>
    <row r="114" spans="1:8" x14ac:dyDescent="0.35">
      <c r="A114" t="s">
        <v>7</v>
      </c>
      <c r="B114" t="s">
        <v>12</v>
      </c>
      <c r="C114" t="s">
        <v>10</v>
      </c>
      <c r="D114">
        <v>131</v>
      </c>
      <c r="E114">
        <v>0</v>
      </c>
      <c r="F114">
        <v>0</v>
      </c>
      <c r="G114">
        <v>51.07</v>
      </c>
      <c r="H114">
        <v>6690.17</v>
      </c>
    </row>
    <row r="115" spans="1:8" x14ac:dyDescent="0.35">
      <c r="A115" t="s">
        <v>8</v>
      </c>
      <c r="B115" t="s">
        <v>12</v>
      </c>
      <c r="C115" t="s">
        <v>9</v>
      </c>
      <c r="D115">
        <v>96</v>
      </c>
      <c r="E115">
        <v>0</v>
      </c>
      <c r="F115">
        <v>0</v>
      </c>
      <c r="G115">
        <v>49.42</v>
      </c>
      <c r="H115">
        <v>4744.32</v>
      </c>
    </row>
    <row r="116" spans="1:8" x14ac:dyDescent="0.35">
      <c r="A116" t="s">
        <v>6</v>
      </c>
      <c r="B116" t="s">
        <v>12</v>
      </c>
      <c r="C116" t="s">
        <v>9</v>
      </c>
      <c r="D116">
        <v>217</v>
      </c>
      <c r="E116">
        <v>4</v>
      </c>
      <c r="F116">
        <v>1.84</v>
      </c>
      <c r="G116">
        <v>66.040000000000006</v>
      </c>
      <c r="H116">
        <v>14330.68</v>
      </c>
    </row>
    <row r="117" spans="1:8" x14ac:dyDescent="0.35">
      <c r="A117" t="s">
        <v>7</v>
      </c>
      <c r="B117" t="s">
        <v>12</v>
      </c>
      <c r="C117" t="s">
        <v>10</v>
      </c>
      <c r="D117">
        <v>209</v>
      </c>
      <c r="E117">
        <v>15</v>
      </c>
      <c r="F117">
        <v>7.18</v>
      </c>
      <c r="G117">
        <v>23.28</v>
      </c>
      <c r="H117">
        <v>4865.5200000000004</v>
      </c>
    </row>
    <row r="118" spans="1:8" x14ac:dyDescent="0.35">
      <c r="A118" t="s">
        <v>7</v>
      </c>
      <c r="B118" t="s">
        <v>12</v>
      </c>
      <c r="C118" t="s">
        <v>9</v>
      </c>
      <c r="D118">
        <v>238</v>
      </c>
      <c r="E118">
        <v>11</v>
      </c>
      <c r="F118">
        <v>4.62</v>
      </c>
      <c r="G118">
        <v>55.01</v>
      </c>
      <c r="H118">
        <v>13092.38</v>
      </c>
    </row>
    <row r="119" spans="1:8" x14ac:dyDescent="0.35">
      <c r="A119" t="s">
        <v>7</v>
      </c>
      <c r="B119" t="s">
        <v>12</v>
      </c>
      <c r="C119" t="s">
        <v>9</v>
      </c>
      <c r="D119">
        <v>153</v>
      </c>
      <c r="E119">
        <v>4</v>
      </c>
      <c r="F119">
        <v>2.61</v>
      </c>
      <c r="G119">
        <v>25.17</v>
      </c>
      <c r="H119">
        <v>3851.01</v>
      </c>
    </row>
    <row r="120" spans="1:8" x14ac:dyDescent="0.35">
      <c r="A120" t="s">
        <v>8</v>
      </c>
      <c r="B120" t="s">
        <v>12</v>
      </c>
      <c r="C120" t="s">
        <v>9</v>
      </c>
      <c r="D120">
        <v>205</v>
      </c>
      <c r="E120">
        <v>18</v>
      </c>
      <c r="F120">
        <v>8.7799999999999994</v>
      </c>
      <c r="G120">
        <v>19.25</v>
      </c>
      <c r="H120">
        <v>3946.25</v>
      </c>
    </row>
    <row r="121" spans="1:8" x14ac:dyDescent="0.35">
      <c r="A121" t="s">
        <v>7</v>
      </c>
      <c r="B121" t="s">
        <v>12</v>
      </c>
      <c r="C121" t="s">
        <v>9</v>
      </c>
      <c r="D121">
        <v>131</v>
      </c>
      <c r="E121">
        <v>1</v>
      </c>
      <c r="F121">
        <v>0.76</v>
      </c>
      <c r="G121">
        <v>62.35</v>
      </c>
      <c r="H121">
        <v>8167.85</v>
      </c>
    </row>
    <row r="122" spans="1:8" x14ac:dyDescent="0.35">
      <c r="A122" t="s">
        <v>6</v>
      </c>
      <c r="B122" t="s">
        <v>12</v>
      </c>
      <c r="C122" t="s">
        <v>11</v>
      </c>
      <c r="D122">
        <v>163</v>
      </c>
      <c r="E122">
        <v>7</v>
      </c>
      <c r="F122">
        <v>4.29</v>
      </c>
      <c r="G122">
        <v>59.78</v>
      </c>
      <c r="H122">
        <v>9744.14</v>
      </c>
    </row>
    <row r="123" spans="1:8" x14ac:dyDescent="0.35">
      <c r="A123" t="s">
        <v>8</v>
      </c>
      <c r="B123" t="s">
        <v>12</v>
      </c>
      <c r="C123" t="s">
        <v>9</v>
      </c>
      <c r="D123">
        <v>135</v>
      </c>
      <c r="E123">
        <v>9</v>
      </c>
      <c r="F123">
        <v>6.67</v>
      </c>
      <c r="G123">
        <v>7.41</v>
      </c>
      <c r="H123">
        <v>1000.35</v>
      </c>
    </row>
    <row r="124" spans="1:8" x14ac:dyDescent="0.35">
      <c r="A124" t="s">
        <v>7</v>
      </c>
      <c r="B124" t="s">
        <v>12</v>
      </c>
      <c r="C124" t="s">
        <v>9</v>
      </c>
      <c r="D124">
        <v>209</v>
      </c>
      <c r="E124">
        <v>3</v>
      </c>
      <c r="F124">
        <v>1.44</v>
      </c>
      <c r="G124">
        <v>30.06</v>
      </c>
      <c r="H124">
        <v>6282.54</v>
      </c>
    </row>
    <row r="125" spans="1:8" x14ac:dyDescent="0.35">
      <c r="A125" t="s">
        <v>6</v>
      </c>
      <c r="B125" t="s">
        <v>12</v>
      </c>
      <c r="C125" t="s">
        <v>9</v>
      </c>
      <c r="D125">
        <v>93</v>
      </c>
      <c r="E125">
        <v>8</v>
      </c>
      <c r="F125">
        <v>8.6</v>
      </c>
      <c r="G125">
        <v>40.72</v>
      </c>
      <c r="H125">
        <v>3786.96</v>
      </c>
    </row>
    <row r="126" spans="1:8" x14ac:dyDescent="0.35">
      <c r="A126" t="s">
        <v>7</v>
      </c>
      <c r="B126" t="s">
        <v>12</v>
      </c>
      <c r="C126" t="s">
        <v>9</v>
      </c>
      <c r="D126">
        <v>281</v>
      </c>
      <c r="E126">
        <v>14</v>
      </c>
      <c r="F126">
        <v>4.9800000000000004</v>
      </c>
      <c r="G126">
        <v>44.62</v>
      </c>
      <c r="H126">
        <v>12538.22</v>
      </c>
    </row>
    <row r="127" spans="1:8" x14ac:dyDescent="0.35">
      <c r="A127" t="s">
        <v>7</v>
      </c>
      <c r="B127" t="s">
        <v>12</v>
      </c>
      <c r="C127" t="s">
        <v>9</v>
      </c>
      <c r="D127">
        <v>258</v>
      </c>
      <c r="E127">
        <v>7</v>
      </c>
      <c r="F127">
        <v>2.71</v>
      </c>
      <c r="G127">
        <v>24.29</v>
      </c>
      <c r="H127">
        <v>6266.82</v>
      </c>
    </row>
    <row r="128" spans="1:8" x14ac:dyDescent="0.35">
      <c r="A128" t="s">
        <v>6</v>
      </c>
      <c r="B128" t="s">
        <v>12</v>
      </c>
      <c r="C128" t="s">
        <v>9</v>
      </c>
      <c r="D128">
        <v>291</v>
      </c>
      <c r="E128">
        <v>28</v>
      </c>
      <c r="F128">
        <v>9.6199999999999992</v>
      </c>
      <c r="G128">
        <v>62.76</v>
      </c>
      <c r="H128">
        <v>18263.16</v>
      </c>
    </row>
    <row r="129" spans="1:8" x14ac:dyDescent="0.35">
      <c r="A129" t="s">
        <v>6</v>
      </c>
      <c r="B129" t="s">
        <v>12</v>
      </c>
      <c r="C129" t="s">
        <v>11</v>
      </c>
      <c r="D129">
        <v>82</v>
      </c>
      <c r="E129">
        <v>2</v>
      </c>
      <c r="F129">
        <v>2.44</v>
      </c>
      <c r="G129">
        <v>53.05</v>
      </c>
      <c r="H129">
        <v>4350.1000000000004</v>
      </c>
    </row>
    <row r="130" spans="1:8" x14ac:dyDescent="0.35">
      <c r="A130" t="s">
        <v>6</v>
      </c>
      <c r="B130" t="s">
        <v>12</v>
      </c>
      <c r="C130" t="s">
        <v>11</v>
      </c>
      <c r="D130">
        <v>140</v>
      </c>
      <c r="E130">
        <v>7</v>
      </c>
      <c r="F130">
        <v>5</v>
      </c>
      <c r="G130">
        <v>18.3</v>
      </c>
      <c r="H130">
        <v>2562</v>
      </c>
    </row>
    <row r="131" spans="1:8" x14ac:dyDescent="0.35">
      <c r="A131" t="s">
        <v>6</v>
      </c>
      <c r="B131" t="s">
        <v>12</v>
      </c>
      <c r="C131" t="s">
        <v>9</v>
      </c>
      <c r="D131">
        <v>115</v>
      </c>
      <c r="E131">
        <v>6</v>
      </c>
      <c r="F131">
        <v>5.22</v>
      </c>
      <c r="G131">
        <v>58.1</v>
      </c>
      <c r="H131">
        <v>6681.5</v>
      </c>
    </row>
    <row r="132" spans="1:8" x14ac:dyDescent="0.35">
      <c r="A132" t="s">
        <v>5</v>
      </c>
      <c r="B132" t="s">
        <v>12</v>
      </c>
      <c r="C132" t="s">
        <v>9</v>
      </c>
      <c r="D132">
        <v>268</v>
      </c>
      <c r="E132">
        <v>17</v>
      </c>
      <c r="F132">
        <v>6.34</v>
      </c>
      <c r="G132">
        <v>34.96</v>
      </c>
      <c r="H132">
        <v>9369.2800000000007</v>
      </c>
    </row>
    <row r="133" spans="1:8" x14ac:dyDescent="0.35">
      <c r="A133" t="s">
        <v>7</v>
      </c>
      <c r="B133" t="s">
        <v>12</v>
      </c>
      <c r="C133" t="s">
        <v>10</v>
      </c>
      <c r="D133">
        <v>200</v>
      </c>
      <c r="E133">
        <v>19</v>
      </c>
      <c r="F133">
        <v>9.5</v>
      </c>
      <c r="G133">
        <v>32.409999999999997</v>
      </c>
      <c r="H133">
        <v>6482</v>
      </c>
    </row>
    <row r="134" spans="1:8" x14ac:dyDescent="0.35">
      <c r="A134" t="s">
        <v>7</v>
      </c>
      <c r="B134" t="s">
        <v>12</v>
      </c>
      <c r="C134" t="s">
        <v>9</v>
      </c>
      <c r="D134">
        <v>165</v>
      </c>
      <c r="E134">
        <v>11</v>
      </c>
      <c r="F134">
        <v>6.67</v>
      </c>
      <c r="G134">
        <v>8.92</v>
      </c>
      <c r="H134">
        <v>1471.8</v>
      </c>
    </row>
    <row r="135" spans="1:8" x14ac:dyDescent="0.35">
      <c r="A135" t="s">
        <v>6</v>
      </c>
      <c r="B135" t="s">
        <v>12</v>
      </c>
      <c r="C135" t="s">
        <v>9</v>
      </c>
      <c r="D135">
        <v>133</v>
      </c>
      <c r="E135">
        <v>12</v>
      </c>
      <c r="F135">
        <v>9.02</v>
      </c>
      <c r="G135">
        <v>5.52</v>
      </c>
      <c r="H135">
        <v>734.16</v>
      </c>
    </row>
    <row r="136" spans="1:8" x14ac:dyDescent="0.35">
      <c r="A136" t="s">
        <v>6</v>
      </c>
      <c r="B136" t="s">
        <v>12</v>
      </c>
      <c r="C136" t="s">
        <v>9</v>
      </c>
      <c r="D136">
        <v>60</v>
      </c>
      <c r="E136">
        <v>4</v>
      </c>
      <c r="F136">
        <v>6.67</v>
      </c>
      <c r="G136">
        <v>35.130000000000003</v>
      </c>
      <c r="H136">
        <v>2107.8000000000002</v>
      </c>
    </row>
    <row r="137" spans="1:8" x14ac:dyDescent="0.35">
      <c r="A137" t="s">
        <v>6</v>
      </c>
      <c r="B137" t="s">
        <v>12</v>
      </c>
      <c r="C137" t="s">
        <v>9</v>
      </c>
      <c r="D137">
        <v>194</v>
      </c>
      <c r="E137">
        <v>7</v>
      </c>
      <c r="F137">
        <v>3.61</v>
      </c>
      <c r="G137">
        <v>66.53</v>
      </c>
      <c r="H137">
        <v>12906.82</v>
      </c>
    </row>
    <row r="138" spans="1:8" x14ac:dyDescent="0.35">
      <c r="A138" t="s">
        <v>8</v>
      </c>
      <c r="B138" t="s">
        <v>12</v>
      </c>
      <c r="C138" t="s">
        <v>9</v>
      </c>
      <c r="D138">
        <v>102</v>
      </c>
      <c r="E138">
        <v>7</v>
      </c>
      <c r="F138">
        <v>6.86</v>
      </c>
      <c r="G138">
        <v>43.08</v>
      </c>
      <c r="H138">
        <v>4394.16</v>
      </c>
    </row>
    <row r="139" spans="1:8" x14ac:dyDescent="0.35">
      <c r="A139" t="s">
        <v>7</v>
      </c>
      <c r="B139" t="s">
        <v>12</v>
      </c>
      <c r="C139" t="s">
        <v>9</v>
      </c>
      <c r="D139">
        <v>122</v>
      </c>
      <c r="E139">
        <v>12</v>
      </c>
      <c r="F139">
        <v>9.84</v>
      </c>
      <c r="G139">
        <v>25.87</v>
      </c>
      <c r="H139">
        <v>3156.14</v>
      </c>
    </row>
    <row r="140" spans="1:8" x14ac:dyDescent="0.35">
      <c r="A140" t="s">
        <v>7</v>
      </c>
      <c r="B140" t="s">
        <v>12</v>
      </c>
      <c r="C140" t="s">
        <v>10</v>
      </c>
      <c r="D140">
        <v>122</v>
      </c>
      <c r="E140">
        <v>0</v>
      </c>
      <c r="F140">
        <v>0</v>
      </c>
      <c r="G140">
        <v>38.18</v>
      </c>
      <c r="H140">
        <v>4657.96</v>
      </c>
    </row>
    <row r="141" spans="1:8" x14ac:dyDescent="0.35">
      <c r="A141" t="s">
        <v>8</v>
      </c>
      <c r="B141" t="s">
        <v>12</v>
      </c>
      <c r="C141" t="s">
        <v>9</v>
      </c>
      <c r="D141">
        <v>57</v>
      </c>
      <c r="E141">
        <v>4</v>
      </c>
      <c r="F141">
        <v>7.02</v>
      </c>
      <c r="G141">
        <v>22.43</v>
      </c>
      <c r="H141">
        <v>1278.51</v>
      </c>
    </row>
    <row r="142" spans="1:8" x14ac:dyDescent="0.35">
      <c r="A142" t="s">
        <v>5</v>
      </c>
      <c r="B142" t="s">
        <v>12</v>
      </c>
      <c r="C142" t="s">
        <v>9</v>
      </c>
      <c r="D142">
        <v>244</v>
      </c>
      <c r="E142">
        <v>8</v>
      </c>
      <c r="F142">
        <v>3.28</v>
      </c>
      <c r="G142">
        <v>54.2</v>
      </c>
      <c r="H142">
        <v>13224.8</v>
      </c>
    </row>
    <row r="143" spans="1:8" x14ac:dyDescent="0.35">
      <c r="A143" t="s">
        <v>7</v>
      </c>
      <c r="B143" t="s">
        <v>12</v>
      </c>
      <c r="C143" t="s">
        <v>9</v>
      </c>
      <c r="D143">
        <v>83</v>
      </c>
      <c r="E143">
        <v>7</v>
      </c>
      <c r="F143">
        <v>8.43</v>
      </c>
      <c r="G143">
        <v>48.3</v>
      </c>
      <c r="H143">
        <v>4008.9</v>
      </c>
    </row>
    <row r="144" spans="1:8" x14ac:dyDescent="0.35">
      <c r="A144" t="s">
        <v>7</v>
      </c>
      <c r="B144" t="s">
        <v>12</v>
      </c>
      <c r="C144" t="s">
        <v>9</v>
      </c>
      <c r="D144">
        <v>253</v>
      </c>
      <c r="E144">
        <v>23</v>
      </c>
      <c r="F144">
        <v>9.09</v>
      </c>
      <c r="G144">
        <v>8.6300000000000008</v>
      </c>
      <c r="H144">
        <v>2183.39</v>
      </c>
    </row>
    <row r="145" spans="1:8" x14ac:dyDescent="0.35">
      <c r="A145" t="s">
        <v>7</v>
      </c>
      <c r="B145" t="s">
        <v>12</v>
      </c>
      <c r="C145" t="s">
        <v>10</v>
      </c>
      <c r="D145">
        <v>275</v>
      </c>
      <c r="E145">
        <v>2</v>
      </c>
      <c r="F145">
        <v>0.73</v>
      </c>
      <c r="G145">
        <v>29.26</v>
      </c>
      <c r="H145">
        <v>8046.5</v>
      </c>
    </row>
    <row r="146" spans="1:8" x14ac:dyDescent="0.35">
      <c r="A146" t="s">
        <v>7</v>
      </c>
      <c r="B146" t="s">
        <v>12</v>
      </c>
      <c r="C146" t="s">
        <v>9</v>
      </c>
      <c r="D146">
        <v>163</v>
      </c>
      <c r="E146">
        <v>2</v>
      </c>
      <c r="F146">
        <v>1.23</v>
      </c>
      <c r="G146">
        <v>14.47</v>
      </c>
      <c r="H146">
        <v>2358.61</v>
      </c>
    </row>
    <row r="147" spans="1:8" x14ac:dyDescent="0.35">
      <c r="A147" t="s">
        <v>6</v>
      </c>
      <c r="B147" t="s">
        <v>12</v>
      </c>
      <c r="C147" t="s">
        <v>9</v>
      </c>
      <c r="D147">
        <v>199</v>
      </c>
      <c r="E147">
        <v>5</v>
      </c>
      <c r="F147">
        <v>2.5099999999999998</v>
      </c>
      <c r="G147">
        <v>43.16</v>
      </c>
      <c r="H147">
        <v>8588.84</v>
      </c>
    </row>
    <row r="148" spans="1:8" x14ac:dyDescent="0.35">
      <c r="A148" t="s">
        <v>7</v>
      </c>
      <c r="B148" t="s">
        <v>12</v>
      </c>
      <c r="C148" t="s">
        <v>9</v>
      </c>
      <c r="D148">
        <v>187</v>
      </c>
      <c r="E148">
        <v>18</v>
      </c>
      <c r="F148">
        <v>9.6300000000000008</v>
      </c>
      <c r="G148">
        <v>49.02</v>
      </c>
      <c r="H148">
        <v>9166.74</v>
      </c>
    </row>
    <row r="149" spans="1:8" x14ac:dyDescent="0.35">
      <c r="A149" t="s">
        <v>7</v>
      </c>
      <c r="B149" t="s">
        <v>12</v>
      </c>
      <c r="C149" t="s">
        <v>10</v>
      </c>
      <c r="D149">
        <v>285</v>
      </c>
      <c r="E149">
        <v>2</v>
      </c>
      <c r="F149">
        <v>0.7</v>
      </c>
      <c r="G149">
        <v>45.12</v>
      </c>
      <c r="H149">
        <v>12859.2</v>
      </c>
    </row>
    <row r="150" spans="1:8" x14ac:dyDescent="0.35">
      <c r="A150" t="s">
        <v>8</v>
      </c>
      <c r="B150" t="s">
        <v>12</v>
      </c>
      <c r="C150" t="s">
        <v>9</v>
      </c>
      <c r="D150">
        <v>216</v>
      </c>
      <c r="E150">
        <v>8</v>
      </c>
      <c r="F150">
        <v>3.7</v>
      </c>
      <c r="G150">
        <v>34.54</v>
      </c>
      <c r="H150">
        <v>7460.64</v>
      </c>
    </row>
    <row r="151" spans="1:8" x14ac:dyDescent="0.35">
      <c r="A151" t="s">
        <v>5</v>
      </c>
      <c r="B151" t="s">
        <v>12</v>
      </c>
      <c r="C151" t="s">
        <v>9</v>
      </c>
      <c r="D151">
        <v>201</v>
      </c>
      <c r="E151">
        <v>13</v>
      </c>
      <c r="F151">
        <v>6.47</v>
      </c>
      <c r="G151">
        <v>42.7</v>
      </c>
      <c r="H151">
        <v>8582.7000000000007</v>
      </c>
    </row>
    <row r="152" spans="1:8" x14ac:dyDescent="0.35">
      <c r="A152" t="s">
        <v>5</v>
      </c>
      <c r="B152" t="s">
        <v>12</v>
      </c>
      <c r="C152" t="s">
        <v>9</v>
      </c>
      <c r="D152">
        <v>145</v>
      </c>
      <c r="E152">
        <v>13</v>
      </c>
      <c r="F152">
        <v>8.9700000000000006</v>
      </c>
      <c r="G152">
        <v>56.4</v>
      </c>
      <c r="H152">
        <v>8178</v>
      </c>
    </row>
    <row r="153" spans="1:8" x14ac:dyDescent="0.35">
      <c r="A153" t="s">
        <v>6</v>
      </c>
      <c r="B153" t="s">
        <v>12</v>
      </c>
      <c r="C153" t="s">
        <v>11</v>
      </c>
      <c r="D153">
        <v>216</v>
      </c>
      <c r="E153">
        <v>8</v>
      </c>
      <c r="F153">
        <v>3.7</v>
      </c>
      <c r="G153">
        <v>64.709999999999994</v>
      </c>
      <c r="H153">
        <v>13977.36</v>
      </c>
    </row>
    <row r="154" spans="1:8" x14ac:dyDescent="0.35">
      <c r="A154" t="s">
        <v>7</v>
      </c>
      <c r="B154" t="s">
        <v>12</v>
      </c>
      <c r="C154" t="s">
        <v>10</v>
      </c>
      <c r="D154">
        <v>85</v>
      </c>
      <c r="E154">
        <v>1</v>
      </c>
      <c r="F154">
        <v>1.18</v>
      </c>
      <c r="G154">
        <v>68.62</v>
      </c>
      <c r="H154">
        <v>5832.7</v>
      </c>
    </row>
    <row r="155" spans="1:8" x14ac:dyDescent="0.35">
      <c r="A155" t="s">
        <v>7</v>
      </c>
      <c r="B155" t="s">
        <v>12</v>
      </c>
      <c r="C155" t="s">
        <v>10</v>
      </c>
      <c r="D155">
        <v>198</v>
      </c>
      <c r="E155">
        <v>17</v>
      </c>
      <c r="F155">
        <v>8.59</v>
      </c>
      <c r="G155">
        <v>21.05</v>
      </c>
      <c r="H155">
        <v>4167.8999999999996</v>
      </c>
    </row>
    <row r="156" spans="1:8" x14ac:dyDescent="0.35">
      <c r="A156" t="s">
        <v>5</v>
      </c>
      <c r="B156" t="s">
        <v>12</v>
      </c>
      <c r="C156" t="s">
        <v>9</v>
      </c>
      <c r="D156">
        <v>254</v>
      </c>
      <c r="E156">
        <v>6</v>
      </c>
      <c r="F156">
        <v>2.36</v>
      </c>
      <c r="G156">
        <v>61.12</v>
      </c>
      <c r="H156">
        <v>15524.48</v>
      </c>
    </row>
    <row r="157" spans="1:8" x14ac:dyDescent="0.35">
      <c r="A157" t="s">
        <v>7</v>
      </c>
      <c r="B157" t="s">
        <v>12</v>
      </c>
      <c r="C157" t="s">
        <v>10</v>
      </c>
      <c r="D157">
        <v>95</v>
      </c>
      <c r="E157">
        <v>4</v>
      </c>
      <c r="F157">
        <v>4.21</v>
      </c>
      <c r="G157">
        <v>16.64</v>
      </c>
      <c r="H157">
        <v>1580.8</v>
      </c>
    </row>
    <row r="158" spans="1:8" x14ac:dyDescent="0.35">
      <c r="A158" t="s">
        <v>7</v>
      </c>
      <c r="B158" t="s">
        <v>12</v>
      </c>
      <c r="C158" t="s">
        <v>9</v>
      </c>
      <c r="D158">
        <v>241</v>
      </c>
      <c r="E158">
        <v>21</v>
      </c>
      <c r="F158">
        <v>8.7100000000000009</v>
      </c>
      <c r="G158">
        <v>6.33</v>
      </c>
      <c r="H158">
        <v>1525.53</v>
      </c>
    </row>
    <row r="159" spans="1:8" x14ac:dyDescent="0.35">
      <c r="A159" t="s">
        <v>5</v>
      </c>
      <c r="B159" t="s">
        <v>12</v>
      </c>
      <c r="C159" t="s">
        <v>9</v>
      </c>
      <c r="D159">
        <v>76</v>
      </c>
      <c r="E159">
        <v>5</v>
      </c>
      <c r="F159">
        <v>6.58</v>
      </c>
      <c r="G159">
        <v>59.72</v>
      </c>
      <c r="H159">
        <v>4538.72</v>
      </c>
    </row>
    <row r="160" spans="1:8" x14ac:dyDescent="0.35">
      <c r="A160" t="s">
        <v>5</v>
      </c>
      <c r="B160" t="s">
        <v>12</v>
      </c>
      <c r="C160" t="s">
        <v>9</v>
      </c>
      <c r="D160">
        <v>222</v>
      </c>
      <c r="E160">
        <v>19</v>
      </c>
      <c r="F160">
        <v>8.56</v>
      </c>
      <c r="G160">
        <v>13.6</v>
      </c>
      <c r="H160">
        <v>3019.2</v>
      </c>
    </row>
    <row r="161" spans="1:8" x14ac:dyDescent="0.35">
      <c r="A161" t="s">
        <v>5</v>
      </c>
      <c r="B161" t="s">
        <v>12</v>
      </c>
      <c r="C161" t="s">
        <v>9</v>
      </c>
      <c r="D161">
        <v>187</v>
      </c>
      <c r="E161">
        <v>0</v>
      </c>
      <c r="F161">
        <v>0</v>
      </c>
      <c r="G161">
        <v>7.96</v>
      </c>
      <c r="H161">
        <v>1488.52</v>
      </c>
    </row>
    <row r="162" spans="1:8" x14ac:dyDescent="0.35">
      <c r="A162" t="s">
        <v>7</v>
      </c>
      <c r="B162" t="s">
        <v>12</v>
      </c>
      <c r="C162" t="s">
        <v>9</v>
      </c>
      <c r="D162">
        <v>256</v>
      </c>
      <c r="E162">
        <v>20</v>
      </c>
      <c r="F162">
        <v>7.81</v>
      </c>
      <c r="G162">
        <v>26.97</v>
      </c>
      <c r="H162">
        <v>6904.32</v>
      </c>
    </row>
    <row r="163" spans="1:8" x14ac:dyDescent="0.35">
      <c r="A163" t="s">
        <v>6</v>
      </c>
      <c r="B163" t="s">
        <v>12</v>
      </c>
      <c r="C163" t="s">
        <v>11</v>
      </c>
      <c r="D163">
        <v>126</v>
      </c>
      <c r="E163">
        <v>4</v>
      </c>
      <c r="F163">
        <v>3.17</v>
      </c>
      <c r="G163">
        <v>47.08</v>
      </c>
      <c r="H163">
        <v>5932.08</v>
      </c>
    </row>
    <row r="164" spans="1:8" x14ac:dyDescent="0.35">
      <c r="A164" t="s">
        <v>7</v>
      </c>
      <c r="B164" t="s">
        <v>12</v>
      </c>
      <c r="C164" t="s">
        <v>9</v>
      </c>
      <c r="D164">
        <v>209</v>
      </c>
      <c r="E164">
        <v>9</v>
      </c>
      <c r="F164">
        <v>4.3099999999999996</v>
      </c>
      <c r="G164">
        <v>66.680000000000007</v>
      </c>
      <c r="H164">
        <v>13936.12</v>
      </c>
    </row>
    <row r="165" spans="1:8" x14ac:dyDescent="0.35">
      <c r="A165" t="s">
        <v>6</v>
      </c>
      <c r="B165" t="s">
        <v>12</v>
      </c>
      <c r="C165" t="s">
        <v>11</v>
      </c>
      <c r="D165">
        <v>234</v>
      </c>
      <c r="E165">
        <v>10</v>
      </c>
      <c r="F165">
        <v>4.2699999999999996</v>
      </c>
      <c r="G165">
        <v>54.79</v>
      </c>
      <c r="H165">
        <v>12820.86</v>
      </c>
    </row>
    <row r="166" spans="1:8" x14ac:dyDescent="0.35">
      <c r="A166" t="s">
        <v>7</v>
      </c>
      <c r="B166" t="s">
        <v>12</v>
      </c>
      <c r="C166" t="s">
        <v>10</v>
      </c>
      <c r="D166">
        <v>182</v>
      </c>
      <c r="E166">
        <v>13</v>
      </c>
      <c r="F166">
        <v>7.14</v>
      </c>
      <c r="G166">
        <v>51.46</v>
      </c>
      <c r="H166">
        <v>9365.7199999999993</v>
      </c>
    </row>
    <row r="167" spans="1:8" x14ac:dyDescent="0.35">
      <c r="A167" t="s">
        <v>6</v>
      </c>
      <c r="B167" t="s">
        <v>12</v>
      </c>
      <c r="C167" t="s">
        <v>9</v>
      </c>
      <c r="D167">
        <v>283</v>
      </c>
      <c r="E167">
        <v>5</v>
      </c>
      <c r="F167">
        <v>1.77</v>
      </c>
      <c r="G167">
        <v>33.96</v>
      </c>
      <c r="H167">
        <v>9610.68</v>
      </c>
    </row>
    <row r="168" spans="1:8" x14ac:dyDescent="0.35">
      <c r="A168" t="s">
        <v>5</v>
      </c>
      <c r="B168" t="s">
        <v>12</v>
      </c>
      <c r="C168" t="s">
        <v>9</v>
      </c>
      <c r="D168">
        <v>115</v>
      </c>
      <c r="E168">
        <v>7</v>
      </c>
      <c r="F168">
        <v>6.09</v>
      </c>
      <c r="G168">
        <v>67.06</v>
      </c>
      <c r="H168">
        <v>7711.9</v>
      </c>
    </row>
    <row r="169" spans="1:8" x14ac:dyDescent="0.35">
      <c r="A169" t="s">
        <v>7</v>
      </c>
      <c r="B169" t="s">
        <v>12</v>
      </c>
      <c r="C169" t="s">
        <v>10</v>
      </c>
      <c r="D169">
        <v>219</v>
      </c>
      <c r="E169">
        <v>6</v>
      </c>
      <c r="F169">
        <v>2.74</v>
      </c>
      <c r="G169">
        <v>61.16</v>
      </c>
      <c r="H169">
        <v>13394.04</v>
      </c>
    </row>
    <row r="170" spans="1:8" x14ac:dyDescent="0.35">
      <c r="A170" t="s">
        <v>8</v>
      </c>
      <c r="B170" t="s">
        <v>12</v>
      </c>
      <c r="C170" t="s">
        <v>9</v>
      </c>
      <c r="D170">
        <v>276</v>
      </c>
      <c r="E170">
        <v>19</v>
      </c>
      <c r="F170">
        <v>6.88</v>
      </c>
      <c r="G170">
        <v>61.78</v>
      </c>
      <c r="H170">
        <v>17051.28</v>
      </c>
    </row>
    <row r="171" spans="1:8" x14ac:dyDescent="0.35">
      <c r="A171" t="s">
        <v>7</v>
      </c>
      <c r="B171" t="s">
        <v>12</v>
      </c>
      <c r="C171" t="s">
        <v>10</v>
      </c>
      <c r="D171">
        <v>174</v>
      </c>
      <c r="E171">
        <v>15</v>
      </c>
      <c r="F171">
        <v>8.6199999999999992</v>
      </c>
      <c r="G171">
        <v>61.07</v>
      </c>
      <c r="H171">
        <v>10626.18</v>
      </c>
    </row>
    <row r="172" spans="1:8" x14ac:dyDescent="0.35">
      <c r="A172" t="s">
        <v>6</v>
      </c>
      <c r="B172" t="s">
        <v>12</v>
      </c>
      <c r="C172" t="s">
        <v>11</v>
      </c>
      <c r="D172">
        <v>92</v>
      </c>
      <c r="E172">
        <v>2</v>
      </c>
      <c r="F172">
        <v>2.17</v>
      </c>
      <c r="G172">
        <v>67.180000000000007</v>
      </c>
      <c r="H172">
        <v>6180.56</v>
      </c>
    </row>
    <row r="173" spans="1:8" x14ac:dyDescent="0.35">
      <c r="A173" t="s">
        <v>6</v>
      </c>
      <c r="B173" t="s">
        <v>12</v>
      </c>
      <c r="C173" t="s">
        <v>9</v>
      </c>
      <c r="D173">
        <v>240</v>
      </c>
      <c r="E173">
        <v>17</v>
      </c>
      <c r="F173">
        <v>7.08</v>
      </c>
      <c r="G173">
        <v>66.33</v>
      </c>
      <c r="H173">
        <v>15919.2</v>
      </c>
    </row>
    <row r="174" spans="1:8" x14ac:dyDescent="0.35">
      <c r="A174" t="s">
        <v>7</v>
      </c>
      <c r="B174" t="s">
        <v>12</v>
      </c>
      <c r="C174" t="s">
        <v>9</v>
      </c>
      <c r="D174">
        <v>141</v>
      </c>
      <c r="E174">
        <v>7</v>
      </c>
      <c r="F174">
        <v>4.96</v>
      </c>
      <c r="G174">
        <v>34.72</v>
      </c>
      <c r="H174">
        <v>4895.5200000000004</v>
      </c>
    </row>
    <row r="175" spans="1:8" x14ac:dyDescent="0.35">
      <c r="A175" t="s">
        <v>5</v>
      </c>
      <c r="B175" t="s">
        <v>12</v>
      </c>
      <c r="C175" t="s">
        <v>9</v>
      </c>
      <c r="D175">
        <v>263</v>
      </c>
      <c r="E175">
        <v>10</v>
      </c>
      <c r="F175">
        <v>3.8</v>
      </c>
      <c r="G175">
        <v>14.55</v>
      </c>
      <c r="H175">
        <v>3826.65</v>
      </c>
    </row>
    <row r="176" spans="1:8" x14ac:dyDescent="0.35">
      <c r="A176" t="s">
        <v>7</v>
      </c>
      <c r="B176" t="s">
        <v>12</v>
      </c>
      <c r="C176" t="s">
        <v>10</v>
      </c>
      <c r="D176">
        <v>93</v>
      </c>
      <c r="E176">
        <v>7</v>
      </c>
      <c r="F176">
        <v>7.53</v>
      </c>
      <c r="G176">
        <v>11.88</v>
      </c>
      <c r="H176">
        <v>1104.8399999999999</v>
      </c>
    </row>
    <row r="177" spans="1:8" x14ac:dyDescent="0.35">
      <c r="A177" t="s">
        <v>6</v>
      </c>
      <c r="B177" t="s">
        <v>12</v>
      </c>
      <c r="C177" t="s">
        <v>9</v>
      </c>
      <c r="D177">
        <v>172</v>
      </c>
      <c r="E177">
        <v>1</v>
      </c>
      <c r="F177">
        <v>0.57999999999999996</v>
      </c>
      <c r="G177">
        <v>30.32</v>
      </c>
      <c r="H177">
        <v>5215.04</v>
      </c>
    </row>
    <row r="178" spans="1:8" x14ac:dyDescent="0.35">
      <c r="A178" t="s">
        <v>5</v>
      </c>
      <c r="B178" t="s">
        <v>12</v>
      </c>
      <c r="C178" t="s">
        <v>9</v>
      </c>
      <c r="D178">
        <v>228</v>
      </c>
      <c r="E178">
        <v>19</v>
      </c>
      <c r="F178">
        <v>8.33</v>
      </c>
      <c r="G178">
        <v>63.05</v>
      </c>
      <c r="H178">
        <v>14375.4</v>
      </c>
    </row>
    <row r="179" spans="1:8" x14ac:dyDescent="0.35">
      <c r="A179" t="s">
        <v>7</v>
      </c>
      <c r="B179" t="s">
        <v>12</v>
      </c>
      <c r="C179" t="s">
        <v>9</v>
      </c>
      <c r="D179">
        <v>300</v>
      </c>
      <c r="E179">
        <v>21</v>
      </c>
      <c r="F179">
        <v>7</v>
      </c>
      <c r="G179">
        <v>66.75</v>
      </c>
      <c r="H179">
        <v>20025</v>
      </c>
    </row>
    <row r="180" spans="1:8" x14ac:dyDescent="0.35">
      <c r="A180" t="s">
        <v>5</v>
      </c>
      <c r="B180" t="s">
        <v>12</v>
      </c>
      <c r="C180" t="s">
        <v>9</v>
      </c>
      <c r="D180">
        <v>292</v>
      </c>
      <c r="E180">
        <v>13</v>
      </c>
      <c r="F180">
        <v>4.45</v>
      </c>
      <c r="G180">
        <v>49.72</v>
      </c>
      <c r="H180">
        <v>14518.24</v>
      </c>
    </row>
    <row r="181" spans="1:8" x14ac:dyDescent="0.35">
      <c r="A181" t="s">
        <v>7</v>
      </c>
      <c r="B181" t="s">
        <v>12</v>
      </c>
      <c r="C181" t="s">
        <v>9</v>
      </c>
      <c r="D181">
        <v>61</v>
      </c>
      <c r="E181">
        <v>6</v>
      </c>
      <c r="F181">
        <v>9.84</v>
      </c>
      <c r="G181">
        <v>67.73</v>
      </c>
      <c r="H181">
        <v>4131.53</v>
      </c>
    </row>
    <row r="182" spans="1:8" x14ac:dyDescent="0.35">
      <c r="A182" t="s">
        <v>5</v>
      </c>
      <c r="B182" t="s">
        <v>12</v>
      </c>
      <c r="C182" t="s">
        <v>9</v>
      </c>
      <c r="D182">
        <v>215</v>
      </c>
      <c r="E182">
        <v>19</v>
      </c>
      <c r="F182">
        <v>8.84</v>
      </c>
      <c r="G182">
        <v>5.07</v>
      </c>
      <c r="H182">
        <v>1090.05</v>
      </c>
    </row>
    <row r="183" spans="1:8" x14ac:dyDescent="0.35">
      <c r="A183" t="s">
        <v>6</v>
      </c>
      <c r="B183" t="s">
        <v>12</v>
      </c>
      <c r="C183" t="s">
        <v>11</v>
      </c>
      <c r="D183">
        <v>264</v>
      </c>
      <c r="E183">
        <v>3</v>
      </c>
      <c r="F183">
        <v>1.1399999999999999</v>
      </c>
      <c r="G183">
        <v>69.739999999999995</v>
      </c>
      <c r="H183">
        <v>18411.36</v>
      </c>
    </row>
    <row r="184" spans="1:8" x14ac:dyDescent="0.35">
      <c r="A184" t="s">
        <v>8</v>
      </c>
      <c r="B184" t="s">
        <v>12</v>
      </c>
      <c r="C184" t="s">
        <v>9</v>
      </c>
      <c r="D184">
        <v>276</v>
      </c>
      <c r="E184">
        <v>5</v>
      </c>
      <c r="F184">
        <v>1.81</v>
      </c>
      <c r="G184">
        <v>31.01</v>
      </c>
      <c r="H184">
        <v>8558.76</v>
      </c>
    </row>
    <row r="185" spans="1:8" x14ac:dyDescent="0.35">
      <c r="A185" t="s">
        <v>6</v>
      </c>
      <c r="B185" t="s">
        <v>12</v>
      </c>
      <c r="C185" t="s">
        <v>11</v>
      </c>
      <c r="D185">
        <v>88</v>
      </c>
      <c r="E185">
        <v>2</v>
      </c>
      <c r="F185">
        <v>2.27</v>
      </c>
      <c r="G185">
        <v>40.68</v>
      </c>
      <c r="H185">
        <v>3579.84</v>
      </c>
    </row>
    <row r="186" spans="1:8" x14ac:dyDescent="0.35">
      <c r="A186" t="s">
        <v>6</v>
      </c>
      <c r="B186" t="s">
        <v>12</v>
      </c>
      <c r="C186" t="s">
        <v>9</v>
      </c>
      <c r="D186">
        <v>186</v>
      </c>
      <c r="E186">
        <v>4</v>
      </c>
      <c r="F186">
        <v>2.15</v>
      </c>
      <c r="G186">
        <v>30.28</v>
      </c>
      <c r="H186">
        <v>5632.08</v>
      </c>
    </row>
    <row r="187" spans="1:8" x14ac:dyDescent="0.35">
      <c r="A187" t="s">
        <v>7</v>
      </c>
      <c r="B187" t="s">
        <v>12</v>
      </c>
      <c r="C187" t="s">
        <v>10</v>
      </c>
      <c r="D187">
        <v>117</v>
      </c>
      <c r="E187">
        <v>2</v>
      </c>
      <c r="F187">
        <v>1.71</v>
      </c>
      <c r="G187">
        <v>46.25</v>
      </c>
      <c r="H187">
        <v>5411.25</v>
      </c>
    </row>
    <row r="188" spans="1:8" x14ac:dyDescent="0.35">
      <c r="A188" t="s">
        <v>6</v>
      </c>
      <c r="B188" t="s">
        <v>12</v>
      </c>
      <c r="C188" t="s">
        <v>9</v>
      </c>
      <c r="D188">
        <v>219</v>
      </c>
      <c r="E188">
        <v>13</v>
      </c>
      <c r="F188">
        <v>5.94</v>
      </c>
      <c r="G188">
        <v>33.14</v>
      </c>
      <c r="H188">
        <v>7257.66</v>
      </c>
    </row>
    <row r="189" spans="1:8" x14ac:dyDescent="0.35">
      <c r="A189" t="s">
        <v>5</v>
      </c>
      <c r="B189" t="s">
        <v>12</v>
      </c>
      <c r="C189" t="s">
        <v>9</v>
      </c>
      <c r="D189">
        <v>166</v>
      </c>
      <c r="E189">
        <v>12</v>
      </c>
      <c r="F189">
        <v>7.23</v>
      </c>
      <c r="G189">
        <v>51.31</v>
      </c>
      <c r="H189">
        <v>8517.4599999999991</v>
      </c>
    </row>
    <row r="190" spans="1:8" x14ac:dyDescent="0.35">
      <c r="A190" t="s">
        <v>7</v>
      </c>
      <c r="B190" t="s">
        <v>12</v>
      </c>
      <c r="C190" t="s">
        <v>9</v>
      </c>
      <c r="D190">
        <v>88</v>
      </c>
      <c r="E190">
        <v>2</v>
      </c>
      <c r="F190">
        <v>2.27</v>
      </c>
      <c r="G190">
        <v>22.35</v>
      </c>
      <c r="H190">
        <v>1966.8</v>
      </c>
    </row>
    <row r="191" spans="1:8" x14ac:dyDescent="0.35">
      <c r="A191" t="s">
        <v>5</v>
      </c>
      <c r="B191" t="s">
        <v>12</v>
      </c>
      <c r="C191" t="s">
        <v>9</v>
      </c>
      <c r="D191">
        <v>153</v>
      </c>
      <c r="E191">
        <v>1</v>
      </c>
      <c r="F191">
        <v>0.65</v>
      </c>
      <c r="G191">
        <v>8.0399999999999991</v>
      </c>
      <c r="H191">
        <v>1230.1199999999999</v>
      </c>
    </row>
    <row r="192" spans="1:8" x14ac:dyDescent="0.35">
      <c r="A192" t="s">
        <v>7</v>
      </c>
      <c r="B192" t="s">
        <v>12</v>
      </c>
      <c r="C192" t="s">
        <v>10</v>
      </c>
      <c r="D192">
        <v>227</v>
      </c>
      <c r="E192">
        <v>14</v>
      </c>
      <c r="F192">
        <v>6.17</v>
      </c>
      <c r="G192">
        <v>37.24</v>
      </c>
      <c r="H192">
        <v>8453.48</v>
      </c>
    </row>
    <row r="193" spans="1:8" x14ac:dyDescent="0.35">
      <c r="A193" t="s">
        <v>8</v>
      </c>
      <c r="B193" t="s">
        <v>12</v>
      </c>
      <c r="C193" t="s">
        <v>9</v>
      </c>
      <c r="D193">
        <v>251</v>
      </c>
      <c r="E193">
        <v>24</v>
      </c>
      <c r="F193">
        <v>9.56</v>
      </c>
      <c r="G193">
        <v>32.729999999999997</v>
      </c>
      <c r="H193">
        <v>8215.23</v>
      </c>
    </row>
    <row r="194" spans="1:8" x14ac:dyDescent="0.35">
      <c r="A194" t="s">
        <v>6</v>
      </c>
      <c r="B194" t="s">
        <v>12</v>
      </c>
      <c r="C194" t="s">
        <v>9</v>
      </c>
      <c r="D194">
        <v>279</v>
      </c>
      <c r="E194">
        <v>18</v>
      </c>
      <c r="F194">
        <v>6.45</v>
      </c>
      <c r="G194">
        <v>67.38</v>
      </c>
      <c r="H194">
        <v>18799.02</v>
      </c>
    </row>
    <row r="195" spans="1:8" x14ac:dyDescent="0.35">
      <c r="A195" t="s">
        <v>8</v>
      </c>
      <c r="B195" t="s">
        <v>12</v>
      </c>
      <c r="C195" t="s">
        <v>9</v>
      </c>
      <c r="D195">
        <v>60</v>
      </c>
      <c r="E195">
        <v>0</v>
      </c>
      <c r="F195">
        <v>0</v>
      </c>
      <c r="G195">
        <v>68.69</v>
      </c>
      <c r="H195">
        <v>4121.3999999999996</v>
      </c>
    </row>
    <row r="196" spans="1:8" x14ac:dyDescent="0.35">
      <c r="A196" t="s">
        <v>8</v>
      </c>
      <c r="B196" t="s">
        <v>12</v>
      </c>
      <c r="C196" t="s">
        <v>9</v>
      </c>
      <c r="D196">
        <v>203</v>
      </c>
      <c r="E196">
        <v>10</v>
      </c>
      <c r="F196">
        <v>4.93</v>
      </c>
      <c r="G196">
        <v>11.47</v>
      </c>
      <c r="H196">
        <v>2328.41</v>
      </c>
    </row>
    <row r="197" spans="1:8" x14ac:dyDescent="0.35">
      <c r="A197" t="s">
        <v>8</v>
      </c>
      <c r="B197" t="s">
        <v>12</v>
      </c>
      <c r="C197" t="s">
        <v>9</v>
      </c>
      <c r="D197">
        <v>51</v>
      </c>
      <c r="E197">
        <v>3</v>
      </c>
      <c r="F197">
        <v>5.88</v>
      </c>
      <c r="G197">
        <v>37.659999999999997</v>
      </c>
      <c r="H197">
        <v>1920.66</v>
      </c>
    </row>
    <row r="198" spans="1:8" x14ac:dyDescent="0.35">
      <c r="A198" t="s">
        <v>5</v>
      </c>
      <c r="B198" t="s">
        <v>12</v>
      </c>
      <c r="C198" t="s">
        <v>9</v>
      </c>
      <c r="D198">
        <v>245</v>
      </c>
      <c r="E198">
        <v>20</v>
      </c>
      <c r="F198">
        <v>8.16</v>
      </c>
      <c r="G198">
        <v>31.91</v>
      </c>
      <c r="H198">
        <v>7817.95</v>
      </c>
    </row>
    <row r="199" spans="1:8" x14ac:dyDescent="0.35">
      <c r="A199" t="s">
        <v>8</v>
      </c>
      <c r="B199" t="s">
        <v>12</v>
      </c>
      <c r="C199" t="s">
        <v>9</v>
      </c>
      <c r="D199">
        <v>107</v>
      </c>
      <c r="E199">
        <v>9</v>
      </c>
      <c r="F199">
        <v>8.41</v>
      </c>
      <c r="G199">
        <v>54.6</v>
      </c>
      <c r="H199">
        <v>5842.2</v>
      </c>
    </row>
    <row r="200" spans="1:8" x14ac:dyDescent="0.35">
      <c r="A200" t="s">
        <v>7</v>
      </c>
      <c r="B200" t="s">
        <v>12</v>
      </c>
      <c r="C200" t="s">
        <v>10</v>
      </c>
      <c r="D200">
        <v>109</v>
      </c>
      <c r="E200">
        <v>8</v>
      </c>
      <c r="F200">
        <v>7.34</v>
      </c>
      <c r="G200">
        <v>68.92</v>
      </c>
      <c r="H200">
        <v>7512.28</v>
      </c>
    </row>
    <row r="201" spans="1:8" x14ac:dyDescent="0.35">
      <c r="A201" t="s">
        <v>5</v>
      </c>
      <c r="B201" t="s">
        <v>12</v>
      </c>
      <c r="C201" t="s">
        <v>9</v>
      </c>
      <c r="D201">
        <v>179</v>
      </c>
      <c r="E201">
        <v>5</v>
      </c>
      <c r="F201">
        <v>2.79</v>
      </c>
      <c r="G201">
        <v>30.99</v>
      </c>
      <c r="H201">
        <v>5547.21</v>
      </c>
    </row>
    <row r="202" spans="1:8" x14ac:dyDescent="0.35">
      <c r="A202" t="s">
        <v>5</v>
      </c>
      <c r="B202" t="s">
        <v>12</v>
      </c>
      <c r="C202" t="s">
        <v>9</v>
      </c>
      <c r="D202">
        <v>61</v>
      </c>
      <c r="E202">
        <v>5</v>
      </c>
      <c r="F202">
        <v>8.1999999999999993</v>
      </c>
      <c r="G202">
        <v>20</v>
      </c>
      <c r="H202">
        <v>1220</v>
      </c>
    </row>
    <row r="203" spans="1:8" x14ac:dyDescent="0.35">
      <c r="A203" t="s">
        <v>7</v>
      </c>
      <c r="B203" t="s">
        <v>12</v>
      </c>
      <c r="C203" t="s">
        <v>10</v>
      </c>
      <c r="D203">
        <v>182</v>
      </c>
      <c r="E203">
        <v>16</v>
      </c>
      <c r="F203">
        <v>8.7899999999999991</v>
      </c>
      <c r="G203">
        <v>63.14</v>
      </c>
      <c r="H203">
        <v>11491.48</v>
      </c>
    </row>
    <row r="204" spans="1:8" x14ac:dyDescent="0.35">
      <c r="A204" t="s">
        <v>7</v>
      </c>
      <c r="B204" t="s">
        <v>12</v>
      </c>
      <c r="C204" t="s">
        <v>10</v>
      </c>
      <c r="D204">
        <v>229</v>
      </c>
      <c r="E204">
        <v>12</v>
      </c>
      <c r="F204">
        <v>5.24</v>
      </c>
      <c r="G204">
        <v>24.12</v>
      </c>
      <c r="H204">
        <v>5523.48</v>
      </c>
    </row>
    <row r="205" spans="1:8" x14ac:dyDescent="0.35">
      <c r="A205" t="s">
        <v>8</v>
      </c>
      <c r="B205" t="s">
        <v>12</v>
      </c>
      <c r="C205" t="s">
        <v>9</v>
      </c>
      <c r="D205">
        <v>177</v>
      </c>
      <c r="E205">
        <v>10</v>
      </c>
      <c r="F205">
        <v>5.65</v>
      </c>
      <c r="G205">
        <v>68.27</v>
      </c>
      <c r="H205">
        <v>12083.79</v>
      </c>
    </row>
    <row r="206" spans="1:8" x14ac:dyDescent="0.35">
      <c r="A206" t="s">
        <v>8</v>
      </c>
      <c r="B206" t="s">
        <v>12</v>
      </c>
      <c r="C206" t="s">
        <v>9</v>
      </c>
      <c r="D206">
        <v>163</v>
      </c>
      <c r="E206">
        <v>6</v>
      </c>
      <c r="F206">
        <v>3.68</v>
      </c>
      <c r="G206">
        <v>33.6</v>
      </c>
      <c r="H206">
        <v>5476.8</v>
      </c>
    </row>
    <row r="207" spans="1:8" x14ac:dyDescent="0.35">
      <c r="A207" t="s">
        <v>7</v>
      </c>
      <c r="B207" t="s">
        <v>12</v>
      </c>
      <c r="C207" t="s">
        <v>9</v>
      </c>
      <c r="D207">
        <v>174</v>
      </c>
      <c r="E207">
        <v>0</v>
      </c>
      <c r="F207">
        <v>0</v>
      </c>
      <c r="G207">
        <v>18.649999999999999</v>
      </c>
      <c r="H207">
        <v>3245.1</v>
      </c>
    </row>
    <row r="208" spans="1:8" x14ac:dyDescent="0.35">
      <c r="A208" t="s">
        <v>6</v>
      </c>
      <c r="B208" t="s">
        <v>12</v>
      </c>
      <c r="C208" t="s">
        <v>9</v>
      </c>
      <c r="D208">
        <v>280</v>
      </c>
      <c r="E208">
        <v>23</v>
      </c>
      <c r="F208">
        <v>8.2100000000000009</v>
      </c>
      <c r="G208">
        <v>50.72</v>
      </c>
      <c r="H208">
        <v>14201.6</v>
      </c>
    </row>
    <row r="209" spans="1:8" x14ac:dyDescent="0.35">
      <c r="A209" t="s">
        <v>5</v>
      </c>
      <c r="B209" t="s">
        <v>12</v>
      </c>
      <c r="C209" t="s">
        <v>9</v>
      </c>
      <c r="D209">
        <v>131</v>
      </c>
      <c r="E209">
        <v>2</v>
      </c>
      <c r="F209">
        <v>1.53</v>
      </c>
      <c r="G209">
        <v>35.64</v>
      </c>
      <c r="H209">
        <v>4668.84</v>
      </c>
    </row>
    <row r="210" spans="1:8" x14ac:dyDescent="0.35">
      <c r="A210" t="s">
        <v>8</v>
      </c>
      <c r="B210" t="s">
        <v>12</v>
      </c>
      <c r="C210" t="s">
        <v>9</v>
      </c>
      <c r="D210">
        <v>120</v>
      </c>
      <c r="E210">
        <v>0</v>
      </c>
      <c r="F210">
        <v>0</v>
      </c>
      <c r="G210">
        <v>30.88</v>
      </c>
      <c r="H210">
        <v>3705.6</v>
      </c>
    </row>
    <row r="211" spans="1:8" x14ac:dyDescent="0.35">
      <c r="A211" t="s">
        <v>6</v>
      </c>
      <c r="B211" t="s">
        <v>12</v>
      </c>
      <c r="C211" t="s">
        <v>9</v>
      </c>
      <c r="D211">
        <v>115</v>
      </c>
      <c r="E211">
        <v>1</v>
      </c>
      <c r="F211">
        <v>0.87</v>
      </c>
      <c r="G211">
        <v>56.2</v>
      </c>
      <c r="H211">
        <v>6463</v>
      </c>
    </row>
    <row r="212" spans="1:8" x14ac:dyDescent="0.35">
      <c r="A212" t="s">
        <v>6</v>
      </c>
      <c r="B212" t="s">
        <v>12</v>
      </c>
      <c r="C212" t="s">
        <v>11</v>
      </c>
      <c r="D212">
        <v>234</v>
      </c>
      <c r="E212">
        <v>6</v>
      </c>
      <c r="F212">
        <v>2.56</v>
      </c>
      <c r="G212">
        <v>13.26</v>
      </c>
      <c r="H212">
        <v>3102.84</v>
      </c>
    </row>
    <row r="213" spans="1:8" x14ac:dyDescent="0.35">
      <c r="A213" t="s">
        <v>7</v>
      </c>
      <c r="B213" t="s">
        <v>12</v>
      </c>
      <c r="C213" t="s">
        <v>10</v>
      </c>
      <c r="D213">
        <v>102</v>
      </c>
      <c r="E213">
        <v>0</v>
      </c>
      <c r="F213">
        <v>0</v>
      </c>
      <c r="G213">
        <v>14.47</v>
      </c>
      <c r="H213">
        <v>1475.94</v>
      </c>
    </row>
    <row r="214" spans="1:8" x14ac:dyDescent="0.35">
      <c r="A214" t="s">
        <v>6</v>
      </c>
      <c r="B214" t="s">
        <v>12</v>
      </c>
      <c r="C214" t="s">
        <v>9</v>
      </c>
      <c r="D214">
        <v>154</v>
      </c>
      <c r="E214">
        <v>5</v>
      </c>
      <c r="F214">
        <v>3.25</v>
      </c>
      <c r="G214">
        <v>26.13</v>
      </c>
      <c r="H214">
        <v>4024.02</v>
      </c>
    </row>
    <row r="215" spans="1:8" x14ac:dyDescent="0.35">
      <c r="A215" t="s">
        <v>7</v>
      </c>
      <c r="B215" t="s">
        <v>12</v>
      </c>
      <c r="C215" t="s">
        <v>9</v>
      </c>
      <c r="D215">
        <v>247</v>
      </c>
      <c r="E215">
        <v>9</v>
      </c>
      <c r="F215">
        <v>3.64</v>
      </c>
      <c r="G215">
        <v>61.64</v>
      </c>
      <c r="H215">
        <v>15225.08</v>
      </c>
    </row>
    <row r="216" spans="1:8" x14ac:dyDescent="0.35">
      <c r="A216" t="s">
        <v>5</v>
      </c>
      <c r="B216" t="s">
        <v>12</v>
      </c>
      <c r="C216" t="s">
        <v>9</v>
      </c>
      <c r="D216">
        <v>117</v>
      </c>
      <c r="E216">
        <v>2</v>
      </c>
      <c r="F216">
        <v>1.71</v>
      </c>
      <c r="G216">
        <v>57.45</v>
      </c>
      <c r="H216">
        <v>6721.65</v>
      </c>
    </row>
    <row r="217" spans="1:8" x14ac:dyDescent="0.35">
      <c r="A217" t="s">
        <v>8</v>
      </c>
      <c r="B217" t="s">
        <v>12</v>
      </c>
      <c r="C217" t="s">
        <v>9</v>
      </c>
      <c r="D217">
        <v>96</v>
      </c>
      <c r="E217">
        <v>6</v>
      </c>
      <c r="F217">
        <v>6.25</v>
      </c>
      <c r="G217">
        <v>31.19</v>
      </c>
      <c r="H217">
        <v>2994.24</v>
      </c>
    </row>
    <row r="218" spans="1:8" x14ac:dyDescent="0.35">
      <c r="A218" t="s">
        <v>6</v>
      </c>
      <c r="B218" t="s">
        <v>12</v>
      </c>
      <c r="C218" t="s">
        <v>9</v>
      </c>
      <c r="D218">
        <v>223</v>
      </c>
      <c r="E218">
        <v>8</v>
      </c>
      <c r="F218">
        <v>3.59</v>
      </c>
      <c r="G218">
        <v>61.8</v>
      </c>
      <c r="H218">
        <v>13781.4</v>
      </c>
    </row>
    <row r="219" spans="1:8" x14ac:dyDescent="0.35">
      <c r="A219" t="s">
        <v>7</v>
      </c>
      <c r="B219" t="s">
        <v>12</v>
      </c>
      <c r="C219" t="s">
        <v>10</v>
      </c>
      <c r="D219">
        <v>146</v>
      </c>
      <c r="E219">
        <v>2</v>
      </c>
      <c r="F219">
        <v>1.37</v>
      </c>
      <c r="G219">
        <v>65.28</v>
      </c>
      <c r="H219">
        <v>9530.8799999999992</v>
      </c>
    </row>
    <row r="220" spans="1:8" x14ac:dyDescent="0.35">
      <c r="A220" t="s">
        <v>6</v>
      </c>
      <c r="B220" t="s">
        <v>12</v>
      </c>
      <c r="C220" t="s">
        <v>9</v>
      </c>
      <c r="D220">
        <v>190</v>
      </c>
      <c r="E220">
        <v>6</v>
      </c>
      <c r="F220">
        <v>3.16</v>
      </c>
      <c r="G220">
        <v>10.55</v>
      </c>
      <c r="H220">
        <v>2004.5</v>
      </c>
    </row>
    <row r="221" spans="1:8" x14ac:dyDescent="0.35">
      <c r="A221" t="s">
        <v>6</v>
      </c>
      <c r="B221" t="s">
        <v>12</v>
      </c>
      <c r="C221" t="s">
        <v>9</v>
      </c>
      <c r="D221">
        <v>273</v>
      </c>
      <c r="E221">
        <v>17</v>
      </c>
      <c r="F221">
        <v>6.23</v>
      </c>
      <c r="G221">
        <v>18.05</v>
      </c>
      <c r="H221">
        <v>4927.6499999999996</v>
      </c>
    </row>
    <row r="222" spans="1:8" x14ac:dyDescent="0.35">
      <c r="A222" t="s">
        <v>5</v>
      </c>
      <c r="B222" t="s">
        <v>12</v>
      </c>
      <c r="C222" t="s">
        <v>9</v>
      </c>
      <c r="D222">
        <v>58</v>
      </c>
      <c r="E222">
        <v>3</v>
      </c>
      <c r="F222">
        <v>5.17</v>
      </c>
      <c r="G222">
        <v>62.22</v>
      </c>
      <c r="H222">
        <v>3608.76</v>
      </c>
    </row>
    <row r="223" spans="1:8" x14ac:dyDescent="0.35">
      <c r="A223" t="s">
        <v>8</v>
      </c>
      <c r="B223" t="s">
        <v>12</v>
      </c>
      <c r="C223" t="s">
        <v>9</v>
      </c>
      <c r="D223">
        <v>196</v>
      </c>
      <c r="E223">
        <v>16</v>
      </c>
      <c r="F223">
        <v>8.16</v>
      </c>
      <c r="G223">
        <v>30.54</v>
      </c>
      <c r="H223">
        <v>5985.84</v>
      </c>
    </row>
    <row r="224" spans="1:8" x14ac:dyDescent="0.35">
      <c r="A224" t="s">
        <v>6</v>
      </c>
      <c r="B224" t="s">
        <v>12</v>
      </c>
      <c r="C224" t="s">
        <v>9</v>
      </c>
      <c r="D224">
        <v>229</v>
      </c>
      <c r="E224">
        <v>13</v>
      </c>
      <c r="F224">
        <v>5.68</v>
      </c>
      <c r="G224">
        <v>59.17</v>
      </c>
      <c r="H224">
        <v>13549.93</v>
      </c>
    </row>
    <row r="225" spans="1:8" x14ac:dyDescent="0.35">
      <c r="A225" t="s">
        <v>6</v>
      </c>
      <c r="B225" t="s">
        <v>12</v>
      </c>
      <c r="C225" t="s">
        <v>11</v>
      </c>
      <c r="D225">
        <v>88</v>
      </c>
      <c r="E225">
        <v>8</v>
      </c>
      <c r="F225">
        <v>9.09</v>
      </c>
      <c r="G225">
        <v>16.809999999999999</v>
      </c>
      <c r="H225">
        <v>1479.28</v>
      </c>
    </row>
    <row r="226" spans="1:8" x14ac:dyDescent="0.35">
      <c r="A226" t="s">
        <v>5</v>
      </c>
      <c r="B226" t="s">
        <v>12</v>
      </c>
      <c r="C226" t="s">
        <v>9</v>
      </c>
      <c r="D226">
        <v>299</v>
      </c>
      <c r="E226">
        <v>24</v>
      </c>
      <c r="F226">
        <v>8.0299999999999994</v>
      </c>
      <c r="G226">
        <v>25.05</v>
      </c>
      <c r="H226">
        <v>7489.95</v>
      </c>
    </row>
    <row r="227" spans="1:8" x14ac:dyDescent="0.35">
      <c r="A227" t="s">
        <v>7</v>
      </c>
      <c r="B227" t="s">
        <v>12</v>
      </c>
      <c r="C227" t="s">
        <v>9</v>
      </c>
      <c r="D227">
        <v>185</v>
      </c>
      <c r="E227">
        <v>3</v>
      </c>
      <c r="F227">
        <v>1.62</v>
      </c>
      <c r="G227">
        <v>25.06</v>
      </c>
      <c r="H227">
        <v>4636.1000000000004</v>
      </c>
    </row>
    <row r="228" spans="1:8" x14ac:dyDescent="0.35">
      <c r="A228" t="s">
        <v>7</v>
      </c>
      <c r="B228" t="s">
        <v>12</v>
      </c>
      <c r="C228" t="s">
        <v>9</v>
      </c>
      <c r="D228">
        <v>211</v>
      </c>
      <c r="E228">
        <v>1</v>
      </c>
      <c r="F228">
        <v>0.47</v>
      </c>
      <c r="G228">
        <v>64.77</v>
      </c>
      <c r="H228">
        <v>13666.47</v>
      </c>
    </row>
    <row r="229" spans="1:8" x14ac:dyDescent="0.35">
      <c r="A229" t="s">
        <v>8</v>
      </c>
      <c r="B229" t="s">
        <v>12</v>
      </c>
      <c r="C229" t="s">
        <v>9</v>
      </c>
      <c r="D229">
        <v>206</v>
      </c>
      <c r="E229">
        <v>8</v>
      </c>
      <c r="F229">
        <v>3.88</v>
      </c>
      <c r="G229">
        <v>24.34</v>
      </c>
      <c r="H229">
        <v>5014.04</v>
      </c>
    </row>
    <row r="230" spans="1:8" x14ac:dyDescent="0.35">
      <c r="A230" t="s">
        <v>5</v>
      </c>
      <c r="B230" t="s">
        <v>12</v>
      </c>
      <c r="C230" t="s">
        <v>9</v>
      </c>
      <c r="D230">
        <v>156</v>
      </c>
      <c r="E230">
        <v>14</v>
      </c>
      <c r="F230">
        <v>8.9700000000000006</v>
      </c>
      <c r="G230">
        <v>33.64</v>
      </c>
      <c r="H230">
        <v>5247.84</v>
      </c>
    </row>
    <row r="231" spans="1:8" x14ac:dyDescent="0.35">
      <c r="A231" t="s">
        <v>7</v>
      </c>
      <c r="B231" t="s">
        <v>12</v>
      </c>
      <c r="C231" t="s">
        <v>9</v>
      </c>
      <c r="D231">
        <v>285</v>
      </c>
      <c r="E231">
        <v>8</v>
      </c>
      <c r="F231">
        <v>2.81</v>
      </c>
      <c r="G231">
        <v>46.87</v>
      </c>
      <c r="H231">
        <v>13357.95</v>
      </c>
    </row>
    <row r="232" spans="1:8" x14ac:dyDescent="0.35">
      <c r="A232" t="s">
        <v>7</v>
      </c>
      <c r="B232" t="s">
        <v>12</v>
      </c>
      <c r="C232" t="s">
        <v>9</v>
      </c>
      <c r="D232">
        <v>299</v>
      </c>
      <c r="E232">
        <v>11</v>
      </c>
      <c r="F232">
        <v>3.68</v>
      </c>
      <c r="G232">
        <v>26.74</v>
      </c>
      <c r="H232">
        <v>7995.26</v>
      </c>
    </row>
    <row r="233" spans="1:8" x14ac:dyDescent="0.35">
      <c r="A233" t="s">
        <v>8</v>
      </c>
      <c r="B233" t="s">
        <v>12</v>
      </c>
      <c r="C233" t="s">
        <v>9</v>
      </c>
      <c r="D233">
        <v>71</v>
      </c>
      <c r="E233">
        <v>4</v>
      </c>
      <c r="F233">
        <v>5.63</v>
      </c>
      <c r="G233">
        <v>68.150000000000006</v>
      </c>
      <c r="H233">
        <v>4838.6499999999996</v>
      </c>
    </row>
    <row r="234" spans="1:8" x14ac:dyDescent="0.35">
      <c r="A234" t="s">
        <v>7</v>
      </c>
      <c r="B234" t="s">
        <v>12</v>
      </c>
      <c r="C234" t="s">
        <v>9</v>
      </c>
      <c r="D234">
        <v>147</v>
      </c>
      <c r="E234">
        <v>2</v>
      </c>
      <c r="F234">
        <v>1.36</v>
      </c>
      <c r="G234">
        <v>7.39</v>
      </c>
      <c r="H234">
        <v>1086.33</v>
      </c>
    </row>
    <row r="235" spans="1:8" x14ac:dyDescent="0.35">
      <c r="A235" t="s">
        <v>5</v>
      </c>
      <c r="B235" t="s">
        <v>12</v>
      </c>
      <c r="C235" t="s">
        <v>9</v>
      </c>
      <c r="D235">
        <v>178</v>
      </c>
      <c r="E235">
        <v>15</v>
      </c>
      <c r="F235">
        <v>8.43</v>
      </c>
      <c r="G235">
        <v>40.68</v>
      </c>
      <c r="H235">
        <v>7241.04</v>
      </c>
    </row>
    <row r="236" spans="1:8" x14ac:dyDescent="0.35">
      <c r="A236" t="s">
        <v>5</v>
      </c>
      <c r="B236" t="s">
        <v>12</v>
      </c>
      <c r="C236" t="s">
        <v>9</v>
      </c>
      <c r="D236">
        <v>247</v>
      </c>
      <c r="E236">
        <v>16</v>
      </c>
      <c r="F236">
        <v>6.48</v>
      </c>
      <c r="G236">
        <v>29.77</v>
      </c>
      <c r="H236">
        <v>7353.19</v>
      </c>
    </row>
    <row r="237" spans="1:8" x14ac:dyDescent="0.35">
      <c r="A237" t="s">
        <v>6</v>
      </c>
      <c r="B237" t="s">
        <v>12</v>
      </c>
      <c r="C237" t="s">
        <v>9</v>
      </c>
      <c r="D237">
        <v>193</v>
      </c>
      <c r="E237">
        <v>17</v>
      </c>
      <c r="F237">
        <v>8.81</v>
      </c>
      <c r="G237">
        <v>31.07</v>
      </c>
      <c r="H237">
        <v>5996.51</v>
      </c>
    </row>
    <row r="238" spans="1:8" x14ac:dyDescent="0.35">
      <c r="A238" t="s">
        <v>8</v>
      </c>
      <c r="B238" t="s">
        <v>12</v>
      </c>
      <c r="C238" t="s">
        <v>9</v>
      </c>
      <c r="D238">
        <v>89</v>
      </c>
      <c r="E238">
        <v>0</v>
      </c>
      <c r="F238">
        <v>0</v>
      </c>
      <c r="G238">
        <v>41.04</v>
      </c>
      <c r="H238">
        <v>3652.56</v>
      </c>
    </row>
    <row r="239" spans="1:8" x14ac:dyDescent="0.35">
      <c r="A239" t="s">
        <v>6</v>
      </c>
      <c r="B239" t="s">
        <v>12</v>
      </c>
      <c r="C239" t="s">
        <v>9</v>
      </c>
      <c r="D239">
        <v>80</v>
      </c>
      <c r="E239">
        <v>0</v>
      </c>
      <c r="F239">
        <v>0</v>
      </c>
      <c r="G239">
        <v>17.989999999999998</v>
      </c>
      <c r="H239">
        <v>1439.2</v>
      </c>
    </row>
    <row r="240" spans="1:8" x14ac:dyDescent="0.35">
      <c r="A240" t="s">
        <v>7</v>
      </c>
      <c r="B240" t="s">
        <v>12</v>
      </c>
      <c r="C240" t="s">
        <v>10</v>
      </c>
      <c r="D240">
        <v>192</v>
      </c>
      <c r="E240">
        <v>9</v>
      </c>
      <c r="F240">
        <v>4.6900000000000004</v>
      </c>
      <c r="G240">
        <v>25.27</v>
      </c>
      <c r="H240">
        <v>4851.84</v>
      </c>
    </row>
    <row r="241" spans="1:8" x14ac:dyDescent="0.35">
      <c r="A241" t="s">
        <v>5</v>
      </c>
      <c r="B241" t="s">
        <v>12</v>
      </c>
      <c r="C241" t="s">
        <v>9</v>
      </c>
      <c r="D241">
        <v>117</v>
      </c>
      <c r="E241">
        <v>9</v>
      </c>
      <c r="F241">
        <v>7.69</v>
      </c>
      <c r="G241">
        <v>27.85</v>
      </c>
      <c r="H241">
        <v>3258.45</v>
      </c>
    </row>
    <row r="242" spans="1:8" x14ac:dyDescent="0.35">
      <c r="A242" t="s">
        <v>6</v>
      </c>
      <c r="B242" t="s">
        <v>12</v>
      </c>
      <c r="C242" t="s">
        <v>9</v>
      </c>
      <c r="D242">
        <v>136</v>
      </c>
      <c r="E242">
        <v>12</v>
      </c>
      <c r="F242">
        <v>8.82</v>
      </c>
      <c r="G242">
        <v>34.090000000000003</v>
      </c>
      <c r="H242">
        <v>4636.24</v>
      </c>
    </row>
    <row r="243" spans="1:8" x14ac:dyDescent="0.35">
      <c r="A243" t="s">
        <v>6</v>
      </c>
      <c r="B243" t="s">
        <v>12</v>
      </c>
      <c r="C243" t="s">
        <v>11</v>
      </c>
      <c r="D243">
        <v>281</v>
      </c>
      <c r="E243">
        <v>5</v>
      </c>
      <c r="F243">
        <v>1.78</v>
      </c>
      <c r="G243">
        <v>24.55</v>
      </c>
      <c r="H243">
        <v>6898.55</v>
      </c>
    </row>
    <row r="244" spans="1:8" x14ac:dyDescent="0.35">
      <c r="A244" t="s">
        <v>7</v>
      </c>
      <c r="B244" t="s">
        <v>12</v>
      </c>
      <c r="C244" t="s">
        <v>10</v>
      </c>
      <c r="D244">
        <v>173</v>
      </c>
      <c r="E244">
        <v>11</v>
      </c>
      <c r="F244">
        <v>6.36</v>
      </c>
      <c r="G244">
        <v>12.95</v>
      </c>
      <c r="H244">
        <v>2240.35</v>
      </c>
    </row>
    <row r="245" spans="1:8" x14ac:dyDescent="0.35">
      <c r="A245" t="s">
        <v>7</v>
      </c>
      <c r="B245" t="s">
        <v>12</v>
      </c>
      <c r="C245" t="s">
        <v>9</v>
      </c>
      <c r="D245">
        <v>51</v>
      </c>
      <c r="E245">
        <v>2</v>
      </c>
      <c r="F245">
        <v>3.92</v>
      </c>
      <c r="G245">
        <v>31.29</v>
      </c>
      <c r="H245">
        <v>1595.79</v>
      </c>
    </row>
    <row r="246" spans="1:8" x14ac:dyDescent="0.35">
      <c r="A246" t="s">
        <v>5</v>
      </c>
      <c r="B246" t="s">
        <v>12</v>
      </c>
      <c r="C246" t="s">
        <v>9</v>
      </c>
      <c r="D246">
        <v>270</v>
      </c>
      <c r="E246">
        <v>27</v>
      </c>
      <c r="F246">
        <v>10</v>
      </c>
      <c r="G246">
        <v>57.89</v>
      </c>
      <c r="H246">
        <v>15630.3</v>
      </c>
    </row>
    <row r="247" spans="1:8" x14ac:dyDescent="0.35">
      <c r="A247" t="s">
        <v>7</v>
      </c>
      <c r="B247" t="s">
        <v>12</v>
      </c>
      <c r="C247" t="s">
        <v>10</v>
      </c>
      <c r="D247">
        <v>164</v>
      </c>
      <c r="E247">
        <v>16</v>
      </c>
      <c r="F247">
        <v>9.76</v>
      </c>
      <c r="G247">
        <v>43.27</v>
      </c>
      <c r="H247">
        <v>7096.28</v>
      </c>
    </row>
    <row r="248" spans="1:8" x14ac:dyDescent="0.35">
      <c r="A248" t="s">
        <v>8</v>
      </c>
      <c r="B248" t="s">
        <v>12</v>
      </c>
      <c r="C248" t="s">
        <v>9</v>
      </c>
      <c r="D248">
        <v>185</v>
      </c>
      <c r="E248">
        <v>6</v>
      </c>
      <c r="F248">
        <v>3.24</v>
      </c>
      <c r="G248">
        <v>19.07</v>
      </c>
      <c r="H248">
        <v>3527.95</v>
      </c>
    </row>
    <row r="249" spans="1:8" x14ac:dyDescent="0.35">
      <c r="A249" t="s">
        <v>7</v>
      </c>
      <c r="B249" t="s">
        <v>12</v>
      </c>
      <c r="C249" t="s">
        <v>9</v>
      </c>
      <c r="D249">
        <v>81</v>
      </c>
      <c r="E249">
        <v>7</v>
      </c>
      <c r="F249">
        <v>8.64</v>
      </c>
      <c r="G249">
        <v>47.47</v>
      </c>
      <c r="H249">
        <v>3845.07</v>
      </c>
    </row>
    <row r="250" spans="1:8" x14ac:dyDescent="0.35">
      <c r="A250" t="s">
        <v>5</v>
      </c>
      <c r="B250" t="s">
        <v>12</v>
      </c>
      <c r="C250" t="s">
        <v>9</v>
      </c>
      <c r="D250">
        <v>258</v>
      </c>
      <c r="E250">
        <v>1</v>
      </c>
      <c r="F250">
        <v>0.39</v>
      </c>
      <c r="G250">
        <v>55.64</v>
      </c>
      <c r="H250">
        <v>14355.12</v>
      </c>
    </row>
    <row r="251" spans="1:8" x14ac:dyDescent="0.35">
      <c r="A251" t="s">
        <v>7</v>
      </c>
      <c r="B251" t="s">
        <v>12</v>
      </c>
      <c r="C251" t="s">
        <v>10</v>
      </c>
      <c r="D251">
        <v>197</v>
      </c>
      <c r="E251">
        <v>12</v>
      </c>
      <c r="F251">
        <v>6.09</v>
      </c>
      <c r="G251">
        <v>24.65</v>
      </c>
      <c r="H251">
        <v>4856.05</v>
      </c>
    </row>
    <row r="252" spans="1:8" x14ac:dyDescent="0.35">
      <c r="A252" t="s">
        <v>5</v>
      </c>
      <c r="B252" t="s">
        <v>12</v>
      </c>
      <c r="C252" t="s">
        <v>9</v>
      </c>
      <c r="D252">
        <v>136</v>
      </c>
      <c r="E252">
        <v>8</v>
      </c>
      <c r="F252">
        <v>5.88</v>
      </c>
      <c r="G252">
        <v>28.3</v>
      </c>
      <c r="H252">
        <v>3848.8</v>
      </c>
    </row>
    <row r="253" spans="1:8" x14ac:dyDescent="0.35">
      <c r="A253" t="s">
        <v>8</v>
      </c>
      <c r="B253" t="s">
        <v>12</v>
      </c>
      <c r="C253" t="s">
        <v>9</v>
      </c>
      <c r="D253">
        <v>242</v>
      </c>
      <c r="E253">
        <v>13</v>
      </c>
      <c r="F253">
        <v>5.37</v>
      </c>
      <c r="G253">
        <v>45.7</v>
      </c>
      <c r="H253">
        <v>11059.4</v>
      </c>
    </row>
    <row r="254" spans="1:8" x14ac:dyDescent="0.35">
      <c r="A254" t="s">
        <v>8</v>
      </c>
      <c r="B254" t="s">
        <v>12</v>
      </c>
      <c r="C254" t="s">
        <v>9</v>
      </c>
      <c r="D254">
        <v>212</v>
      </c>
      <c r="E254">
        <v>14</v>
      </c>
      <c r="F254">
        <v>6.6</v>
      </c>
      <c r="G254">
        <v>48.03</v>
      </c>
      <c r="H254">
        <v>10182.36</v>
      </c>
    </row>
    <row r="255" spans="1:8" x14ac:dyDescent="0.35">
      <c r="A255" t="s">
        <v>6</v>
      </c>
      <c r="B255" t="s">
        <v>12</v>
      </c>
      <c r="C255" t="s">
        <v>11</v>
      </c>
      <c r="D255">
        <v>281</v>
      </c>
      <c r="E255">
        <v>18</v>
      </c>
      <c r="F255">
        <v>6.41</v>
      </c>
      <c r="G255">
        <v>19.27</v>
      </c>
      <c r="H255">
        <v>5414.87</v>
      </c>
    </row>
    <row r="256" spans="1:8" x14ac:dyDescent="0.35">
      <c r="A256" t="s">
        <v>6</v>
      </c>
      <c r="B256" t="s">
        <v>12</v>
      </c>
      <c r="C256" t="s">
        <v>9</v>
      </c>
      <c r="D256">
        <v>282</v>
      </c>
      <c r="E256">
        <v>14</v>
      </c>
      <c r="F256">
        <v>4.96</v>
      </c>
      <c r="G256">
        <v>13.18</v>
      </c>
      <c r="H256">
        <v>3716.76</v>
      </c>
    </row>
    <row r="257" spans="1:8" x14ac:dyDescent="0.35">
      <c r="A257" t="s">
        <v>8</v>
      </c>
      <c r="B257" t="s">
        <v>12</v>
      </c>
      <c r="C257" t="s">
        <v>9</v>
      </c>
      <c r="D257">
        <v>100</v>
      </c>
      <c r="E257">
        <v>9</v>
      </c>
      <c r="F257">
        <v>9</v>
      </c>
      <c r="G257">
        <v>6.51</v>
      </c>
      <c r="H257">
        <v>651</v>
      </c>
    </row>
    <row r="258" spans="1:8" x14ac:dyDescent="0.35">
      <c r="A258" t="s">
        <v>8</v>
      </c>
      <c r="B258" t="s">
        <v>12</v>
      </c>
      <c r="C258" t="s">
        <v>9</v>
      </c>
      <c r="D258">
        <v>53</v>
      </c>
      <c r="E258">
        <v>4</v>
      </c>
      <c r="F258">
        <v>7.55</v>
      </c>
      <c r="G258">
        <v>16.079999999999998</v>
      </c>
      <c r="H258">
        <v>852.24</v>
      </c>
    </row>
    <row r="259" spans="1:8" x14ac:dyDescent="0.35">
      <c r="A259" t="s">
        <v>7</v>
      </c>
      <c r="B259" t="s">
        <v>12</v>
      </c>
      <c r="C259" t="s">
        <v>9</v>
      </c>
      <c r="D259">
        <v>208</v>
      </c>
      <c r="E259">
        <v>10</v>
      </c>
      <c r="F259">
        <v>4.8099999999999996</v>
      </c>
      <c r="G259">
        <v>7.11</v>
      </c>
      <c r="H259">
        <v>1478.88</v>
      </c>
    </row>
    <row r="260" spans="1:8" x14ac:dyDescent="0.35">
      <c r="A260" t="s">
        <v>5</v>
      </c>
      <c r="B260" t="s">
        <v>12</v>
      </c>
      <c r="C260" t="s">
        <v>9</v>
      </c>
      <c r="D260">
        <v>63</v>
      </c>
      <c r="E260">
        <v>2</v>
      </c>
      <c r="F260">
        <v>3.17</v>
      </c>
      <c r="G260">
        <v>38.06</v>
      </c>
      <c r="H260">
        <v>2397.7800000000002</v>
      </c>
    </row>
    <row r="261" spans="1:8" x14ac:dyDescent="0.35">
      <c r="A261" t="s">
        <v>7</v>
      </c>
      <c r="B261" t="s">
        <v>12</v>
      </c>
      <c r="C261" t="s">
        <v>9</v>
      </c>
      <c r="D261">
        <v>194</v>
      </c>
      <c r="E261">
        <v>7</v>
      </c>
      <c r="F261">
        <v>3.61</v>
      </c>
      <c r="G261">
        <v>37.22</v>
      </c>
      <c r="H261">
        <v>7220.68</v>
      </c>
    </row>
    <row r="262" spans="1:8" x14ac:dyDescent="0.35">
      <c r="A262" t="s">
        <v>8</v>
      </c>
      <c r="B262" t="s">
        <v>12</v>
      </c>
      <c r="C262" t="s">
        <v>9</v>
      </c>
      <c r="D262">
        <v>238</v>
      </c>
      <c r="E262">
        <v>20</v>
      </c>
      <c r="F262">
        <v>8.4</v>
      </c>
      <c r="G262">
        <v>17.71</v>
      </c>
      <c r="H262">
        <v>4214.9799999999996</v>
      </c>
    </row>
    <row r="263" spans="1:8" x14ac:dyDescent="0.35">
      <c r="A263" t="s">
        <v>7</v>
      </c>
      <c r="B263" t="s">
        <v>12</v>
      </c>
      <c r="C263" t="s">
        <v>10</v>
      </c>
      <c r="D263">
        <v>259</v>
      </c>
      <c r="E263">
        <v>22</v>
      </c>
      <c r="F263">
        <v>8.49</v>
      </c>
      <c r="G263">
        <v>51.76</v>
      </c>
      <c r="H263">
        <v>13405.84</v>
      </c>
    </row>
    <row r="264" spans="1:8" x14ac:dyDescent="0.35">
      <c r="A264" t="s">
        <v>5</v>
      </c>
      <c r="B264" t="s">
        <v>12</v>
      </c>
      <c r="C264" t="s">
        <v>9</v>
      </c>
      <c r="D264">
        <v>205</v>
      </c>
      <c r="E264">
        <v>5</v>
      </c>
      <c r="F264">
        <v>2.44</v>
      </c>
      <c r="G264">
        <v>9.2100000000000009</v>
      </c>
      <c r="H264">
        <v>1888.05</v>
      </c>
    </row>
    <row r="265" spans="1:8" x14ac:dyDescent="0.35">
      <c r="A265" t="s">
        <v>8</v>
      </c>
      <c r="B265" t="s">
        <v>12</v>
      </c>
      <c r="C265" t="s">
        <v>9</v>
      </c>
      <c r="D265">
        <v>184</v>
      </c>
      <c r="E265">
        <v>18</v>
      </c>
      <c r="F265">
        <v>9.7799999999999994</v>
      </c>
      <c r="G265">
        <v>47.93</v>
      </c>
      <c r="H265">
        <v>8819.1200000000008</v>
      </c>
    </row>
    <row r="266" spans="1:8" x14ac:dyDescent="0.35">
      <c r="A266" t="s">
        <v>5</v>
      </c>
      <c r="B266" t="s">
        <v>12</v>
      </c>
      <c r="C266" t="s">
        <v>9</v>
      </c>
      <c r="D266">
        <v>176</v>
      </c>
      <c r="E266">
        <v>2</v>
      </c>
      <c r="F266">
        <v>1.1399999999999999</v>
      </c>
      <c r="G266">
        <v>6.14</v>
      </c>
      <c r="H266">
        <v>1080.6400000000001</v>
      </c>
    </row>
    <row r="267" spans="1:8" x14ac:dyDescent="0.35">
      <c r="A267" t="s">
        <v>6</v>
      </c>
      <c r="B267" t="s">
        <v>12</v>
      </c>
      <c r="C267" t="s">
        <v>11</v>
      </c>
      <c r="D267">
        <v>138</v>
      </c>
      <c r="E267">
        <v>7</v>
      </c>
      <c r="F267">
        <v>5.07</v>
      </c>
      <c r="G267">
        <v>20.32</v>
      </c>
      <c r="H267">
        <v>2804.16</v>
      </c>
    </row>
    <row r="268" spans="1:8" x14ac:dyDescent="0.35">
      <c r="A268" t="s">
        <v>8</v>
      </c>
      <c r="B268" t="s">
        <v>12</v>
      </c>
      <c r="C268" t="s">
        <v>9</v>
      </c>
      <c r="D268">
        <v>184</v>
      </c>
      <c r="E268">
        <v>11</v>
      </c>
      <c r="F268">
        <v>5.98</v>
      </c>
      <c r="G268">
        <v>57.66</v>
      </c>
      <c r="H268">
        <v>10609.44</v>
      </c>
    </row>
    <row r="269" spans="1:8" x14ac:dyDescent="0.35">
      <c r="A269" t="s">
        <v>7</v>
      </c>
      <c r="B269" t="s">
        <v>12</v>
      </c>
      <c r="C269" t="s">
        <v>9</v>
      </c>
      <c r="D269">
        <v>255</v>
      </c>
      <c r="E269">
        <v>9</v>
      </c>
      <c r="F269">
        <v>3.53</v>
      </c>
      <c r="G269">
        <v>7.52</v>
      </c>
      <c r="H269">
        <v>1917.6</v>
      </c>
    </row>
    <row r="270" spans="1:8" x14ac:dyDescent="0.35">
      <c r="A270" t="s">
        <v>7</v>
      </c>
      <c r="B270" t="s">
        <v>12</v>
      </c>
      <c r="C270" t="s">
        <v>10</v>
      </c>
      <c r="D270">
        <v>210</v>
      </c>
      <c r="E270">
        <v>8</v>
      </c>
      <c r="F270">
        <v>3.81</v>
      </c>
      <c r="G270">
        <v>67.16</v>
      </c>
      <c r="H270">
        <v>14103.6</v>
      </c>
    </row>
    <row r="271" spans="1:8" x14ac:dyDescent="0.35">
      <c r="A271" t="s">
        <v>6</v>
      </c>
      <c r="B271" t="s">
        <v>12</v>
      </c>
      <c r="C271" t="s">
        <v>11</v>
      </c>
      <c r="D271">
        <v>173</v>
      </c>
      <c r="E271">
        <v>9</v>
      </c>
      <c r="F271">
        <v>5.2</v>
      </c>
      <c r="G271">
        <v>24.38</v>
      </c>
      <c r="H271">
        <v>4217.74</v>
      </c>
    </row>
    <row r="272" spans="1:8" x14ac:dyDescent="0.35">
      <c r="A272" t="s">
        <v>7</v>
      </c>
      <c r="B272" t="s">
        <v>12</v>
      </c>
      <c r="C272" t="s">
        <v>9</v>
      </c>
      <c r="D272">
        <v>215</v>
      </c>
      <c r="E272">
        <v>12</v>
      </c>
      <c r="F272">
        <v>5.58</v>
      </c>
      <c r="G272">
        <v>49.5</v>
      </c>
      <c r="H272">
        <v>10642.5</v>
      </c>
    </row>
    <row r="273" spans="1:8" x14ac:dyDescent="0.35">
      <c r="A273" t="s">
        <v>6</v>
      </c>
      <c r="B273" t="s">
        <v>12</v>
      </c>
      <c r="C273" t="s">
        <v>11</v>
      </c>
      <c r="D273">
        <v>265</v>
      </c>
      <c r="E273">
        <v>0</v>
      </c>
      <c r="F273">
        <v>0</v>
      </c>
      <c r="G273">
        <v>36.76</v>
      </c>
      <c r="H273">
        <v>9741.4</v>
      </c>
    </row>
    <row r="274" spans="1:8" x14ac:dyDescent="0.35">
      <c r="A274" t="s">
        <v>7</v>
      </c>
      <c r="B274" t="s">
        <v>12</v>
      </c>
      <c r="C274" t="s">
        <v>9</v>
      </c>
      <c r="D274">
        <v>158</v>
      </c>
      <c r="E274">
        <v>11</v>
      </c>
      <c r="F274">
        <v>6.96</v>
      </c>
      <c r="G274">
        <v>47.35</v>
      </c>
      <c r="H274">
        <v>7481.3</v>
      </c>
    </row>
    <row r="275" spans="1:8" x14ac:dyDescent="0.35">
      <c r="A275" t="s">
        <v>6</v>
      </c>
      <c r="B275" t="s">
        <v>12</v>
      </c>
      <c r="C275" t="s">
        <v>9</v>
      </c>
      <c r="D275">
        <v>92</v>
      </c>
      <c r="E275">
        <v>7</v>
      </c>
      <c r="F275">
        <v>7.61</v>
      </c>
      <c r="G275">
        <v>67.13</v>
      </c>
      <c r="H275">
        <v>6175.96</v>
      </c>
    </row>
    <row r="276" spans="1:8" x14ac:dyDescent="0.35">
      <c r="A276" t="s">
        <v>7</v>
      </c>
      <c r="B276" t="s">
        <v>12</v>
      </c>
      <c r="C276" t="s">
        <v>10</v>
      </c>
      <c r="D276">
        <v>235</v>
      </c>
      <c r="E276">
        <v>2</v>
      </c>
      <c r="F276">
        <v>0.85</v>
      </c>
      <c r="G276">
        <v>50.45</v>
      </c>
      <c r="H276">
        <v>11855.75</v>
      </c>
    </row>
    <row r="277" spans="1:8" x14ac:dyDescent="0.35">
      <c r="A277" t="s">
        <v>7</v>
      </c>
      <c r="B277" t="s">
        <v>12</v>
      </c>
      <c r="C277" t="s">
        <v>10</v>
      </c>
      <c r="D277">
        <v>70</v>
      </c>
      <c r="E277">
        <v>1</v>
      </c>
      <c r="F277">
        <v>1.43</v>
      </c>
      <c r="G277">
        <v>46.13</v>
      </c>
      <c r="H277">
        <v>3229.1</v>
      </c>
    </row>
    <row r="278" spans="1:8" x14ac:dyDescent="0.35">
      <c r="A278" t="s">
        <v>8</v>
      </c>
      <c r="B278" t="s">
        <v>12</v>
      </c>
      <c r="C278" t="s">
        <v>9</v>
      </c>
      <c r="D278">
        <v>272</v>
      </c>
      <c r="E278">
        <v>27</v>
      </c>
      <c r="F278">
        <v>9.93</v>
      </c>
      <c r="G278">
        <v>46.34</v>
      </c>
      <c r="H278">
        <v>12604.48</v>
      </c>
    </row>
    <row r="279" spans="1:8" x14ac:dyDescent="0.35">
      <c r="A279" t="s">
        <v>5</v>
      </c>
      <c r="B279" t="s">
        <v>12</v>
      </c>
      <c r="C279" t="s">
        <v>9</v>
      </c>
      <c r="D279">
        <v>121</v>
      </c>
      <c r="E279">
        <v>5</v>
      </c>
      <c r="F279">
        <v>4.13</v>
      </c>
      <c r="G279">
        <v>52.4</v>
      </c>
      <c r="H279">
        <v>6340.4</v>
      </c>
    </row>
    <row r="280" spans="1:8" x14ac:dyDescent="0.35">
      <c r="A280" t="s">
        <v>7</v>
      </c>
      <c r="B280" t="s">
        <v>12</v>
      </c>
      <c r="C280" t="s">
        <v>10</v>
      </c>
      <c r="D280">
        <v>231</v>
      </c>
      <c r="E280">
        <v>1</v>
      </c>
      <c r="F280">
        <v>0.43</v>
      </c>
      <c r="G280">
        <v>20.83</v>
      </c>
      <c r="H280">
        <v>4811.7299999999996</v>
      </c>
    </row>
    <row r="281" spans="1:8" x14ac:dyDescent="0.35">
      <c r="A281" t="s">
        <v>7</v>
      </c>
      <c r="B281" t="s">
        <v>12</v>
      </c>
      <c r="C281" t="s">
        <v>10</v>
      </c>
      <c r="D281">
        <v>190</v>
      </c>
      <c r="E281">
        <v>10</v>
      </c>
      <c r="F281">
        <v>5.26</v>
      </c>
      <c r="G281">
        <v>19.91</v>
      </c>
      <c r="H281">
        <v>3782.9</v>
      </c>
    </row>
    <row r="282" spans="1:8" x14ac:dyDescent="0.35">
      <c r="A282" t="s">
        <v>6</v>
      </c>
      <c r="B282" t="s">
        <v>12</v>
      </c>
      <c r="C282" t="s">
        <v>9</v>
      </c>
      <c r="D282">
        <v>211</v>
      </c>
      <c r="E282">
        <v>16</v>
      </c>
      <c r="F282">
        <v>7.58</v>
      </c>
      <c r="G282">
        <v>29.4</v>
      </c>
      <c r="H282">
        <v>6203.4</v>
      </c>
    </row>
    <row r="283" spans="1:8" x14ac:dyDescent="0.35">
      <c r="A283" t="s">
        <v>7</v>
      </c>
      <c r="B283" t="s">
        <v>12</v>
      </c>
      <c r="C283" t="s">
        <v>9</v>
      </c>
      <c r="D283">
        <v>60</v>
      </c>
      <c r="E283">
        <v>2</v>
      </c>
      <c r="F283">
        <v>3.33</v>
      </c>
      <c r="G283">
        <v>27.46</v>
      </c>
      <c r="H283">
        <v>1647.6</v>
      </c>
    </row>
    <row r="284" spans="1:8" x14ac:dyDescent="0.35">
      <c r="A284" t="s">
        <v>6</v>
      </c>
      <c r="B284" t="s">
        <v>12</v>
      </c>
      <c r="C284" t="s">
        <v>11</v>
      </c>
      <c r="D284">
        <v>243</v>
      </c>
      <c r="E284">
        <v>0</v>
      </c>
      <c r="F284">
        <v>0</v>
      </c>
      <c r="G284">
        <v>13.01</v>
      </c>
      <c r="H284">
        <v>3161.43</v>
      </c>
    </row>
    <row r="285" spans="1:8" x14ac:dyDescent="0.35">
      <c r="A285" t="s">
        <v>8</v>
      </c>
      <c r="B285" t="s">
        <v>12</v>
      </c>
      <c r="C285" t="s">
        <v>9</v>
      </c>
      <c r="D285">
        <v>132</v>
      </c>
      <c r="E285">
        <v>0</v>
      </c>
      <c r="F285">
        <v>0</v>
      </c>
      <c r="G285">
        <v>26.89</v>
      </c>
      <c r="H285">
        <v>3549.48</v>
      </c>
    </row>
    <row r="286" spans="1:8" x14ac:dyDescent="0.35">
      <c r="A286" t="s">
        <v>7</v>
      </c>
      <c r="B286" t="s">
        <v>12</v>
      </c>
      <c r="C286" t="s">
        <v>10</v>
      </c>
      <c r="D286">
        <v>286</v>
      </c>
      <c r="E286">
        <v>21</v>
      </c>
      <c r="F286">
        <v>7.34</v>
      </c>
      <c r="G286">
        <v>19.13</v>
      </c>
      <c r="H286">
        <v>5471.18</v>
      </c>
    </row>
    <row r="287" spans="1:8" x14ac:dyDescent="0.35">
      <c r="A287" t="s">
        <v>8</v>
      </c>
      <c r="B287" t="s">
        <v>12</v>
      </c>
      <c r="C287" t="s">
        <v>9</v>
      </c>
      <c r="D287">
        <v>111</v>
      </c>
      <c r="E287">
        <v>3</v>
      </c>
      <c r="F287">
        <v>2.7</v>
      </c>
      <c r="G287">
        <v>67.81</v>
      </c>
      <c r="H287">
        <v>7526.91</v>
      </c>
    </row>
    <row r="288" spans="1:8" x14ac:dyDescent="0.35">
      <c r="A288" t="s">
        <v>6</v>
      </c>
      <c r="B288" t="s">
        <v>12</v>
      </c>
      <c r="C288" t="s">
        <v>11</v>
      </c>
      <c r="D288">
        <v>238</v>
      </c>
      <c r="E288">
        <v>23</v>
      </c>
      <c r="F288">
        <v>9.66</v>
      </c>
      <c r="G288">
        <v>32.57</v>
      </c>
      <c r="H288">
        <v>7751.66</v>
      </c>
    </row>
    <row r="289" spans="1:8" x14ac:dyDescent="0.35">
      <c r="A289" t="s">
        <v>7</v>
      </c>
      <c r="B289" t="s">
        <v>12</v>
      </c>
      <c r="C289" t="s">
        <v>9</v>
      </c>
      <c r="D289">
        <v>263</v>
      </c>
      <c r="E289">
        <v>23</v>
      </c>
      <c r="F289">
        <v>8.75</v>
      </c>
      <c r="G289">
        <v>66.599999999999994</v>
      </c>
      <c r="H289">
        <v>17515.8</v>
      </c>
    </row>
    <row r="290" spans="1:8" x14ac:dyDescent="0.35">
      <c r="A290" t="s">
        <v>8</v>
      </c>
      <c r="B290" t="s">
        <v>12</v>
      </c>
      <c r="C290" t="s">
        <v>9</v>
      </c>
      <c r="D290">
        <v>76</v>
      </c>
      <c r="E290">
        <v>3</v>
      </c>
      <c r="F290">
        <v>3.95</v>
      </c>
      <c r="G290">
        <v>34.75</v>
      </c>
      <c r="H290">
        <v>2641</v>
      </c>
    </row>
    <row r="291" spans="1:8" x14ac:dyDescent="0.35">
      <c r="A291" t="s">
        <v>7</v>
      </c>
      <c r="B291" t="s">
        <v>12</v>
      </c>
      <c r="C291" t="s">
        <v>9</v>
      </c>
      <c r="D291">
        <v>60</v>
      </c>
      <c r="E291">
        <v>5</v>
      </c>
      <c r="F291">
        <v>8.33</v>
      </c>
      <c r="G291">
        <v>15.62</v>
      </c>
      <c r="H291">
        <v>937.2</v>
      </c>
    </row>
    <row r="292" spans="1:8" x14ac:dyDescent="0.35">
      <c r="A292" t="s">
        <v>8</v>
      </c>
      <c r="B292" t="s">
        <v>12</v>
      </c>
      <c r="C292" t="s">
        <v>9</v>
      </c>
      <c r="D292">
        <v>55</v>
      </c>
      <c r="E292">
        <v>4</v>
      </c>
      <c r="F292">
        <v>7.27</v>
      </c>
      <c r="G292">
        <v>11.3</v>
      </c>
      <c r="H292">
        <v>621.5</v>
      </c>
    </row>
    <row r="293" spans="1:8" x14ac:dyDescent="0.35">
      <c r="A293" t="s">
        <v>6</v>
      </c>
      <c r="B293" t="s">
        <v>12</v>
      </c>
      <c r="C293" t="s">
        <v>11</v>
      </c>
      <c r="D293">
        <v>190</v>
      </c>
      <c r="E293">
        <v>7</v>
      </c>
      <c r="F293">
        <v>3.68</v>
      </c>
      <c r="G293">
        <v>61.53</v>
      </c>
      <c r="H293">
        <v>11690.7</v>
      </c>
    </row>
    <row r="294" spans="1:8" x14ac:dyDescent="0.35">
      <c r="A294" t="s">
        <v>7</v>
      </c>
      <c r="B294" t="s">
        <v>12</v>
      </c>
      <c r="C294" t="s">
        <v>10</v>
      </c>
      <c r="D294">
        <v>126</v>
      </c>
      <c r="E294">
        <v>12</v>
      </c>
      <c r="F294">
        <v>9.52</v>
      </c>
      <c r="G294">
        <v>69.47</v>
      </c>
      <c r="H294">
        <v>8753.2199999999993</v>
      </c>
    </row>
    <row r="295" spans="1:8" x14ac:dyDescent="0.35">
      <c r="A295" t="s">
        <v>6</v>
      </c>
      <c r="B295" t="s">
        <v>12</v>
      </c>
      <c r="C295" t="s">
        <v>9</v>
      </c>
      <c r="D295">
        <v>166</v>
      </c>
      <c r="E295">
        <v>13</v>
      </c>
      <c r="F295">
        <v>7.83</v>
      </c>
      <c r="G295">
        <v>22.07</v>
      </c>
      <c r="H295">
        <v>3663.62</v>
      </c>
    </row>
    <row r="296" spans="1:8" x14ac:dyDescent="0.35">
      <c r="A296" t="s">
        <v>7</v>
      </c>
      <c r="B296" t="s">
        <v>12</v>
      </c>
      <c r="C296" t="s">
        <v>10</v>
      </c>
      <c r="D296">
        <v>288</v>
      </c>
      <c r="E296">
        <v>21</v>
      </c>
      <c r="F296">
        <v>7.29</v>
      </c>
      <c r="G296">
        <v>36.94</v>
      </c>
      <c r="H296">
        <v>10638.72</v>
      </c>
    </row>
    <row r="297" spans="1:8" x14ac:dyDescent="0.35">
      <c r="A297" t="s">
        <v>6</v>
      </c>
      <c r="B297" t="s">
        <v>12</v>
      </c>
      <c r="C297" t="s">
        <v>11</v>
      </c>
      <c r="D297">
        <v>108</v>
      </c>
      <c r="E297">
        <v>4</v>
      </c>
      <c r="F297">
        <v>3.7</v>
      </c>
      <c r="G297">
        <v>56.82</v>
      </c>
      <c r="H297">
        <v>6136.56</v>
      </c>
    </row>
    <row r="298" spans="1:8" x14ac:dyDescent="0.35">
      <c r="A298" t="s">
        <v>5</v>
      </c>
      <c r="B298" t="s">
        <v>12</v>
      </c>
      <c r="C298" t="s">
        <v>9</v>
      </c>
      <c r="D298">
        <v>157</v>
      </c>
      <c r="E298">
        <v>0</v>
      </c>
      <c r="F298">
        <v>0</v>
      </c>
      <c r="G298">
        <v>56.72</v>
      </c>
      <c r="H298">
        <v>8905.0400000000009</v>
      </c>
    </row>
    <row r="299" spans="1:8" x14ac:dyDescent="0.35">
      <c r="A299" t="s">
        <v>8</v>
      </c>
      <c r="B299" t="s">
        <v>12</v>
      </c>
      <c r="C299" t="s">
        <v>9</v>
      </c>
      <c r="D299">
        <v>214</v>
      </c>
      <c r="E299">
        <v>21</v>
      </c>
      <c r="F299">
        <v>9.81</v>
      </c>
      <c r="G299">
        <v>16.059999999999999</v>
      </c>
      <c r="H299">
        <v>3436.84</v>
      </c>
    </row>
    <row r="300" spans="1:8" x14ac:dyDescent="0.35">
      <c r="A300" t="s">
        <v>6</v>
      </c>
      <c r="B300" t="s">
        <v>12</v>
      </c>
      <c r="C300" t="s">
        <v>11</v>
      </c>
      <c r="D300">
        <v>204</v>
      </c>
      <c r="E300">
        <v>7</v>
      </c>
      <c r="F300">
        <v>3.43</v>
      </c>
      <c r="G300">
        <v>34.880000000000003</v>
      </c>
      <c r="H300">
        <v>7115.52</v>
      </c>
    </row>
    <row r="301" spans="1:8" x14ac:dyDescent="0.35">
      <c r="A301" t="s">
        <v>6</v>
      </c>
      <c r="B301" t="s">
        <v>12</v>
      </c>
      <c r="C301" t="s">
        <v>9</v>
      </c>
      <c r="D301">
        <v>164</v>
      </c>
      <c r="E301">
        <v>7</v>
      </c>
      <c r="F301">
        <v>4.2699999999999996</v>
      </c>
      <c r="G301">
        <v>39.229999999999997</v>
      </c>
      <c r="H301">
        <v>6433.72</v>
      </c>
    </row>
    <row r="302" spans="1:8" x14ac:dyDescent="0.35">
      <c r="A302" t="s">
        <v>6</v>
      </c>
      <c r="B302" t="s">
        <v>12</v>
      </c>
      <c r="C302" t="s">
        <v>9</v>
      </c>
      <c r="D302">
        <v>180</v>
      </c>
      <c r="E302">
        <v>1</v>
      </c>
      <c r="F302">
        <v>0.56000000000000005</v>
      </c>
      <c r="G302">
        <v>53.19</v>
      </c>
      <c r="H302">
        <v>9574.2000000000007</v>
      </c>
    </row>
    <row r="303" spans="1:8" x14ac:dyDescent="0.35">
      <c r="A303" t="s">
        <v>7</v>
      </c>
      <c r="B303" t="s">
        <v>12</v>
      </c>
      <c r="C303" t="s">
        <v>9</v>
      </c>
      <c r="D303">
        <v>253</v>
      </c>
      <c r="E303">
        <v>9</v>
      </c>
      <c r="F303">
        <v>3.56</v>
      </c>
      <c r="G303">
        <v>29.64</v>
      </c>
      <c r="H303">
        <v>7498.92</v>
      </c>
    </row>
    <row r="304" spans="1:8" x14ac:dyDescent="0.35">
      <c r="A304" t="s">
        <v>7</v>
      </c>
      <c r="B304" t="s">
        <v>12</v>
      </c>
      <c r="C304" t="s">
        <v>10</v>
      </c>
      <c r="D304">
        <v>77</v>
      </c>
      <c r="E304">
        <v>4</v>
      </c>
      <c r="F304">
        <v>5.19</v>
      </c>
      <c r="G304">
        <v>14.61</v>
      </c>
      <c r="H304">
        <v>1124.97</v>
      </c>
    </row>
    <row r="305" spans="1:8" x14ac:dyDescent="0.35">
      <c r="A305" t="s">
        <v>7</v>
      </c>
      <c r="B305" t="s">
        <v>12</v>
      </c>
      <c r="C305" t="s">
        <v>9</v>
      </c>
      <c r="D305">
        <v>181</v>
      </c>
      <c r="E305">
        <v>6</v>
      </c>
      <c r="F305">
        <v>3.31</v>
      </c>
      <c r="G305">
        <v>45.07</v>
      </c>
      <c r="H305">
        <v>8157.67</v>
      </c>
    </row>
    <row r="306" spans="1:8" x14ac:dyDescent="0.35">
      <c r="A306" t="s">
        <v>6</v>
      </c>
      <c r="B306" t="s">
        <v>12</v>
      </c>
      <c r="C306" t="s">
        <v>9</v>
      </c>
      <c r="D306">
        <v>95</v>
      </c>
      <c r="E306">
        <v>5</v>
      </c>
      <c r="F306">
        <v>5.26</v>
      </c>
      <c r="G306">
        <v>60.06</v>
      </c>
      <c r="H306">
        <v>5705.7</v>
      </c>
    </row>
    <row r="307" spans="1:8" x14ac:dyDescent="0.35">
      <c r="A307" t="s">
        <v>6</v>
      </c>
      <c r="B307" t="s">
        <v>12</v>
      </c>
      <c r="C307" t="s">
        <v>11</v>
      </c>
      <c r="D307">
        <v>249</v>
      </c>
      <c r="E307">
        <v>13</v>
      </c>
      <c r="F307">
        <v>5.22</v>
      </c>
      <c r="G307">
        <v>25.64</v>
      </c>
      <c r="H307">
        <v>6384.36</v>
      </c>
    </row>
    <row r="308" spans="1:8" x14ac:dyDescent="0.35">
      <c r="A308" t="s">
        <v>7</v>
      </c>
      <c r="B308" t="s">
        <v>12</v>
      </c>
      <c r="C308" t="s">
        <v>10</v>
      </c>
      <c r="D308">
        <v>86</v>
      </c>
      <c r="E308">
        <v>0</v>
      </c>
      <c r="F308">
        <v>0</v>
      </c>
      <c r="G308">
        <v>55.47</v>
      </c>
      <c r="H308">
        <v>4770.42</v>
      </c>
    </row>
    <row r="309" spans="1:8" x14ac:dyDescent="0.35">
      <c r="A309" t="s">
        <v>5</v>
      </c>
      <c r="B309" t="s">
        <v>12</v>
      </c>
      <c r="C309" t="s">
        <v>9</v>
      </c>
      <c r="D309">
        <v>254</v>
      </c>
      <c r="E309">
        <v>23</v>
      </c>
      <c r="F309">
        <v>9.06</v>
      </c>
      <c r="G309">
        <v>67.72</v>
      </c>
      <c r="H309">
        <v>17200.88</v>
      </c>
    </row>
    <row r="310" spans="1:8" x14ac:dyDescent="0.35">
      <c r="A310" t="s">
        <v>7</v>
      </c>
      <c r="B310" t="s">
        <v>12</v>
      </c>
      <c r="C310" t="s">
        <v>10</v>
      </c>
      <c r="D310">
        <v>187</v>
      </c>
      <c r="E310">
        <v>4</v>
      </c>
      <c r="F310">
        <v>2.14</v>
      </c>
      <c r="G310">
        <v>7.6</v>
      </c>
      <c r="H310">
        <v>1421.2</v>
      </c>
    </row>
    <row r="311" spans="1:8" x14ac:dyDescent="0.35">
      <c r="A311" t="s">
        <v>7</v>
      </c>
      <c r="B311" t="s">
        <v>12</v>
      </c>
      <c r="C311" t="s">
        <v>10</v>
      </c>
      <c r="D311">
        <v>95</v>
      </c>
      <c r="E311">
        <v>6</v>
      </c>
      <c r="F311">
        <v>6.32</v>
      </c>
      <c r="G311">
        <v>53.48</v>
      </c>
      <c r="H311">
        <v>5080.6000000000004</v>
      </c>
    </row>
    <row r="312" spans="1:8" x14ac:dyDescent="0.35">
      <c r="A312" t="s">
        <v>8</v>
      </c>
      <c r="B312" t="s">
        <v>12</v>
      </c>
      <c r="C312" t="s">
        <v>9</v>
      </c>
      <c r="D312">
        <v>114</v>
      </c>
      <c r="E312">
        <v>7</v>
      </c>
      <c r="F312">
        <v>6.14</v>
      </c>
      <c r="G312">
        <v>63.54</v>
      </c>
      <c r="H312">
        <v>7243.56</v>
      </c>
    </row>
    <row r="313" spans="1:8" x14ac:dyDescent="0.35">
      <c r="A313" t="s">
        <v>7</v>
      </c>
      <c r="B313" t="s">
        <v>12</v>
      </c>
      <c r="C313" t="s">
        <v>9</v>
      </c>
      <c r="D313">
        <v>134</v>
      </c>
      <c r="E313">
        <v>13</v>
      </c>
      <c r="F313">
        <v>9.6999999999999993</v>
      </c>
      <c r="G313">
        <v>15.43</v>
      </c>
      <c r="H313">
        <v>2067.62</v>
      </c>
    </row>
    <row r="314" spans="1:8" x14ac:dyDescent="0.35">
      <c r="A314" t="s">
        <v>8</v>
      </c>
      <c r="B314" t="s">
        <v>12</v>
      </c>
      <c r="C314" t="s">
        <v>9</v>
      </c>
      <c r="D314">
        <v>118</v>
      </c>
      <c r="E314">
        <v>5</v>
      </c>
      <c r="F314">
        <v>4.24</v>
      </c>
      <c r="G314">
        <v>68.58</v>
      </c>
      <c r="H314">
        <v>8092.44</v>
      </c>
    </row>
    <row r="315" spans="1:8" x14ac:dyDescent="0.35">
      <c r="A315" t="s">
        <v>7</v>
      </c>
      <c r="B315" t="s">
        <v>12</v>
      </c>
      <c r="C315" t="s">
        <v>10</v>
      </c>
      <c r="D315">
        <v>60</v>
      </c>
      <c r="E315">
        <v>4</v>
      </c>
      <c r="F315">
        <v>6.67</v>
      </c>
      <c r="G315">
        <v>10.46</v>
      </c>
      <c r="H315">
        <v>627.6</v>
      </c>
    </row>
    <row r="316" spans="1:8" x14ac:dyDescent="0.35">
      <c r="A316" t="s">
        <v>8</v>
      </c>
      <c r="B316" t="s">
        <v>12</v>
      </c>
      <c r="C316" t="s">
        <v>9</v>
      </c>
      <c r="D316">
        <v>226</v>
      </c>
      <c r="E316">
        <v>22</v>
      </c>
      <c r="F316">
        <v>9.73</v>
      </c>
      <c r="G316">
        <v>57.64</v>
      </c>
      <c r="H316">
        <v>13026.64</v>
      </c>
    </row>
    <row r="317" spans="1:8" x14ac:dyDescent="0.35">
      <c r="A317" t="s">
        <v>6</v>
      </c>
      <c r="B317" t="s">
        <v>12</v>
      </c>
      <c r="C317" t="s">
        <v>11</v>
      </c>
      <c r="D317">
        <v>80</v>
      </c>
      <c r="E317">
        <v>7</v>
      </c>
      <c r="F317">
        <v>8.75</v>
      </c>
      <c r="G317">
        <v>7.9</v>
      </c>
      <c r="H317">
        <v>632</v>
      </c>
    </row>
    <row r="318" spans="1:8" x14ac:dyDescent="0.35">
      <c r="A318" t="s">
        <v>8</v>
      </c>
      <c r="B318" t="s">
        <v>12</v>
      </c>
      <c r="C318" t="s">
        <v>9</v>
      </c>
      <c r="D318">
        <v>153</v>
      </c>
      <c r="E318">
        <v>0</v>
      </c>
      <c r="F318">
        <v>0</v>
      </c>
      <c r="G318">
        <v>22.62</v>
      </c>
      <c r="H318">
        <v>3460.86</v>
      </c>
    </row>
    <row r="319" spans="1:8" x14ac:dyDescent="0.35">
      <c r="A319" t="s">
        <v>8</v>
      </c>
      <c r="B319" t="s">
        <v>12</v>
      </c>
      <c r="C319" t="s">
        <v>9</v>
      </c>
      <c r="D319">
        <v>206</v>
      </c>
      <c r="E319">
        <v>11</v>
      </c>
      <c r="F319">
        <v>5.34</v>
      </c>
      <c r="G319">
        <v>20.68</v>
      </c>
      <c r="H319">
        <v>4260.08</v>
      </c>
    </row>
    <row r="320" spans="1:8" x14ac:dyDescent="0.35">
      <c r="A320" t="s">
        <v>7</v>
      </c>
      <c r="B320" t="s">
        <v>12</v>
      </c>
      <c r="C320" t="s">
        <v>9</v>
      </c>
      <c r="D320">
        <v>266</v>
      </c>
      <c r="E320">
        <v>8</v>
      </c>
      <c r="F320">
        <v>3.01</v>
      </c>
      <c r="G320">
        <v>62.71</v>
      </c>
      <c r="H320">
        <v>16680.86</v>
      </c>
    </row>
    <row r="321" spans="1:8" x14ac:dyDescent="0.35">
      <c r="A321" t="s">
        <v>5</v>
      </c>
      <c r="B321" t="s">
        <v>12</v>
      </c>
      <c r="C321" t="s">
        <v>9</v>
      </c>
      <c r="D321">
        <v>120</v>
      </c>
      <c r="E321">
        <v>1</v>
      </c>
      <c r="F321">
        <v>0.83</v>
      </c>
      <c r="G321">
        <v>45.27</v>
      </c>
      <c r="H321">
        <v>5432.4</v>
      </c>
    </row>
    <row r="322" spans="1:8" x14ac:dyDescent="0.35">
      <c r="A322" t="s">
        <v>7</v>
      </c>
      <c r="B322" t="s">
        <v>12</v>
      </c>
      <c r="C322" t="s">
        <v>10</v>
      </c>
      <c r="D322">
        <v>243</v>
      </c>
      <c r="E322">
        <v>13</v>
      </c>
      <c r="F322">
        <v>5.35</v>
      </c>
      <c r="G322">
        <v>24.81</v>
      </c>
      <c r="H322">
        <v>6028.83</v>
      </c>
    </row>
    <row r="323" spans="1:8" x14ac:dyDescent="0.35">
      <c r="A323" t="s">
        <v>6</v>
      </c>
      <c r="B323" t="s">
        <v>12</v>
      </c>
      <c r="C323" t="s">
        <v>9</v>
      </c>
      <c r="D323">
        <v>257</v>
      </c>
      <c r="E323">
        <v>23</v>
      </c>
      <c r="F323">
        <v>8.9499999999999993</v>
      </c>
      <c r="G323">
        <v>39.57</v>
      </c>
      <c r="H323">
        <v>10169.49</v>
      </c>
    </row>
    <row r="324" spans="1:8" x14ac:dyDescent="0.35">
      <c r="A324" t="s">
        <v>7</v>
      </c>
      <c r="B324" t="s">
        <v>12</v>
      </c>
      <c r="C324" t="s">
        <v>9</v>
      </c>
      <c r="D324">
        <v>141</v>
      </c>
      <c r="E324">
        <v>4</v>
      </c>
      <c r="F324">
        <v>2.84</v>
      </c>
      <c r="G324">
        <v>38.03</v>
      </c>
      <c r="H324">
        <v>5362.23</v>
      </c>
    </row>
    <row r="325" spans="1:8" x14ac:dyDescent="0.35">
      <c r="A325" t="s">
        <v>5</v>
      </c>
      <c r="B325" t="s">
        <v>12</v>
      </c>
      <c r="C325" t="s">
        <v>9</v>
      </c>
      <c r="D325">
        <v>171</v>
      </c>
      <c r="E325">
        <v>15</v>
      </c>
      <c r="F325">
        <v>8.77</v>
      </c>
      <c r="G325">
        <v>9.32</v>
      </c>
      <c r="H325">
        <v>1593.72</v>
      </c>
    </row>
    <row r="326" spans="1:8" x14ac:dyDescent="0.35">
      <c r="A326" t="s">
        <v>6</v>
      </c>
      <c r="B326" t="s">
        <v>12</v>
      </c>
      <c r="C326" t="s">
        <v>11</v>
      </c>
      <c r="D326">
        <v>101</v>
      </c>
      <c r="E326">
        <v>1</v>
      </c>
      <c r="F326">
        <v>0.99</v>
      </c>
      <c r="G326">
        <v>16.34</v>
      </c>
      <c r="H326">
        <v>1650.34</v>
      </c>
    </row>
    <row r="327" spans="1:8" x14ac:dyDescent="0.35">
      <c r="A327" t="s">
        <v>7</v>
      </c>
      <c r="B327" t="s">
        <v>12</v>
      </c>
      <c r="C327" t="s">
        <v>9</v>
      </c>
      <c r="D327">
        <v>154</v>
      </c>
      <c r="E327">
        <v>15</v>
      </c>
      <c r="F327">
        <v>9.74</v>
      </c>
      <c r="G327">
        <v>40.69</v>
      </c>
      <c r="H327">
        <v>6266.26</v>
      </c>
    </row>
    <row r="328" spans="1:8" x14ac:dyDescent="0.35">
      <c r="A328" t="s">
        <v>8</v>
      </c>
      <c r="B328" t="s">
        <v>12</v>
      </c>
      <c r="C328" t="s">
        <v>9</v>
      </c>
      <c r="D328">
        <v>54</v>
      </c>
      <c r="E328">
        <v>2</v>
      </c>
      <c r="F328">
        <v>3.7</v>
      </c>
      <c r="G328">
        <v>29.67</v>
      </c>
      <c r="H328">
        <v>1602.18</v>
      </c>
    </row>
    <row r="329" spans="1:8" x14ac:dyDescent="0.35">
      <c r="A329" t="s">
        <v>5</v>
      </c>
      <c r="B329" t="s">
        <v>12</v>
      </c>
      <c r="C329" t="s">
        <v>9</v>
      </c>
      <c r="D329">
        <v>89</v>
      </c>
      <c r="E329">
        <v>3</v>
      </c>
      <c r="F329">
        <v>3.37</v>
      </c>
      <c r="G329">
        <v>68.349999999999994</v>
      </c>
      <c r="H329">
        <v>6083.15</v>
      </c>
    </row>
    <row r="330" spans="1:8" x14ac:dyDescent="0.35">
      <c r="A330" t="s">
        <v>8</v>
      </c>
      <c r="B330" t="s">
        <v>12</v>
      </c>
      <c r="C330" t="s">
        <v>9</v>
      </c>
      <c r="D330">
        <v>195</v>
      </c>
      <c r="E330">
        <v>4</v>
      </c>
      <c r="F330">
        <v>2.0499999999999998</v>
      </c>
      <c r="G330">
        <v>10.75</v>
      </c>
      <c r="H330">
        <v>2096.25</v>
      </c>
    </row>
    <row r="331" spans="1:8" x14ac:dyDescent="0.35">
      <c r="A331" t="s">
        <v>5</v>
      </c>
      <c r="B331" t="s">
        <v>12</v>
      </c>
      <c r="C331" t="s">
        <v>9</v>
      </c>
      <c r="D331">
        <v>73</v>
      </c>
      <c r="E331">
        <v>6</v>
      </c>
      <c r="F331">
        <v>8.2200000000000006</v>
      </c>
      <c r="G331">
        <v>29.97</v>
      </c>
      <c r="H331">
        <v>2187.81</v>
      </c>
    </row>
    <row r="332" spans="1:8" x14ac:dyDescent="0.35">
      <c r="A332" t="s">
        <v>8</v>
      </c>
      <c r="B332" t="s">
        <v>12</v>
      </c>
      <c r="C332" t="s">
        <v>9</v>
      </c>
      <c r="D332">
        <v>154</v>
      </c>
      <c r="E332">
        <v>13</v>
      </c>
      <c r="F332">
        <v>8.44</v>
      </c>
      <c r="G332">
        <v>63.05</v>
      </c>
      <c r="H332">
        <v>9709.7000000000007</v>
      </c>
    </row>
    <row r="333" spans="1:8" x14ac:dyDescent="0.35">
      <c r="A333" t="s">
        <v>6</v>
      </c>
      <c r="B333" t="s">
        <v>12</v>
      </c>
      <c r="C333" t="s">
        <v>11</v>
      </c>
      <c r="D333">
        <v>185</v>
      </c>
      <c r="E333">
        <v>4</v>
      </c>
      <c r="F333">
        <v>2.16</v>
      </c>
      <c r="G333">
        <v>50.04</v>
      </c>
      <c r="H333">
        <v>9257.4</v>
      </c>
    </row>
    <row r="334" spans="1:8" x14ac:dyDescent="0.35">
      <c r="A334" t="s">
        <v>6</v>
      </c>
      <c r="B334" t="s">
        <v>12</v>
      </c>
      <c r="C334" t="s">
        <v>11</v>
      </c>
      <c r="D334">
        <v>180</v>
      </c>
      <c r="E334">
        <v>13</v>
      </c>
      <c r="F334">
        <v>7.22</v>
      </c>
      <c r="G334">
        <v>48.23</v>
      </c>
      <c r="H334">
        <v>8681.4</v>
      </c>
    </row>
    <row r="335" spans="1:8" x14ac:dyDescent="0.35">
      <c r="A335" t="s">
        <v>6</v>
      </c>
      <c r="B335" t="s">
        <v>12</v>
      </c>
      <c r="C335" t="s">
        <v>9</v>
      </c>
      <c r="D335">
        <v>147</v>
      </c>
      <c r="E335">
        <v>14</v>
      </c>
      <c r="F335">
        <v>9.52</v>
      </c>
      <c r="G335">
        <v>28.62</v>
      </c>
      <c r="H335">
        <v>4207.1400000000003</v>
      </c>
    </row>
    <row r="336" spans="1:8" x14ac:dyDescent="0.35">
      <c r="A336" t="s">
        <v>7</v>
      </c>
      <c r="B336" t="s">
        <v>12</v>
      </c>
      <c r="C336" t="s">
        <v>10</v>
      </c>
      <c r="D336">
        <v>206</v>
      </c>
      <c r="E336">
        <v>3</v>
      </c>
      <c r="F336">
        <v>1.46</v>
      </c>
      <c r="G336">
        <v>6.38</v>
      </c>
      <c r="H336">
        <v>1314.28</v>
      </c>
    </row>
    <row r="337" spans="1:8" x14ac:dyDescent="0.35">
      <c r="A337" t="s">
        <v>5</v>
      </c>
      <c r="B337" t="s">
        <v>12</v>
      </c>
      <c r="C337" t="s">
        <v>9</v>
      </c>
      <c r="D337">
        <v>61</v>
      </c>
      <c r="E337">
        <v>5</v>
      </c>
      <c r="F337">
        <v>8.1999999999999993</v>
      </c>
      <c r="G337">
        <v>30.49</v>
      </c>
      <c r="H337">
        <v>1859.89</v>
      </c>
    </row>
    <row r="338" spans="1:8" x14ac:dyDescent="0.35">
      <c r="A338" t="s">
        <v>5</v>
      </c>
      <c r="B338" t="s">
        <v>12</v>
      </c>
      <c r="C338" t="s">
        <v>9</v>
      </c>
      <c r="D338">
        <v>225</v>
      </c>
      <c r="E338">
        <v>19</v>
      </c>
      <c r="F338">
        <v>8.44</v>
      </c>
      <c r="G338">
        <v>67.34</v>
      </c>
      <c r="H338">
        <v>15151.5</v>
      </c>
    </row>
    <row r="339" spans="1:8" x14ac:dyDescent="0.35">
      <c r="A339" t="s">
        <v>7</v>
      </c>
      <c r="B339" t="s">
        <v>12</v>
      </c>
      <c r="C339" t="s">
        <v>9</v>
      </c>
      <c r="D339">
        <v>225</v>
      </c>
      <c r="E339">
        <v>12</v>
      </c>
      <c r="F339">
        <v>5.33</v>
      </c>
      <c r="G339">
        <v>53.68</v>
      </c>
      <c r="H339">
        <v>12078</v>
      </c>
    </row>
    <row r="340" spans="1:8" x14ac:dyDescent="0.35">
      <c r="A340" t="s">
        <v>6</v>
      </c>
      <c r="B340" t="s">
        <v>12</v>
      </c>
      <c r="C340" t="s">
        <v>11</v>
      </c>
      <c r="D340">
        <v>111</v>
      </c>
      <c r="E340">
        <v>6</v>
      </c>
      <c r="F340">
        <v>5.41</v>
      </c>
      <c r="G340">
        <v>13.88</v>
      </c>
      <c r="H340">
        <v>1540.68</v>
      </c>
    </row>
    <row r="341" spans="1:8" x14ac:dyDescent="0.35">
      <c r="A341" t="s">
        <v>6</v>
      </c>
      <c r="B341" t="s">
        <v>12</v>
      </c>
      <c r="C341" t="s">
        <v>11</v>
      </c>
      <c r="D341">
        <v>290</v>
      </c>
      <c r="E341">
        <v>20</v>
      </c>
      <c r="F341">
        <v>6.9</v>
      </c>
      <c r="G341">
        <v>52.83</v>
      </c>
      <c r="H341">
        <v>15320.7</v>
      </c>
    </row>
    <row r="342" spans="1:8" x14ac:dyDescent="0.35">
      <c r="A342" t="s">
        <v>7</v>
      </c>
      <c r="B342" t="s">
        <v>12</v>
      </c>
      <c r="C342" t="s">
        <v>9</v>
      </c>
      <c r="D342">
        <v>70</v>
      </c>
      <c r="E342">
        <v>1</v>
      </c>
      <c r="F342">
        <v>1.43</v>
      </c>
      <c r="G342">
        <v>39.67</v>
      </c>
      <c r="H342">
        <v>2776.9</v>
      </c>
    </row>
    <row r="343" spans="1:8" x14ac:dyDescent="0.35">
      <c r="A343" t="s">
        <v>8</v>
      </c>
      <c r="B343" t="s">
        <v>12</v>
      </c>
      <c r="C343" t="s">
        <v>9</v>
      </c>
      <c r="D343">
        <v>118</v>
      </c>
      <c r="E343">
        <v>6</v>
      </c>
      <c r="F343">
        <v>5.08</v>
      </c>
      <c r="G343">
        <v>30.31</v>
      </c>
      <c r="H343">
        <v>3576.58</v>
      </c>
    </row>
    <row r="344" spans="1:8" x14ac:dyDescent="0.35">
      <c r="A344" t="s">
        <v>7</v>
      </c>
      <c r="B344" t="s">
        <v>12</v>
      </c>
      <c r="C344" t="s">
        <v>10</v>
      </c>
      <c r="D344">
        <v>227</v>
      </c>
      <c r="E344">
        <v>1</v>
      </c>
      <c r="F344">
        <v>0.44</v>
      </c>
      <c r="G344">
        <v>39.340000000000003</v>
      </c>
      <c r="H344">
        <v>8930.18</v>
      </c>
    </row>
    <row r="345" spans="1:8" x14ac:dyDescent="0.35">
      <c r="A345" t="s">
        <v>8</v>
      </c>
      <c r="B345" t="s">
        <v>12</v>
      </c>
      <c r="C345" t="s">
        <v>9</v>
      </c>
      <c r="D345">
        <v>126</v>
      </c>
      <c r="E345">
        <v>9</v>
      </c>
      <c r="F345">
        <v>7.14</v>
      </c>
      <c r="G345">
        <v>35.4</v>
      </c>
      <c r="H345">
        <v>4460.3999999999996</v>
      </c>
    </row>
    <row r="346" spans="1:8" x14ac:dyDescent="0.35">
      <c r="A346" t="s">
        <v>6</v>
      </c>
      <c r="B346" t="s">
        <v>12</v>
      </c>
      <c r="C346" t="s">
        <v>9</v>
      </c>
      <c r="D346">
        <v>210</v>
      </c>
      <c r="E346">
        <v>10</v>
      </c>
      <c r="F346">
        <v>4.76</v>
      </c>
      <c r="G346">
        <v>7.78</v>
      </c>
      <c r="H346">
        <v>1633.8</v>
      </c>
    </row>
    <row r="347" spans="1:8" x14ac:dyDescent="0.35">
      <c r="A347" t="s">
        <v>6</v>
      </c>
      <c r="B347" t="s">
        <v>12</v>
      </c>
      <c r="C347" t="s">
        <v>11</v>
      </c>
      <c r="D347">
        <v>216</v>
      </c>
      <c r="E347">
        <v>1</v>
      </c>
      <c r="F347">
        <v>0.46</v>
      </c>
      <c r="G347">
        <v>35.049999999999997</v>
      </c>
      <c r="H347">
        <v>7570.8</v>
      </c>
    </row>
    <row r="348" spans="1:8" x14ac:dyDescent="0.35">
      <c r="A348" t="s">
        <v>7</v>
      </c>
      <c r="B348" t="s">
        <v>12</v>
      </c>
      <c r="C348" t="s">
        <v>9</v>
      </c>
      <c r="D348">
        <v>53</v>
      </c>
      <c r="E348">
        <v>2</v>
      </c>
      <c r="F348">
        <v>3.77</v>
      </c>
      <c r="G348">
        <v>8.51</v>
      </c>
      <c r="H348">
        <v>451.03</v>
      </c>
    </row>
    <row r="349" spans="1:8" x14ac:dyDescent="0.35">
      <c r="A349" t="s">
        <v>7</v>
      </c>
      <c r="B349" t="s">
        <v>12</v>
      </c>
      <c r="C349" t="s">
        <v>9</v>
      </c>
      <c r="D349">
        <v>155</v>
      </c>
      <c r="E349">
        <v>5</v>
      </c>
      <c r="F349">
        <v>3.23</v>
      </c>
      <c r="G349">
        <v>62.28</v>
      </c>
      <c r="H349">
        <v>9653.4</v>
      </c>
    </row>
    <row r="350" spans="1:8" x14ac:dyDescent="0.35">
      <c r="A350" t="s">
        <v>8</v>
      </c>
      <c r="B350" t="s">
        <v>12</v>
      </c>
      <c r="C350" t="s">
        <v>9</v>
      </c>
      <c r="D350">
        <v>210</v>
      </c>
      <c r="E350">
        <v>7</v>
      </c>
      <c r="F350">
        <v>3.33</v>
      </c>
      <c r="G350">
        <v>30.6</v>
      </c>
      <c r="H350">
        <v>6426</v>
      </c>
    </row>
    <row r="351" spans="1:8" x14ac:dyDescent="0.35">
      <c r="A351" t="s">
        <v>8</v>
      </c>
      <c r="B351" t="s">
        <v>12</v>
      </c>
      <c r="C351" t="s">
        <v>9</v>
      </c>
      <c r="D351">
        <v>90</v>
      </c>
      <c r="E351">
        <v>0</v>
      </c>
      <c r="F351">
        <v>0</v>
      </c>
      <c r="G351">
        <v>40.32</v>
      </c>
      <c r="H351">
        <v>3628.8</v>
      </c>
    </row>
    <row r="352" spans="1:8" x14ac:dyDescent="0.35">
      <c r="A352" t="s">
        <v>6</v>
      </c>
      <c r="B352" t="s">
        <v>12</v>
      </c>
      <c r="C352" t="s">
        <v>9</v>
      </c>
      <c r="D352">
        <v>107</v>
      </c>
      <c r="E352">
        <v>0</v>
      </c>
      <c r="F352">
        <v>0</v>
      </c>
      <c r="G352">
        <v>6.41</v>
      </c>
      <c r="H352">
        <v>685.87</v>
      </c>
    </row>
    <row r="353" spans="1:8" x14ac:dyDescent="0.35">
      <c r="A353" t="s">
        <v>6</v>
      </c>
      <c r="B353" t="s">
        <v>12</v>
      </c>
      <c r="C353" t="s">
        <v>11</v>
      </c>
      <c r="D353">
        <v>56</v>
      </c>
      <c r="E353">
        <v>5</v>
      </c>
      <c r="F353">
        <v>8.93</v>
      </c>
      <c r="G353">
        <v>33.86</v>
      </c>
      <c r="H353">
        <v>1896.16</v>
      </c>
    </row>
    <row r="354" spans="1:8" x14ac:dyDescent="0.35">
      <c r="A354" t="s">
        <v>6</v>
      </c>
      <c r="B354" t="s">
        <v>12</v>
      </c>
      <c r="C354" t="s">
        <v>11</v>
      </c>
      <c r="D354">
        <v>131</v>
      </c>
      <c r="E354">
        <v>7</v>
      </c>
      <c r="F354">
        <v>5.34</v>
      </c>
      <c r="G354">
        <v>55.22</v>
      </c>
      <c r="H354">
        <v>7233.82</v>
      </c>
    </row>
    <row r="355" spans="1:8" x14ac:dyDescent="0.35">
      <c r="A355" t="s">
        <v>7</v>
      </c>
      <c r="B355" t="s">
        <v>12</v>
      </c>
      <c r="C355" t="s">
        <v>10</v>
      </c>
      <c r="D355">
        <v>56</v>
      </c>
      <c r="E355">
        <v>1</v>
      </c>
      <c r="F355">
        <v>1.79</v>
      </c>
      <c r="G355">
        <v>20.6</v>
      </c>
      <c r="H355">
        <v>1153.5999999999999</v>
      </c>
    </row>
    <row r="356" spans="1:8" x14ac:dyDescent="0.35">
      <c r="A356" t="s">
        <v>7</v>
      </c>
      <c r="B356" t="s">
        <v>12</v>
      </c>
      <c r="C356" t="s">
        <v>10</v>
      </c>
      <c r="D356">
        <v>156</v>
      </c>
      <c r="E356">
        <v>12</v>
      </c>
      <c r="F356">
        <v>7.69</v>
      </c>
      <c r="G356">
        <v>64.900000000000006</v>
      </c>
      <c r="H356">
        <v>10124.4</v>
      </c>
    </row>
    <row r="357" spans="1:8" x14ac:dyDescent="0.35">
      <c r="A357" t="s">
        <v>6</v>
      </c>
      <c r="B357" t="s">
        <v>12</v>
      </c>
      <c r="C357" t="s">
        <v>9</v>
      </c>
      <c r="D357">
        <v>280</v>
      </c>
      <c r="E357">
        <v>3</v>
      </c>
      <c r="F357">
        <v>1.07</v>
      </c>
      <c r="G357">
        <v>24.93</v>
      </c>
      <c r="H357">
        <v>6980.4</v>
      </c>
    </row>
    <row r="358" spans="1:8" x14ac:dyDescent="0.35">
      <c r="A358" t="s">
        <v>8</v>
      </c>
      <c r="B358" t="s">
        <v>12</v>
      </c>
      <c r="C358" t="s">
        <v>9</v>
      </c>
      <c r="D358">
        <v>268</v>
      </c>
      <c r="E358">
        <v>3</v>
      </c>
      <c r="F358">
        <v>1.1200000000000001</v>
      </c>
      <c r="G358">
        <v>63.08</v>
      </c>
      <c r="H358">
        <v>16905.439999999999</v>
      </c>
    </row>
    <row r="359" spans="1:8" x14ac:dyDescent="0.35">
      <c r="A359" t="s">
        <v>6</v>
      </c>
      <c r="B359" t="s">
        <v>12</v>
      </c>
      <c r="C359" t="s">
        <v>9</v>
      </c>
      <c r="D359">
        <v>80</v>
      </c>
      <c r="E359">
        <v>0</v>
      </c>
      <c r="F359">
        <v>0</v>
      </c>
      <c r="G359">
        <v>7.21</v>
      </c>
      <c r="H359">
        <v>576.79999999999995</v>
      </c>
    </row>
    <row r="360" spans="1:8" x14ac:dyDescent="0.35">
      <c r="A360" t="s">
        <v>6</v>
      </c>
      <c r="B360" t="s">
        <v>12</v>
      </c>
      <c r="C360" t="s">
        <v>9</v>
      </c>
      <c r="D360">
        <v>196</v>
      </c>
      <c r="E360">
        <v>18</v>
      </c>
      <c r="F360">
        <v>9.18</v>
      </c>
      <c r="G360">
        <v>41.99</v>
      </c>
      <c r="H360">
        <v>8230.0400000000009</v>
      </c>
    </row>
    <row r="361" spans="1:8" x14ac:dyDescent="0.35">
      <c r="A361" t="s">
        <v>6</v>
      </c>
      <c r="B361" t="s">
        <v>12</v>
      </c>
      <c r="C361" t="s">
        <v>11</v>
      </c>
      <c r="D361">
        <v>173</v>
      </c>
      <c r="E361">
        <v>1</v>
      </c>
      <c r="F361">
        <v>0.57999999999999996</v>
      </c>
      <c r="G361">
        <v>43.65</v>
      </c>
      <c r="H361">
        <v>7551.45</v>
      </c>
    </row>
    <row r="362" spans="1:8" x14ac:dyDescent="0.35">
      <c r="A362" t="s">
        <v>7</v>
      </c>
      <c r="B362" t="s">
        <v>12</v>
      </c>
      <c r="C362" t="s">
        <v>10</v>
      </c>
      <c r="D362">
        <v>63</v>
      </c>
      <c r="E362">
        <v>1</v>
      </c>
      <c r="F362">
        <v>1.59</v>
      </c>
      <c r="G362">
        <v>14.06</v>
      </c>
      <c r="H362">
        <v>885.78</v>
      </c>
    </row>
    <row r="363" spans="1:8" x14ac:dyDescent="0.35">
      <c r="A363" t="s">
        <v>7</v>
      </c>
      <c r="B363" t="s">
        <v>12</v>
      </c>
      <c r="C363" t="s">
        <v>9</v>
      </c>
      <c r="D363">
        <v>107</v>
      </c>
      <c r="E363">
        <v>4</v>
      </c>
      <c r="F363">
        <v>3.74</v>
      </c>
      <c r="G363">
        <v>16.329999999999998</v>
      </c>
      <c r="H363">
        <v>1747.31</v>
      </c>
    </row>
    <row r="364" spans="1:8" x14ac:dyDescent="0.35">
      <c r="A364" t="s">
        <v>6</v>
      </c>
      <c r="B364" t="s">
        <v>12</v>
      </c>
      <c r="C364" t="s">
        <v>9</v>
      </c>
      <c r="D364">
        <v>170</v>
      </c>
      <c r="E364">
        <v>7</v>
      </c>
      <c r="F364">
        <v>4.12</v>
      </c>
      <c r="G364">
        <v>55.96</v>
      </c>
      <c r="H364">
        <v>9513.2000000000007</v>
      </c>
    </row>
    <row r="365" spans="1:8" x14ac:dyDescent="0.35">
      <c r="A365" t="s">
        <v>7</v>
      </c>
      <c r="B365" t="s">
        <v>12</v>
      </c>
      <c r="C365" t="s">
        <v>10</v>
      </c>
      <c r="D365">
        <v>76</v>
      </c>
      <c r="E365">
        <v>6</v>
      </c>
      <c r="F365">
        <v>7.89</v>
      </c>
      <c r="G365">
        <v>53.34</v>
      </c>
      <c r="H365">
        <v>4053.84</v>
      </c>
    </row>
    <row r="366" spans="1:8" x14ac:dyDescent="0.35">
      <c r="A366" t="s">
        <v>5</v>
      </c>
      <c r="B366" t="s">
        <v>12</v>
      </c>
      <c r="C366" t="s">
        <v>9</v>
      </c>
      <c r="D366">
        <v>216</v>
      </c>
      <c r="E366">
        <v>1</v>
      </c>
      <c r="F366">
        <v>0.46</v>
      </c>
      <c r="G366">
        <v>43.99</v>
      </c>
      <c r="H366">
        <v>9501.84</v>
      </c>
    </row>
    <row r="367" spans="1:8" x14ac:dyDescent="0.35">
      <c r="A367" t="s">
        <v>7</v>
      </c>
      <c r="B367" t="s">
        <v>12</v>
      </c>
      <c r="C367" t="s">
        <v>9</v>
      </c>
      <c r="D367">
        <v>84</v>
      </c>
      <c r="E367">
        <v>2</v>
      </c>
      <c r="F367">
        <v>2.38</v>
      </c>
      <c r="G367">
        <v>39.06</v>
      </c>
      <c r="H367">
        <v>3281.04</v>
      </c>
    </row>
    <row r="368" spans="1:8" x14ac:dyDescent="0.35">
      <c r="A368" t="s">
        <v>6</v>
      </c>
      <c r="B368" t="s">
        <v>12</v>
      </c>
      <c r="C368" t="s">
        <v>11</v>
      </c>
      <c r="D368">
        <v>91</v>
      </c>
      <c r="E368">
        <v>5</v>
      </c>
      <c r="F368">
        <v>5.49</v>
      </c>
      <c r="G368">
        <v>59.89</v>
      </c>
      <c r="H368">
        <v>5449.99</v>
      </c>
    </row>
    <row r="369" spans="1:8" x14ac:dyDescent="0.35">
      <c r="A369" t="s">
        <v>7</v>
      </c>
      <c r="B369" t="s">
        <v>12</v>
      </c>
      <c r="C369" t="s">
        <v>10</v>
      </c>
      <c r="D369">
        <v>242</v>
      </c>
      <c r="E369">
        <v>2</v>
      </c>
      <c r="F369">
        <v>0.83</v>
      </c>
      <c r="G369">
        <v>48.31</v>
      </c>
      <c r="H369">
        <v>11691.02</v>
      </c>
    </row>
    <row r="370" spans="1:8" x14ac:dyDescent="0.35">
      <c r="A370" t="s">
        <v>7</v>
      </c>
      <c r="B370" t="s">
        <v>12</v>
      </c>
      <c r="C370" t="s">
        <v>10</v>
      </c>
      <c r="D370">
        <v>199</v>
      </c>
      <c r="E370">
        <v>18</v>
      </c>
      <c r="F370">
        <v>9.0500000000000007</v>
      </c>
      <c r="G370">
        <v>44.78</v>
      </c>
      <c r="H370">
        <v>8911.2199999999993</v>
      </c>
    </row>
    <row r="371" spans="1:8" x14ac:dyDescent="0.35">
      <c r="A371" t="s">
        <v>6</v>
      </c>
      <c r="B371" t="s">
        <v>12</v>
      </c>
      <c r="C371" t="s">
        <v>11</v>
      </c>
      <c r="D371">
        <v>205</v>
      </c>
      <c r="E371">
        <v>17</v>
      </c>
      <c r="F371">
        <v>8.2899999999999991</v>
      </c>
      <c r="G371">
        <v>12.51</v>
      </c>
      <c r="H371">
        <v>2564.5500000000002</v>
      </c>
    </row>
    <row r="372" spans="1:8" x14ac:dyDescent="0.35">
      <c r="A372" t="s">
        <v>6</v>
      </c>
      <c r="B372" t="s">
        <v>12</v>
      </c>
      <c r="C372" t="s">
        <v>9</v>
      </c>
      <c r="D372">
        <v>295</v>
      </c>
      <c r="E372">
        <v>14</v>
      </c>
      <c r="F372">
        <v>4.75</v>
      </c>
      <c r="G372">
        <v>56.19</v>
      </c>
      <c r="H372">
        <v>16576.05</v>
      </c>
    </row>
    <row r="373" spans="1:8" x14ac:dyDescent="0.35">
      <c r="A373" t="s">
        <v>6</v>
      </c>
      <c r="B373" t="s">
        <v>12</v>
      </c>
      <c r="C373" t="s">
        <v>11</v>
      </c>
      <c r="D373">
        <v>157</v>
      </c>
      <c r="E373">
        <v>11</v>
      </c>
      <c r="F373">
        <v>7.01</v>
      </c>
      <c r="G373">
        <v>34.729999999999997</v>
      </c>
      <c r="H373">
        <v>5452.61</v>
      </c>
    </row>
    <row r="374" spans="1:8" x14ac:dyDescent="0.35">
      <c r="A374" t="s">
        <v>6</v>
      </c>
      <c r="B374" t="s">
        <v>12</v>
      </c>
      <c r="C374" t="s">
        <v>9</v>
      </c>
      <c r="D374">
        <v>55</v>
      </c>
      <c r="E374">
        <v>5</v>
      </c>
      <c r="F374">
        <v>9.09</v>
      </c>
      <c r="G374">
        <v>63.12</v>
      </c>
      <c r="H374">
        <v>3471.6</v>
      </c>
    </row>
    <row r="375" spans="1:8" x14ac:dyDescent="0.35">
      <c r="A375" t="s">
        <v>5</v>
      </c>
      <c r="B375" t="s">
        <v>12</v>
      </c>
      <c r="C375" t="s">
        <v>9</v>
      </c>
      <c r="D375">
        <v>184</v>
      </c>
      <c r="E375">
        <v>3</v>
      </c>
      <c r="F375">
        <v>1.63</v>
      </c>
      <c r="G375">
        <v>34.24</v>
      </c>
      <c r="H375">
        <v>6300.16</v>
      </c>
    </row>
    <row r="376" spans="1:8" x14ac:dyDescent="0.35">
      <c r="A376" t="s">
        <v>6</v>
      </c>
      <c r="B376" t="s">
        <v>12</v>
      </c>
      <c r="C376" t="s">
        <v>11</v>
      </c>
      <c r="D376">
        <v>199</v>
      </c>
      <c r="E376">
        <v>1</v>
      </c>
      <c r="F376">
        <v>0.5</v>
      </c>
      <c r="G376">
        <v>15.82</v>
      </c>
      <c r="H376">
        <v>3148.18</v>
      </c>
    </row>
    <row r="377" spans="1:8" x14ac:dyDescent="0.35">
      <c r="A377" t="s">
        <v>5</v>
      </c>
      <c r="B377" t="s">
        <v>12</v>
      </c>
      <c r="C377" t="s">
        <v>9</v>
      </c>
      <c r="D377">
        <v>207</v>
      </c>
      <c r="E377">
        <v>12</v>
      </c>
      <c r="F377">
        <v>5.8</v>
      </c>
      <c r="G377">
        <v>24.43</v>
      </c>
      <c r="H377">
        <v>5057.01</v>
      </c>
    </row>
    <row r="378" spans="1:8" x14ac:dyDescent="0.35">
      <c r="A378" t="s">
        <v>6</v>
      </c>
      <c r="B378" t="s">
        <v>12</v>
      </c>
      <c r="C378" t="s">
        <v>9</v>
      </c>
      <c r="D378">
        <v>51</v>
      </c>
      <c r="E378">
        <v>0</v>
      </c>
      <c r="F378">
        <v>0</v>
      </c>
      <c r="G378">
        <v>48.95</v>
      </c>
      <c r="H378">
        <v>2496.4499999999998</v>
      </c>
    </row>
    <row r="379" spans="1:8" x14ac:dyDescent="0.35">
      <c r="A379" t="s">
        <v>7</v>
      </c>
      <c r="B379" t="s">
        <v>12</v>
      </c>
      <c r="C379" t="s">
        <v>9</v>
      </c>
      <c r="D379">
        <v>127</v>
      </c>
      <c r="E379">
        <v>5</v>
      </c>
      <c r="F379">
        <v>3.94</v>
      </c>
      <c r="G379">
        <v>7.01</v>
      </c>
      <c r="H379">
        <v>890.27</v>
      </c>
    </row>
    <row r="380" spans="1:8" x14ac:dyDescent="0.35">
      <c r="A380" t="s">
        <v>6</v>
      </c>
      <c r="B380" t="s">
        <v>12</v>
      </c>
      <c r="C380" t="s">
        <v>9</v>
      </c>
      <c r="D380">
        <v>189</v>
      </c>
      <c r="E380">
        <v>2</v>
      </c>
      <c r="F380">
        <v>1.06</v>
      </c>
      <c r="G380">
        <v>20.6</v>
      </c>
      <c r="H380">
        <v>3893.4</v>
      </c>
    </row>
    <row r="381" spans="1:8" x14ac:dyDescent="0.35">
      <c r="A381" t="s">
        <v>5</v>
      </c>
      <c r="B381" t="s">
        <v>12</v>
      </c>
      <c r="C381" t="s">
        <v>9</v>
      </c>
      <c r="D381">
        <v>184</v>
      </c>
      <c r="E381">
        <v>7</v>
      </c>
      <c r="F381">
        <v>3.8</v>
      </c>
      <c r="G381">
        <v>38.83</v>
      </c>
      <c r="H381">
        <v>7144.72</v>
      </c>
    </row>
    <row r="382" spans="1:8" x14ac:dyDescent="0.35">
      <c r="A382" t="s">
        <v>5</v>
      </c>
      <c r="B382" t="s">
        <v>12</v>
      </c>
      <c r="C382" t="s">
        <v>9</v>
      </c>
      <c r="D382">
        <v>276</v>
      </c>
      <c r="E382">
        <v>7</v>
      </c>
      <c r="F382">
        <v>2.54</v>
      </c>
      <c r="G382">
        <v>69.13</v>
      </c>
      <c r="H382">
        <v>19079.88</v>
      </c>
    </row>
    <row r="383" spans="1:8" x14ac:dyDescent="0.35">
      <c r="A383" t="s">
        <v>5</v>
      </c>
      <c r="B383" t="s">
        <v>12</v>
      </c>
      <c r="C383" t="s">
        <v>9</v>
      </c>
      <c r="D383">
        <v>133</v>
      </c>
      <c r="E383">
        <v>8</v>
      </c>
      <c r="F383">
        <v>6.02</v>
      </c>
      <c r="G383">
        <v>56.64</v>
      </c>
      <c r="H383">
        <v>7533.12</v>
      </c>
    </row>
    <row r="384" spans="1:8" x14ac:dyDescent="0.35">
      <c r="A384" t="s">
        <v>7</v>
      </c>
      <c r="B384" t="s">
        <v>12</v>
      </c>
      <c r="C384" t="s">
        <v>10</v>
      </c>
      <c r="D384">
        <v>296</v>
      </c>
      <c r="E384">
        <v>0</v>
      </c>
      <c r="F384">
        <v>0</v>
      </c>
      <c r="G384">
        <v>11.07</v>
      </c>
      <c r="H384">
        <v>3276.72</v>
      </c>
    </row>
    <row r="385" spans="1:8" x14ac:dyDescent="0.35">
      <c r="A385" t="s">
        <v>6</v>
      </c>
      <c r="B385" t="s">
        <v>12</v>
      </c>
      <c r="C385" t="s">
        <v>11</v>
      </c>
      <c r="D385">
        <v>250</v>
      </c>
      <c r="E385">
        <v>1</v>
      </c>
      <c r="F385">
        <v>0.4</v>
      </c>
      <c r="G385">
        <v>28.98</v>
      </c>
      <c r="H385">
        <v>7245</v>
      </c>
    </row>
    <row r="386" spans="1:8" x14ac:dyDescent="0.35">
      <c r="A386" t="s">
        <v>5</v>
      </c>
      <c r="B386" t="s">
        <v>12</v>
      </c>
      <c r="C386" t="s">
        <v>9</v>
      </c>
      <c r="D386">
        <v>59</v>
      </c>
      <c r="E386">
        <v>5</v>
      </c>
      <c r="F386">
        <v>8.4700000000000006</v>
      </c>
      <c r="G386">
        <v>33.57</v>
      </c>
      <c r="H386">
        <v>1980.63</v>
      </c>
    </row>
    <row r="387" spans="1:8" x14ac:dyDescent="0.35">
      <c r="A387" t="s">
        <v>6</v>
      </c>
      <c r="B387" t="s">
        <v>12</v>
      </c>
      <c r="C387" t="s">
        <v>11</v>
      </c>
      <c r="D387">
        <v>62</v>
      </c>
      <c r="E387">
        <v>1</v>
      </c>
      <c r="F387">
        <v>1.61</v>
      </c>
      <c r="G387">
        <v>44.51</v>
      </c>
      <c r="H387">
        <v>2759.62</v>
      </c>
    </row>
    <row r="388" spans="1:8" x14ac:dyDescent="0.35">
      <c r="A388" t="s">
        <v>5</v>
      </c>
      <c r="B388" t="s">
        <v>12</v>
      </c>
      <c r="C388" t="s">
        <v>9</v>
      </c>
      <c r="D388">
        <v>227</v>
      </c>
      <c r="E388">
        <v>1</v>
      </c>
      <c r="F388">
        <v>0.44</v>
      </c>
      <c r="G388">
        <v>43.78</v>
      </c>
      <c r="H388">
        <v>9938.06</v>
      </c>
    </row>
    <row r="389" spans="1:8" x14ac:dyDescent="0.35">
      <c r="A389" t="s">
        <v>6</v>
      </c>
      <c r="B389" t="s">
        <v>12</v>
      </c>
      <c r="C389" t="s">
        <v>9</v>
      </c>
      <c r="D389">
        <v>266</v>
      </c>
      <c r="E389">
        <v>9</v>
      </c>
      <c r="F389">
        <v>3.38</v>
      </c>
      <c r="G389">
        <v>29.97</v>
      </c>
      <c r="H389">
        <v>7972.02</v>
      </c>
    </row>
    <row r="390" spans="1:8" x14ac:dyDescent="0.35">
      <c r="A390" t="s">
        <v>5</v>
      </c>
      <c r="B390" t="s">
        <v>12</v>
      </c>
      <c r="C390" t="s">
        <v>9</v>
      </c>
      <c r="D390">
        <v>63</v>
      </c>
      <c r="E390">
        <v>6</v>
      </c>
      <c r="F390">
        <v>9.52</v>
      </c>
      <c r="G390">
        <v>64.36</v>
      </c>
      <c r="H390">
        <v>4054.68</v>
      </c>
    </row>
    <row r="391" spans="1:8" x14ac:dyDescent="0.35">
      <c r="A391" t="s">
        <v>6</v>
      </c>
      <c r="B391" t="s">
        <v>12</v>
      </c>
      <c r="C391" t="s">
        <v>9</v>
      </c>
      <c r="D391">
        <v>193</v>
      </c>
      <c r="E391">
        <v>0</v>
      </c>
      <c r="F391">
        <v>0</v>
      </c>
      <c r="G391">
        <v>23.4</v>
      </c>
      <c r="H391">
        <v>4516.2</v>
      </c>
    </row>
    <row r="392" spans="1:8" x14ac:dyDescent="0.35">
      <c r="A392" t="s">
        <v>6</v>
      </c>
      <c r="B392" t="s">
        <v>12</v>
      </c>
      <c r="C392" t="s">
        <v>9</v>
      </c>
      <c r="D392">
        <v>205</v>
      </c>
      <c r="E392">
        <v>20</v>
      </c>
      <c r="F392">
        <v>9.76</v>
      </c>
      <c r="G392">
        <v>7.13</v>
      </c>
      <c r="H392">
        <v>1461.65</v>
      </c>
    </row>
    <row r="393" spans="1:8" x14ac:dyDescent="0.35">
      <c r="A393" t="s">
        <v>7</v>
      </c>
      <c r="B393" t="s">
        <v>12</v>
      </c>
      <c r="C393" t="s">
        <v>9</v>
      </c>
      <c r="D393">
        <v>211</v>
      </c>
      <c r="E393">
        <v>10</v>
      </c>
      <c r="F393">
        <v>4.74</v>
      </c>
      <c r="G393">
        <v>54.42</v>
      </c>
      <c r="H393">
        <v>11482.62</v>
      </c>
    </row>
    <row r="394" spans="1:8" x14ac:dyDescent="0.35">
      <c r="A394" t="s">
        <v>7</v>
      </c>
      <c r="B394" t="s">
        <v>12</v>
      </c>
      <c r="C394" t="s">
        <v>9</v>
      </c>
      <c r="D394">
        <v>230</v>
      </c>
      <c r="E394">
        <v>21</v>
      </c>
      <c r="F394">
        <v>9.1300000000000008</v>
      </c>
      <c r="G394">
        <v>30.48</v>
      </c>
      <c r="H394">
        <v>7010.4</v>
      </c>
    </row>
    <row r="395" spans="1:8" x14ac:dyDescent="0.35">
      <c r="A395" t="s">
        <v>7</v>
      </c>
      <c r="B395" t="s">
        <v>12</v>
      </c>
      <c r="C395" t="s">
        <v>9</v>
      </c>
      <c r="D395">
        <v>239</v>
      </c>
      <c r="E395">
        <v>1</v>
      </c>
      <c r="F395">
        <v>0.42</v>
      </c>
      <c r="G395">
        <v>40.5</v>
      </c>
      <c r="H395">
        <v>9679.5</v>
      </c>
    </row>
    <row r="396" spans="1:8" x14ac:dyDescent="0.35">
      <c r="A396" t="s">
        <v>6</v>
      </c>
      <c r="B396" t="s">
        <v>12</v>
      </c>
      <c r="C396" t="s">
        <v>11</v>
      </c>
      <c r="D396">
        <v>120</v>
      </c>
      <c r="E396">
        <v>11</v>
      </c>
      <c r="F396">
        <v>9.17</v>
      </c>
      <c r="G396">
        <v>58.45</v>
      </c>
      <c r="H396">
        <v>7014</v>
      </c>
    </row>
    <row r="397" spans="1:8" x14ac:dyDescent="0.35">
      <c r="A397" t="s">
        <v>6</v>
      </c>
      <c r="B397" t="s">
        <v>12</v>
      </c>
      <c r="C397" t="s">
        <v>11</v>
      </c>
      <c r="D397">
        <v>274</v>
      </c>
      <c r="E397">
        <v>2</v>
      </c>
      <c r="F397">
        <v>0.73</v>
      </c>
      <c r="G397">
        <v>32.36</v>
      </c>
      <c r="H397">
        <v>8866.64</v>
      </c>
    </row>
    <row r="398" spans="1:8" x14ac:dyDescent="0.35">
      <c r="A398" t="s">
        <v>6</v>
      </c>
      <c r="B398" t="s">
        <v>12</v>
      </c>
      <c r="C398" t="s">
        <v>11</v>
      </c>
      <c r="D398">
        <v>105</v>
      </c>
      <c r="E398">
        <v>10</v>
      </c>
      <c r="F398">
        <v>9.52</v>
      </c>
      <c r="G398">
        <v>34.85</v>
      </c>
      <c r="H398">
        <v>3659.25</v>
      </c>
    </row>
    <row r="399" spans="1:8" x14ac:dyDescent="0.35">
      <c r="A399" t="s">
        <v>5</v>
      </c>
      <c r="B399" t="s">
        <v>12</v>
      </c>
      <c r="C399" t="s">
        <v>9</v>
      </c>
      <c r="D399">
        <v>249</v>
      </c>
      <c r="E399">
        <v>4</v>
      </c>
      <c r="F399">
        <v>1.61</v>
      </c>
      <c r="G399">
        <v>5.89</v>
      </c>
      <c r="H399">
        <v>1466.61</v>
      </c>
    </row>
    <row r="400" spans="1:8" x14ac:dyDescent="0.35">
      <c r="A400" t="s">
        <v>6</v>
      </c>
      <c r="B400" t="s">
        <v>12</v>
      </c>
      <c r="C400" t="s">
        <v>11</v>
      </c>
      <c r="D400">
        <v>229</v>
      </c>
      <c r="E400">
        <v>4</v>
      </c>
      <c r="F400">
        <v>1.75</v>
      </c>
      <c r="G400">
        <v>42.27</v>
      </c>
      <c r="H400">
        <v>9679.83</v>
      </c>
    </row>
    <row r="401" spans="1:8" x14ac:dyDescent="0.35">
      <c r="A401" t="s">
        <v>7</v>
      </c>
      <c r="B401" t="s">
        <v>12</v>
      </c>
      <c r="C401" t="s">
        <v>9</v>
      </c>
      <c r="D401">
        <v>154</v>
      </c>
      <c r="E401">
        <v>4</v>
      </c>
      <c r="F401">
        <v>2.6</v>
      </c>
      <c r="G401">
        <v>56.26</v>
      </c>
      <c r="H401">
        <v>8664.0400000000009</v>
      </c>
    </row>
    <row r="402" spans="1:8" x14ac:dyDescent="0.35">
      <c r="A402" t="s">
        <v>6</v>
      </c>
      <c r="B402" t="s">
        <v>12</v>
      </c>
      <c r="C402" t="s">
        <v>11</v>
      </c>
      <c r="D402">
        <v>185</v>
      </c>
      <c r="E402">
        <v>13</v>
      </c>
      <c r="F402">
        <v>7.03</v>
      </c>
      <c r="G402">
        <v>39.22</v>
      </c>
      <c r="H402">
        <v>7255.7</v>
      </c>
    </row>
    <row r="403" spans="1:8" x14ac:dyDescent="0.35">
      <c r="A403" t="s">
        <v>8</v>
      </c>
      <c r="B403" t="s">
        <v>12</v>
      </c>
      <c r="C403" t="s">
        <v>9</v>
      </c>
      <c r="D403">
        <v>295</v>
      </c>
      <c r="E403">
        <v>19</v>
      </c>
      <c r="F403">
        <v>6.44</v>
      </c>
      <c r="G403">
        <v>30.32</v>
      </c>
      <c r="H403">
        <v>8944.4</v>
      </c>
    </row>
    <row r="404" spans="1:8" x14ac:dyDescent="0.35">
      <c r="A404" t="s">
        <v>7</v>
      </c>
      <c r="B404" t="s">
        <v>12</v>
      </c>
      <c r="C404" t="s">
        <v>9</v>
      </c>
      <c r="D404">
        <v>298</v>
      </c>
      <c r="E404">
        <v>8</v>
      </c>
      <c r="F404">
        <v>2.68</v>
      </c>
      <c r="G404">
        <v>55.55</v>
      </c>
      <c r="H404">
        <v>16553.900000000001</v>
      </c>
    </row>
    <row r="405" spans="1:8" x14ac:dyDescent="0.35">
      <c r="A405" t="s">
        <v>6</v>
      </c>
      <c r="B405" t="s">
        <v>12</v>
      </c>
      <c r="C405" t="s">
        <v>11</v>
      </c>
      <c r="D405">
        <v>86</v>
      </c>
      <c r="E405">
        <v>5</v>
      </c>
      <c r="F405">
        <v>5.81</v>
      </c>
      <c r="G405">
        <v>54.24</v>
      </c>
      <c r="H405">
        <v>4664.6400000000003</v>
      </c>
    </row>
    <row r="406" spans="1:8" x14ac:dyDescent="0.35">
      <c r="A406" t="s">
        <v>7</v>
      </c>
      <c r="B406" t="s">
        <v>12</v>
      </c>
      <c r="C406" t="s">
        <v>9</v>
      </c>
      <c r="D406">
        <v>252</v>
      </c>
      <c r="E406">
        <v>14</v>
      </c>
      <c r="F406">
        <v>5.56</v>
      </c>
      <c r="G406">
        <v>36.04</v>
      </c>
      <c r="H406">
        <v>9082.08</v>
      </c>
    </row>
    <row r="407" spans="1:8" x14ac:dyDescent="0.35">
      <c r="A407" t="s">
        <v>7</v>
      </c>
      <c r="B407" t="s">
        <v>12</v>
      </c>
      <c r="C407" t="s">
        <v>9</v>
      </c>
      <c r="D407">
        <v>103</v>
      </c>
      <c r="E407">
        <v>1</v>
      </c>
      <c r="F407">
        <v>0.97</v>
      </c>
      <c r="G407">
        <v>44.8</v>
      </c>
      <c r="H407">
        <v>4614.3999999999996</v>
      </c>
    </row>
    <row r="408" spans="1:8" x14ac:dyDescent="0.35">
      <c r="A408" t="s">
        <v>7</v>
      </c>
      <c r="B408" t="s">
        <v>12</v>
      </c>
      <c r="C408" t="s">
        <v>10</v>
      </c>
      <c r="D408">
        <v>271</v>
      </c>
      <c r="E408">
        <v>9</v>
      </c>
      <c r="F408">
        <v>3.32</v>
      </c>
      <c r="G408">
        <v>41.76</v>
      </c>
      <c r="H408">
        <v>11316.96</v>
      </c>
    </row>
    <row r="409" spans="1:8" x14ac:dyDescent="0.35">
      <c r="A409" t="s">
        <v>7</v>
      </c>
      <c r="B409" t="s">
        <v>12</v>
      </c>
      <c r="C409" t="s">
        <v>10</v>
      </c>
      <c r="D409">
        <v>216</v>
      </c>
      <c r="E409">
        <v>0</v>
      </c>
      <c r="F409">
        <v>0</v>
      </c>
      <c r="G409">
        <v>51.36</v>
      </c>
      <c r="H409">
        <v>11093.76</v>
      </c>
    </row>
    <row r="410" spans="1:8" x14ac:dyDescent="0.35">
      <c r="A410" t="s">
        <v>6</v>
      </c>
      <c r="B410" t="s">
        <v>12</v>
      </c>
      <c r="C410" t="s">
        <v>9</v>
      </c>
      <c r="D410">
        <v>243</v>
      </c>
      <c r="E410">
        <v>17</v>
      </c>
      <c r="F410">
        <v>7</v>
      </c>
      <c r="G410">
        <v>20.23</v>
      </c>
      <c r="H410">
        <v>4915.8900000000003</v>
      </c>
    </row>
    <row r="411" spans="1:8" x14ac:dyDescent="0.35">
      <c r="A411" t="s">
        <v>7</v>
      </c>
      <c r="B411" t="s">
        <v>12</v>
      </c>
      <c r="C411" t="s">
        <v>10</v>
      </c>
      <c r="D411">
        <v>133</v>
      </c>
      <c r="E411">
        <v>6</v>
      </c>
      <c r="F411">
        <v>4.51</v>
      </c>
      <c r="G411">
        <v>48.55</v>
      </c>
      <c r="H411">
        <v>6457.15</v>
      </c>
    </row>
    <row r="412" spans="1:8" x14ac:dyDescent="0.35">
      <c r="A412" t="s">
        <v>7</v>
      </c>
      <c r="B412" t="s">
        <v>12</v>
      </c>
      <c r="C412" t="s">
        <v>10</v>
      </c>
      <c r="D412">
        <v>231</v>
      </c>
      <c r="E412">
        <v>14</v>
      </c>
      <c r="F412">
        <v>6.06</v>
      </c>
      <c r="G412">
        <v>49.11</v>
      </c>
      <c r="H412">
        <v>11344.41</v>
      </c>
    </row>
    <row r="413" spans="1:8" x14ac:dyDescent="0.35">
      <c r="A413" t="s">
        <v>8</v>
      </c>
      <c r="B413" t="s">
        <v>12</v>
      </c>
      <c r="C413" t="s">
        <v>9</v>
      </c>
      <c r="D413">
        <v>241</v>
      </c>
      <c r="E413">
        <v>2</v>
      </c>
      <c r="F413">
        <v>0.83</v>
      </c>
      <c r="G413">
        <v>27.6</v>
      </c>
      <c r="H413">
        <v>6651.6</v>
      </c>
    </row>
    <row r="414" spans="1:8" x14ac:dyDescent="0.35">
      <c r="A414" t="s">
        <v>7</v>
      </c>
      <c r="B414" t="s">
        <v>12</v>
      </c>
      <c r="C414" t="s">
        <v>10</v>
      </c>
      <c r="D414">
        <v>109</v>
      </c>
      <c r="E414">
        <v>4</v>
      </c>
      <c r="F414">
        <v>3.67</v>
      </c>
      <c r="G414">
        <v>53.9</v>
      </c>
      <c r="H414">
        <v>5875.1</v>
      </c>
    </row>
    <row r="415" spans="1:8" x14ac:dyDescent="0.35">
      <c r="A415" t="s">
        <v>7</v>
      </c>
      <c r="B415" t="s">
        <v>12</v>
      </c>
      <c r="C415" t="s">
        <v>9</v>
      </c>
      <c r="D415">
        <v>58</v>
      </c>
      <c r="E415">
        <v>5</v>
      </c>
      <c r="F415">
        <v>8.6199999999999992</v>
      </c>
      <c r="G415">
        <v>51.97</v>
      </c>
      <c r="H415">
        <v>3014.26</v>
      </c>
    </row>
    <row r="416" spans="1:8" x14ac:dyDescent="0.35">
      <c r="A416" t="s">
        <v>8</v>
      </c>
      <c r="B416" t="s">
        <v>12</v>
      </c>
      <c r="C416" t="s">
        <v>9</v>
      </c>
      <c r="D416">
        <v>285</v>
      </c>
      <c r="E416">
        <v>9</v>
      </c>
      <c r="F416">
        <v>3.16</v>
      </c>
      <c r="G416">
        <v>15.74</v>
      </c>
      <c r="H416">
        <v>4485.8999999999996</v>
      </c>
    </row>
    <row r="417" spans="1:8" x14ac:dyDescent="0.35">
      <c r="A417" t="s">
        <v>6</v>
      </c>
      <c r="B417" t="s">
        <v>12</v>
      </c>
      <c r="C417" t="s">
        <v>9</v>
      </c>
      <c r="D417">
        <v>218</v>
      </c>
      <c r="E417">
        <v>0</v>
      </c>
      <c r="F417">
        <v>0</v>
      </c>
      <c r="G417">
        <v>28.44</v>
      </c>
      <c r="H417">
        <v>6199.92</v>
      </c>
    </row>
    <row r="418" spans="1:8" x14ac:dyDescent="0.35">
      <c r="A418" t="s">
        <v>6</v>
      </c>
      <c r="B418" t="s">
        <v>12</v>
      </c>
      <c r="C418" t="s">
        <v>11</v>
      </c>
      <c r="D418">
        <v>279</v>
      </c>
      <c r="E418">
        <v>6</v>
      </c>
      <c r="F418">
        <v>2.15</v>
      </c>
      <c r="G418">
        <v>69.260000000000005</v>
      </c>
      <c r="H418">
        <v>19323.54</v>
      </c>
    </row>
    <row r="419" spans="1:8" x14ac:dyDescent="0.35">
      <c r="A419" t="s">
        <v>8</v>
      </c>
      <c r="B419" t="s">
        <v>12</v>
      </c>
      <c r="C419" t="s">
        <v>9</v>
      </c>
      <c r="D419">
        <v>104</v>
      </c>
      <c r="E419">
        <v>0</v>
      </c>
      <c r="F419">
        <v>0</v>
      </c>
      <c r="G419">
        <v>37.880000000000003</v>
      </c>
      <c r="H419">
        <v>3939.52</v>
      </c>
    </row>
    <row r="420" spans="1:8" x14ac:dyDescent="0.35">
      <c r="A420" t="s">
        <v>7</v>
      </c>
      <c r="B420" t="s">
        <v>12</v>
      </c>
      <c r="C420" t="s">
        <v>10</v>
      </c>
      <c r="D420">
        <v>201</v>
      </c>
      <c r="E420">
        <v>10</v>
      </c>
      <c r="F420">
        <v>4.9800000000000004</v>
      </c>
      <c r="G420">
        <v>38.880000000000003</v>
      </c>
      <c r="H420">
        <v>7814.88</v>
      </c>
    </row>
    <row r="421" spans="1:8" x14ac:dyDescent="0.35">
      <c r="A421" t="s">
        <v>7</v>
      </c>
      <c r="B421" t="s">
        <v>12</v>
      </c>
      <c r="C421" t="s">
        <v>9</v>
      </c>
      <c r="D421">
        <v>209</v>
      </c>
      <c r="E421">
        <v>6</v>
      </c>
      <c r="F421">
        <v>2.87</v>
      </c>
      <c r="G421">
        <v>49.61</v>
      </c>
      <c r="H421">
        <v>10368.49</v>
      </c>
    </row>
    <row r="422" spans="1:8" x14ac:dyDescent="0.35">
      <c r="A422" t="s">
        <v>7</v>
      </c>
      <c r="B422" t="s">
        <v>12</v>
      </c>
      <c r="C422" t="s">
        <v>9</v>
      </c>
      <c r="D422">
        <v>274</v>
      </c>
      <c r="E422">
        <v>10</v>
      </c>
      <c r="F422">
        <v>3.65</v>
      </c>
      <c r="G422">
        <v>47.55</v>
      </c>
      <c r="H422">
        <v>13028.7</v>
      </c>
    </row>
    <row r="423" spans="1:8" x14ac:dyDescent="0.35">
      <c r="A423" t="s">
        <v>5</v>
      </c>
      <c r="B423" t="s">
        <v>12</v>
      </c>
      <c r="C423" t="s">
        <v>9</v>
      </c>
      <c r="D423">
        <v>136</v>
      </c>
      <c r="E423">
        <v>2</v>
      </c>
      <c r="F423">
        <v>1.47</v>
      </c>
      <c r="G423">
        <v>49.44</v>
      </c>
      <c r="H423">
        <v>6723.84</v>
      </c>
    </row>
    <row r="424" spans="1:8" x14ac:dyDescent="0.35">
      <c r="A424" t="s">
        <v>5</v>
      </c>
      <c r="B424" t="s">
        <v>12</v>
      </c>
      <c r="C424" t="s">
        <v>9</v>
      </c>
      <c r="D424">
        <v>189</v>
      </c>
      <c r="E424">
        <v>15</v>
      </c>
      <c r="F424">
        <v>7.94</v>
      </c>
      <c r="G424">
        <v>12.37</v>
      </c>
      <c r="H424">
        <v>2337.9299999999998</v>
      </c>
    </row>
    <row r="425" spans="1:8" x14ac:dyDescent="0.35">
      <c r="A425" t="s">
        <v>7</v>
      </c>
      <c r="B425" t="s">
        <v>12</v>
      </c>
      <c r="C425" t="s">
        <v>9</v>
      </c>
      <c r="D425">
        <v>152</v>
      </c>
      <c r="E425">
        <v>2</v>
      </c>
      <c r="F425">
        <v>1.32</v>
      </c>
      <c r="G425">
        <v>31.21</v>
      </c>
      <c r="H425">
        <v>4743.92</v>
      </c>
    </row>
    <row r="426" spans="1:8" x14ac:dyDescent="0.35">
      <c r="A426" t="s">
        <v>5</v>
      </c>
      <c r="B426" t="s">
        <v>12</v>
      </c>
      <c r="C426" t="s">
        <v>9</v>
      </c>
      <c r="D426">
        <v>205</v>
      </c>
      <c r="E426">
        <v>0</v>
      </c>
      <c r="F426">
        <v>0</v>
      </c>
      <c r="G426">
        <v>69.55</v>
      </c>
      <c r="H426">
        <v>14257.75</v>
      </c>
    </row>
    <row r="427" spans="1:8" x14ac:dyDescent="0.35">
      <c r="A427" t="s">
        <v>5</v>
      </c>
      <c r="B427" t="s">
        <v>12</v>
      </c>
      <c r="C427" t="s">
        <v>9</v>
      </c>
      <c r="D427">
        <v>172</v>
      </c>
      <c r="E427">
        <v>2</v>
      </c>
      <c r="F427">
        <v>1.1599999999999999</v>
      </c>
      <c r="G427">
        <v>6.9</v>
      </c>
      <c r="H427">
        <v>1186.8</v>
      </c>
    </row>
    <row r="428" spans="1:8" x14ac:dyDescent="0.35">
      <c r="A428" t="s">
        <v>7</v>
      </c>
      <c r="B428" t="s">
        <v>12</v>
      </c>
      <c r="C428" t="s">
        <v>9</v>
      </c>
      <c r="D428">
        <v>282</v>
      </c>
      <c r="E428">
        <v>25</v>
      </c>
      <c r="F428">
        <v>8.8699999999999992</v>
      </c>
      <c r="G428">
        <v>42.1</v>
      </c>
      <c r="H428">
        <v>11872.2</v>
      </c>
    </row>
    <row r="429" spans="1:8" x14ac:dyDescent="0.35">
      <c r="A429" t="s">
        <v>6</v>
      </c>
      <c r="B429" t="s">
        <v>12</v>
      </c>
      <c r="C429" t="s">
        <v>9</v>
      </c>
      <c r="D429">
        <v>83</v>
      </c>
      <c r="E429">
        <v>7</v>
      </c>
      <c r="F429">
        <v>8.43</v>
      </c>
      <c r="G429">
        <v>8.14</v>
      </c>
      <c r="H429">
        <v>675.62</v>
      </c>
    </row>
    <row r="430" spans="1:8" x14ac:dyDescent="0.35">
      <c r="A430" t="s">
        <v>7</v>
      </c>
      <c r="B430" t="s">
        <v>12</v>
      </c>
      <c r="C430" t="s">
        <v>9</v>
      </c>
      <c r="D430">
        <v>250</v>
      </c>
      <c r="E430">
        <v>24</v>
      </c>
      <c r="F430">
        <v>9.6</v>
      </c>
      <c r="G430">
        <v>5.25</v>
      </c>
      <c r="H430">
        <v>1312.5</v>
      </c>
    </row>
    <row r="431" spans="1:8" x14ac:dyDescent="0.35">
      <c r="A431" t="s">
        <v>7</v>
      </c>
      <c r="B431" t="s">
        <v>12</v>
      </c>
      <c r="C431" t="s">
        <v>9</v>
      </c>
      <c r="D431">
        <v>85</v>
      </c>
      <c r="E431">
        <v>3</v>
      </c>
      <c r="F431">
        <v>3.53</v>
      </c>
      <c r="G431">
        <v>63.78</v>
      </c>
      <c r="H431">
        <v>5421.3</v>
      </c>
    </row>
    <row r="432" spans="1:8" x14ac:dyDescent="0.35">
      <c r="A432" t="s">
        <v>7</v>
      </c>
      <c r="B432" t="s">
        <v>12</v>
      </c>
      <c r="C432" t="s">
        <v>9</v>
      </c>
      <c r="D432">
        <v>287</v>
      </c>
      <c r="E432">
        <v>2</v>
      </c>
      <c r="F432">
        <v>0.7</v>
      </c>
      <c r="G432">
        <v>53.11</v>
      </c>
      <c r="H432">
        <v>15242.57</v>
      </c>
    </row>
    <row r="433" spans="1:8" x14ac:dyDescent="0.35">
      <c r="A433" t="s">
        <v>5</v>
      </c>
      <c r="B433" t="s">
        <v>12</v>
      </c>
      <c r="C433" t="s">
        <v>9</v>
      </c>
      <c r="D433">
        <v>61</v>
      </c>
      <c r="E433">
        <v>1</v>
      </c>
      <c r="F433">
        <v>1.64</v>
      </c>
      <c r="G433">
        <v>60.7</v>
      </c>
      <c r="H433">
        <v>3702.7</v>
      </c>
    </row>
    <row r="434" spans="1:8" x14ac:dyDescent="0.35">
      <c r="A434" t="s">
        <v>6</v>
      </c>
      <c r="B434" t="s">
        <v>12</v>
      </c>
      <c r="C434" t="s">
        <v>9</v>
      </c>
      <c r="D434">
        <v>80</v>
      </c>
      <c r="E434">
        <v>1</v>
      </c>
      <c r="F434">
        <v>1.25</v>
      </c>
      <c r="G434">
        <v>14.06</v>
      </c>
      <c r="H434">
        <v>1124.8</v>
      </c>
    </row>
    <row r="435" spans="1:8" x14ac:dyDescent="0.35">
      <c r="A435" t="s">
        <v>5</v>
      </c>
      <c r="B435" t="s">
        <v>12</v>
      </c>
      <c r="C435" t="s">
        <v>9</v>
      </c>
      <c r="D435">
        <v>135</v>
      </c>
      <c r="E435">
        <v>7</v>
      </c>
      <c r="F435">
        <v>5.19</v>
      </c>
      <c r="G435">
        <v>49.91</v>
      </c>
      <c r="H435">
        <v>6737.85</v>
      </c>
    </row>
    <row r="436" spans="1:8" x14ac:dyDescent="0.35">
      <c r="A436" t="s">
        <v>7</v>
      </c>
      <c r="B436" t="s">
        <v>12</v>
      </c>
      <c r="C436" t="s">
        <v>10</v>
      </c>
      <c r="D436">
        <v>154</v>
      </c>
      <c r="E436">
        <v>2</v>
      </c>
      <c r="F436">
        <v>1.3</v>
      </c>
      <c r="G436">
        <v>57.21</v>
      </c>
      <c r="H436">
        <v>8810.34</v>
      </c>
    </row>
    <row r="437" spans="1:8" x14ac:dyDescent="0.35">
      <c r="A437" t="s">
        <v>6</v>
      </c>
      <c r="B437" t="s">
        <v>12</v>
      </c>
      <c r="C437" t="s">
        <v>11</v>
      </c>
      <c r="D437">
        <v>150</v>
      </c>
      <c r="E437">
        <v>12</v>
      </c>
      <c r="F437">
        <v>8</v>
      </c>
      <c r="G437">
        <v>19.2</v>
      </c>
      <c r="H437">
        <v>2880</v>
      </c>
    </row>
    <row r="438" spans="1:8" x14ac:dyDescent="0.35">
      <c r="A438" t="s">
        <v>6</v>
      </c>
      <c r="B438" t="s">
        <v>12</v>
      </c>
      <c r="C438" t="s">
        <v>9</v>
      </c>
      <c r="D438">
        <v>188</v>
      </c>
      <c r="E438">
        <v>8</v>
      </c>
      <c r="F438">
        <v>4.26</v>
      </c>
      <c r="G438">
        <v>61.95</v>
      </c>
      <c r="H438">
        <v>11646.6</v>
      </c>
    </row>
    <row r="439" spans="1:8" x14ac:dyDescent="0.35">
      <c r="A439" t="s">
        <v>7</v>
      </c>
      <c r="B439" t="s">
        <v>12</v>
      </c>
      <c r="C439" t="s">
        <v>9</v>
      </c>
      <c r="D439">
        <v>295</v>
      </c>
      <c r="E439">
        <v>10</v>
      </c>
      <c r="F439">
        <v>3.39</v>
      </c>
      <c r="G439">
        <v>23.85</v>
      </c>
      <c r="H439">
        <v>7035.75</v>
      </c>
    </row>
    <row r="440" spans="1:8" x14ac:dyDescent="0.35">
      <c r="A440" t="s">
        <v>7</v>
      </c>
      <c r="B440" t="s">
        <v>12</v>
      </c>
      <c r="C440" t="s">
        <v>9</v>
      </c>
      <c r="D440">
        <v>290</v>
      </c>
      <c r="E440">
        <v>9</v>
      </c>
      <c r="F440">
        <v>3.1</v>
      </c>
      <c r="G440">
        <v>22.44</v>
      </c>
      <c r="H440">
        <v>6507.6</v>
      </c>
    </row>
    <row r="441" spans="1:8" x14ac:dyDescent="0.35">
      <c r="A441" t="s">
        <v>5</v>
      </c>
      <c r="B441" t="s">
        <v>12</v>
      </c>
      <c r="C441" t="s">
        <v>9</v>
      </c>
      <c r="D441">
        <v>285</v>
      </c>
      <c r="E441">
        <v>27</v>
      </c>
      <c r="F441">
        <v>9.4700000000000006</v>
      </c>
      <c r="G441">
        <v>53.11</v>
      </c>
      <c r="H441">
        <v>15136.35</v>
      </c>
    </row>
    <row r="442" spans="1:8" x14ac:dyDescent="0.35">
      <c r="A442" t="s">
        <v>8</v>
      </c>
      <c r="B442" t="s">
        <v>12</v>
      </c>
      <c r="C442" t="s">
        <v>9</v>
      </c>
      <c r="D442">
        <v>267</v>
      </c>
      <c r="E442">
        <v>16</v>
      </c>
      <c r="F442">
        <v>5.99</v>
      </c>
      <c r="G442">
        <v>14.27</v>
      </c>
      <c r="H442">
        <v>3810.09</v>
      </c>
    </row>
    <row r="443" spans="1:8" x14ac:dyDescent="0.35">
      <c r="A443" t="s">
        <v>7</v>
      </c>
      <c r="B443" t="s">
        <v>12</v>
      </c>
      <c r="C443" t="s">
        <v>9</v>
      </c>
      <c r="D443">
        <v>292</v>
      </c>
      <c r="E443">
        <v>6</v>
      </c>
      <c r="F443">
        <v>2.0499999999999998</v>
      </c>
      <c r="G443">
        <v>35.909999999999997</v>
      </c>
      <c r="H443">
        <v>10485.719999999999</v>
      </c>
    </row>
    <row r="444" spans="1:8" x14ac:dyDescent="0.35">
      <c r="A444" t="s">
        <v>5</v>
      </c>
      <c r="B444" t="s">
        <v>12</v>
      </c>
      <c r="C444" t="s">
        <v>9</v>
      </c>
      <c r="D444">
        <v>95</v>
      </c>
      <c r="E444">
        <v>2</v>
      </c>
      <c r="F444">
        <v>2.11</v>
      </c>
      <c r="G444">
        <v>21.59</v>
      </c>
      <c r="H444">
        <v>2051.0500000000002</v>
      </c>
    </row>
    <row r="445" spans="1:8" x14ac:dyDescent="0.35">
      <c r="A445" t="s">
        <v>8</v>
      </c>
      <c r="B445" t="s">
        <v>12</v>
      </c>
      <c r="C445" t="s">
        <v>9</v>
      </c>
      <c r="D445">
        <v>91</v>
      </c>
      <c r="E445">
        <v>9</v>
      </c>
      <c r="F445">
        <v>9.89</v>
      </c>
      <c r="G445">
        <v>9.7799999999999994</v>
      </c>
      <c r="H445">
        <v>889.98</v>
      </c>
    </row>
    <row r="446" spans="1:8" x14ac:dyDescent="0.35">
      <c r="A446" t="s">
        <v>6</v>
      </c>
      <c r="B446" t="s">
        <v>12</v>
      </c>
      <c r="C446" t="s">
        <v>11</v>
      </c>
      <c r="D446">
        <v>164</v>
      </c>
      <c r="E446">
        <v>10</v>
      </c>
      <c r="F446">
        <v>6.1</v>
      </c>
      <c r="G446">
        <v>43.98</v>
      </c>
      <c r="H446">
        <v>7212.72</v>
      </c>
    </row>
    <row r="447" spans="1:8" x14ac:dyDescent="0.35">
      <c r="A447" t="s">
        <v>6</v>
      </c>
      <c r="B447" t="s">
        <v>12</v>
      </c>
      <c r="C447" t="s">
        <v>11</v>
      </c>
      <c r="D447">
        <v>125</v>
      </c>
      <c r="E447">
        <v>9</v>
      </c>
      <c r="F447">
        <v>7.2</v>
      </c>
      <c r="G447">
        <v>41.68</v>
      </c>
      <c r="H447">
        <v>5210</v>
      </c>
    </row>
    <row r="448" spans="1:8" x14ac:dyDescent="0.35">
      <c r="A448" t="s">
        <v>5</v>
      </c>
      <c r="B448" t="s">
        <v>12</v>
      </c>
      <c r="C448" t="s">
        <v>9</v>
      </c>
      <c r="D448">
        <v>77</v>
      </c>
      <c r="E448">
        <v>7</v>
      </c>
      <c r="F448">
        <v>9.09</v>
      </c>
      <c r="G448">
        <v>64.61</v>
      </c>
      <c r="H448">
        <v>4974.97</v>
      </c>
    </row>
    <row r="449" spans="1:8" x14ac:dyDescent="0.35">
      <c r="A449" t="s">
        <v>5</v>
      </c>
      <c r="B449" t="s">
        <v>12</v>
      </c>
      <c r="C449" t="s">
        <v>9</v>
      </c>
      <c r="D449">
        <v>55</v>
      </c>
      <c r="E449">
        <v>4</v>
      </c>
      <c r="F449">
        <v>7.27</v>
      </c>
      <c r="G449">
        <v>39.86</v>
      </c>
      <c r="H449">
        <v>2192.3000000000002</v>
      </c>
    </row>
    <row r="450" spans="1:8" x14ac:dyDescent="0.35">
      <c r="A450" t="s">
        <v>5</v>
      </c>
      <c r="B450" t="s">
        <v>12</v>
      </c>
      <c r="C450" t="s">
        <v>9</v>
      </c>
      <c r="D450">
        <v>78</v>
      </c>
      <c r="E450">
        <v>2</v>
      </c>
      <c r="F450">
        <v>2.56</v>
      </c>
      <c r="G450">
        <v>63.72</v>
      </c>
      <c r="H450">
        <v>4970.16</v>
      </c>
    </row>
    <row r="451" spans="1:8" x14ac:dyDescent="0.35">
      <c r="A451" t="s">
        <v>6</v>
      </c>
      <c r="B451" t="s">
        <v>12</v>
      </c>
      <c r="C451" t="s">
        <v>9</v>
      </c>
      <c r="D451">
        <v>104</v>
      </c>
      <c r="E451">
        <v>10</v>
      </c>
      <c r="F451">
        <v>9.6199999999999992</v>
      </c>
      <c r="G451">
        <v>23.84</v>
      </c>
      <c r="H451">
        <v>2479.36</v>
      </c>
    </row>
    <row r="452" spans="1:8" x14ac:dyDescent="0.35">
      <c r="A452" t="s">
        <v>7</v>
      </c>
      <c r="B452" t="s">
        <v>12</v>
      </c>
      <c r="C452" t="s">
        <v>9</v>
      </c>
      <c r="D452">
        <v>233</v>
      </c>
      <c r="E452">
        <v>2</v>
      </c>
      <c r="F452">
        <v>0.86</v>
      </c>
      <c r="G452">
        <v>50.32</v>
      </c>
      <c r="H452">
        <v>11724.56</v>
      </c>
    </row>
    <row r="453" spans="1:8" x14ac:dyDescent="0.35">
      <c r="A453" t="s">
        <v>6</v>
      </c>
      <c r="B453" t="s">
        <v>12</v>
      </c>
      <c r="C453" t="s">
        <v>11</v>
      </c>
      <c r="D453">
        <v>122</v>
      </c>
      <c r="E453">
        <v>10</v>
      </c>
      <c r="F453">
        <v>8.1999999999999993</v>
      </c>
      <c r="G453">
        <v>8.82</v>
      </c>
      <c r="H453">
        <v>1076.04</v>
      </c>
    </row>
    <row r="454" spans="1:8" x14ac:dyDescent="0.35">
      <c r="A454" t="s">
        <v>8</v>
      </c>
      <c r="B454" t="s">
        <v>12</v>
      </c>
      <c r="C454" t="s">
        <v>9</v>
      </c>
      <c r="D454">
        <v>175</v>
      </c>
      <c r="E454">
        <v>8</v>
      </c>
      <c r="F454">
        <v>4.57</v>
      </c>
      <c r="G454">
        <v>39.9</v>
      </c>
      <c r="H454">
        <v>6982.5</v>
      </c>
    </row>
    <row r="455" spans="1:8" x14ac:dyDescent="0.35">
      <c r="A455" t="s">
        <v>6</v>
      </c>
      <c r="B455" t="s">
        <v>12</v>
      </c>
      <c r="C455" t="s">
        <v>9</v>
      </c>
      <c r="D455">
        <v>218</v>
      </c>
      <c r="E455">
        <v>8</v>
      </c>
      <c r="F455">
        <v>3.67</v>
      </c>
      <c r="G455">
        <v>35.71</v>
      </c>
      <c r="H455">
        <v>7784.78</v>
      </c>
    </row>
    <row r="456" spans="1:8" x14ac:dyDescent="0.35">
      <c r="A456" t="s">
        <v>6</v>
      </c>
      <c r="B456" t="s">
        <v>12</v>
      </c>
      <c r="C456" t="s">
        <v>11</v>
      </c>
      <c r="D456">
        <v>176</v>
      </c>
      <c r="E456">
        <v>2</v>
      </c>
      <c r="F456">
        <v>1.1399999999999999</v>
      </c>
      <c r="G456">
        <v>12.66</v>
      </c>
      <c r="H456">
        <v>2228.16</v>
      </c>
    </row>
    <row r="457" spans="1:8" x14ac:dyDescent="0.35">
      <c r="A457" t="s">
        <v>6</v>
      </c>
      <c r="B457" t="s">
        <v>12</v>
      </c>
      <c r="C457" t="s">
        <v>11</v>
      </c>
      <c r="D457">
        <v>247</v>
      </c>
      <c r="E457">
        <v>0</v>
      </c>
      <c r="F457">
        <v>0</v>
      </c>
      <c r="G457">
        <v>59.12</v>
      </c>
      <c r="H457">
        <v>14602.64</v>
      </c>
    </row>
    <row r="458" spans="1:8" x14ac:dyDescent="0.35">
      <c r="A458" t="s">
        <v>6</v>
      </c>
      <c r="B458" t="s">
        <v>12</v>
      </c>
      <c r="C458" t="s">
        <v>11</v>
      </c>
      <c r="D458">
        <v>200</v>
      </c>
      <c r="E458">
        <v>1</v>
      </c>
      <c r="F458">
        <v>0.5</v>
      </c>
      <c r="G458">
        <v>63.68</v>
      </c>
      <c r="H458">
        <v>12736</v>
      </c>
    </row>
    <row r="459" spans="1:8" x14ac:dyDescent="0.35">
      <c r="A459" t="s">
        <v>7</v>
      </c>
      <c r="B459" t="s">
        <v>12</v>
      </c>
      <c r="C459" t="s">
        <v>10</v>
      </c>
      <c r="D459">
        <v>269</v>
      </c>
      <c r="E459">
        <v>22</v>
      </c>
      <c r="F459">
        <v>8.18</v>
      </c>
      <c r="G459">
        <v>43.6</v>
      </c>
      <c r="H459">
        <v>11728.4</v>
      </c>
    </row>
    <row r="460" spans="1:8" x14ac:dyDescent="0.35">
      <c r="A460" t="s">
        <v>7</v>
      </c>
      <c r="B460" t="s">
        <v>12</v>
      </c>
      <c r="C460" t="s">
        <v>9</v>
      </c>
      <c r="D460">
        <v>75</v>
      </c>
      <c r="E460">
        <v>1</v>
      </c>
      <c r="F460">
        <v>1.33</v>
      </c>
      <c r="G460">
        <v>47.44</v>
      </c>
      <c r="H460">
        <v>3558</v>
      </c>
    </row>
    <row r="461" spans="1:8" x14ac:dyDescent="0.35">
      <c r="A461" t="s">
        <v>6</v>
      </c>
      <c r="B461" t="s">
        <v>12</v>
      </c>
      <c r="C461" t="s">
        <v>11</v>
      </c>
      <c r="D461">
        <v>161</v>
      </c>
      <c r="E461">
        <v>0</v>
      </c>
      <c r="F461">
        <v>0</v>
      </c>
      <c r="G461">
        <v>46.59</v>
      </c>
      <c r="H461">
        <v>7500.99</v>
      </c>
    </row>
    <row r="462" spans="1:8" x14ac:dyDescent="0.35">
      <c r="A462" t="s">
        <v>8</v>
      </c>
      <c r="B462" t="s">
        <v>12</v>
      </c>
      <c r="C462" t="s">
        <v>9</v>
      </c>
      <c r="D462">
        <v>163</v>
      </c>
      <c r="E462">
        <v>16</v>
      </c>
      <c r="F462">
        <v>9.82</v>
      </c>
      <c r="G462">
        <v>18.55</v>
      </c>
      <c r="H462">
        <v>3023.65</v>
      </c>
    </row>
    <row r="463" spans="1:8" x14ac:dyDescent="0.35">
      <c r="A463" t="s">
        <v>6</v>
      </c>
      <c r="B463" t="s">
        <v>12</v>
      </c>
      <c r="C463" t="s">
        <v>11</v>
      </c>
      <c r="D463">
        <v>153</v>
      </c>
      <c r="E463">
        <v>10</v>
      </c>
      <c r="F463">
        <v>6.54</v>
      </c>
      <c r="G463">
        <v>31.09</v>
      </c>
      <c r="H463">
        <v>4756.7700000000004</v>
      </c>
    </row>
    <row r="464" spans="1:8" x14ac:dyDescent="0.35">
      <c r="A464" t="s">
        <v>6</v>
      </c>
      <c r="B464" t="s">
        <v>12</v>
      </c>
      <c r="C464" t="s">
        <v>9</v>
      </c>
      <c r="D464">
        <v>215</v>
      </c>
      <c r="E464">
        <v>15</v>
      </c>
      <c r="F464">
        <v>6.98</v>
      </c>
      <c r="G464">
        <v>23.61</v>
      </c>
      <c r="H464">
        <v>5076.1499999999996</v>
      </c>
    </row>
    <row r="465" spans="1:8" x14ac:dyDescent="0.35">
      <c r="A465" t="s">
        <v>5</v>
      </c>
      <c r="B465" t="s">
        <v>12</v>
      </c>
      <c r="C465" t="s">
        <v>9</v>
      </c>
      <c r="D465">
        <v>57</v>
      </c>
      <c r="E465">
        <v>0</v>
      </c>
      <c r="F465">
        <v>0</v>
      </c>
      <c r="G465">
        <v>10.67</v>
      </c>
      <c r="H465">
        <v>608.19000000000005</v>
      </c>
    </row>
    <row r="466" spans="1:8" x14ac:dyDescent="0.35">
      <c r="A466" t="s">
        <v>6</v>
      </c>
      <c r="B466" t="s">
        <v>12</v>
      </c>
      <c r="C466" t="s">
        <v>11</v>
      </c>
      <c r="D466">
        <v>187</v>
      </c>
      <c r="E466">
        <v>10</v>
      </c>
      <c r="F466">
        <v>5.35</v>
      </c>
      <c r="G466">
        <v>19.309999999999999</v>
      </c>
      <c r="H466">
        <v>3610.97</v>
      </c>
    </row>
    <row r="467" spans="1:8" x14ac:dyDescent="0.35">
      <c r="A467" t="s">
        <v>7</v>
      </c>
      <c r="B467" t="s">
        <v>12</v>
      </c>
      <c r="C467" t="s">
        <v>9</v>
      </c>
      <c r="D467">
        <v>261</v>
      </c>
      <c r="E467">
        <v>14</v>
      </c>
      <c r="F467">
        <v>5.36</v>
      </c>
      <c r="G467">
        <v>66.959999999999994</v>
      </c>
      <c r="H467">
        <v>17476.560000000001</v>
      </c>
    </row>
    <row r="468" spans="1:8" x14ac:dyDescent="0.35">
      <c r="A468" t="s">
        <v>7</v>
      </c>
      <c r="B468" t="s">
        <v>12</v>
      </c>
      <c r="C468" t="s">
        <v>9</v>
      </c>
      <c r="D468">
        <v>177</v>
      </c>
      <c r="E468">
        <v>3</v>
      </c>
      <c r="F468">
        <v>1.69</v>
      </c>
      <c r="G468">
        <v>21.47</v>
      </c>
      <c r="H468">
        <v>3800.19</v>
      </c>
    </row>
    <row r="469" spans="1:8" x14ac:dyDescent="0.35">
      <c r="A469" t="s">
        <v>6</v>
      </c>
      <c r="B469" t="s">
        <v>12</v>
      </c>
      <c r="C469" t="s">
        <v>9</v>
      </c>
      <c r="D469">
        <v>159</v>
      </c>
      <c r="E469">
        <v>11</v>
      </c>
      <c r="F469">
        <v>6.92</v>
      </c>
      <c r="G469">
        <v>41.87</v>
      </c>
      <c r="H469">
        <v>6657.33</v>
      </c>
    </row>
    <row r="470" spans="1:8" x14ac:dyDescent="0.35">
      <c r="A470" t="s">
        <v>5</v>
      </c>
      <c r="B470" t="s">
        <v>12</v>
      </c>
      <c r="C470" t="s">
        <v>9</v>
      </c>
      <c r="D470">
        <v>205</v>
      </c>
      <c r="E470">
        <v>18</v>
      </c>
      <c r="F470">
        <v>8.7799999999999994</v>
      </c>
      <c r="G470">
        <v>39.770000000000003</v>
      </c>
      <c r="H470">
        <v>8152.85</v>
      </c>
    </row>
    <row r="471" spans="1:8" x14ac:dyDescent="0.35">
      <c r="A471" t="s">
        <v>7</v>
      </c>
      <c r="B471" t="s">
        <v>12</v>
      </c>
      <c r="C471" t="s">
        <v>10</v>
      </c>
      <c r="D471">
        <v>188</v>
      </c>
      <c r="E471">
        <v>4</v>
      </c>
      <c r="F471">
        <v>2.13</v>
      </c>
      <c r="G471">
        <v>40.39</v>
      </c>
      <c r="H471">
        <v>7593.32</v>
      </c>
    </row>
    <row r="472" spans="1:8" x14ac:dyDescent="0.35">
      <c r="A472" t="s">
        <v>5</v>
      </c>
      <c r="B472" t="s">
        <v>12</v>
      </c>
      <c r="C472" t="s">
        <v>9</v>
      </c>
      <c r="D472">
        <v>262</v>
      </c>
      <c r="E472">
        <v>18</v>
      </c>
      <c r="F472">
        <v>6.87</v>
      </c>
      <c r="G472">
        <v>66.94</v>
      </c>
      <c r="H472">
        <v>17538.28</v>
      </c>
    </row>
    <row r="473" spans="1:8" x14ac:dyDescent="0.35">
      <c r="A473" t="s">
        <v>6</v>
      </c>
      <c r="B473" t="s">
        <v>12</v>
      </c>
      <c r="C473" t="s">
        <v>9</v>
      </c>
      <c r="D473">
        <v>184</v>
      </c>
      <c r="E473">
        <v>0</v>
      </c>
      <c r="F473">
        <v>0</v>
      </c>
      <c r="G473">
        <v>22.15</v>
      </c>
      <c r="H473">
        <v>4075.6</v>
      </c>
    </row>
    <row r="474" spans="1:8" x14ac:dyDescent="0.35">
      <c r="A474" t="s">
        <v>6</v>
      </c>
      <c r="B474" t="s">
        <v>12</v>
      </c>
      <c r="C474" t="s">
        <v>11</v>
      </c>
      <c r="D474">
        <v>275</v>
      </c>
      <c r="E474">
        <v>1</v>
      </c>
      <c r="F474">
        <v>0.36</v>
      </c>
      <c r="G474">
        <v>57.55</v>
      </c>
      <c r="H474">
        <v>15826.25</v>
      </c>
    </row>
    <row r="475" spans="1:8" x14ac:dyDescent="0.35">
      <c r="A475" t="s">
        <v>6</v>
      </c>
      <c r="B475" t="s">
        <v>12</v>
      </c>
      <c r="C475" t="s">
        <v>9</v>
      </c>
      <c r="D475">
        <v>121</v>
      </c>
      <c r="E475">
        <v>0</v>
      </c>
      <c r="F475">
        <v>0</v>
      </c>
      <c r="G475">
        <v>37.96</v>
      </c>
      <c r="H475">
        <v>4593.16</v>
      </c>
    </row>
    <row r="476" spans="1:8" x14ac:dyDescent="0.35">
      <c r="A476" t="s">
        <v>7</v>
      </c>
      <c r="B476" t="s">
        <v>12</v>
      </c>
      <c r="C476" t="s">
        <v>10</v>
      </c>
      <c r="D476">
        <v>136</v>
      </c>
      <c r="E476">
        <v>1</v>
      </c>
      <c r="F476">
        <v>0.74</v>
      </c>
      <c r="G476">
        <v>51.74</v>
      </c>
      <c r="H476">
        <v>7036.64</v>
      </c>
    </row>
    <row r="477" spans="1:8" x14ac:dyDescent="0.35">
      <c r="A477" t="s">
        <v>6</v>
      </c>
      <c r="B477" t="s">
        <v>12</v>
      </c>
      <c r="C477" t="s">
        <v>11</v>
      </c>
      <c r="D477">
        <v>132</v>
      </c>
      <c r="E477">
        <v>8</v>
      </c>
      <c r="F477">
        <v>6.06</v>
      </c>
      <c r="G477">
        <v>18.37</v>
      </c>
      <c r="H477">
        <v>2424.84</v>
      </c>
    </row>
    <row r="478" spans="1:8" x14ac:dyDescent="0.35">
      <c r="A478" t="s">
        <v>8</v>
      </c>
      <c r="B478" t="s">
        <v>12</v>
      </c>
      <c r="C478" t="s">
        <v>9</v>
      </c>
      <c r="D478">
        <v>208</v>
      </c>
      <c r="E478">
        <v>14</v>
      </c>
      <c r="F478">
        <v>6.73</v>
      </c>
      <c r="G478">
        <v>51.57</v>
      </c>
      <c r="H478">
        <v>10726.56</v>
      </c>
    </row>
    <row r="479" spans="1:8" x14ac:dyDescent="0.35">
      <c r="A479" t="s">
        <v>8</v>
      </c>
      <c r="B479" t="s">
        <v>12</v>
      </c>
      <c r="C479" t="s">
        <v>9</v>
      </c>
      <c r="D479">
        <v>102</v>
      </c>
      <c r="E479">
        <v>2</v>
      </c>
      <c r="F479">
        <v>1.96</v>
      </c>
      <c r="G479">
        <v>51.45</v>
      </c>
      <c r="H479">
        <v>5247.9</v>
      </c>
    </row>
    <row r="480" spans="1:8" x14ac:dyDescent="0.35">
      <c r="A480" t="s">
        <v>6</v>
      </c>
      <c r="B480" t="s">
        <v>12</v>
      </c>
      <c r="C480" t="s">
        <v>11</v>
      </c>
      <c r="D480">
        <v>167</v>
      </c>
      <c r="E480">
        <v>1</v>
      </c>
      <c r="F480">
        <v>0.6</v>
      </c>
      <c r="G480">
        <v>27.18</v>
      </c>
      <c r="H480">
        <v>4539.0600000000004</v>
      </c>
    </row>
    <row r="481" spans="1:8" x14ac:dyDescent="0.35">
      <c r="A481" t="s">
        <v>6</v>
      </c>
      <c r="B481" t="s">
        <v>12</v>
      </c>
      <c r="C481" t="s">
        <v>11</v>
      </c>
      <c r="D481">
        <v>79</v>
      </c>
      <c r="E481">
        <v>7</v>
      </c>
      <c r="F481">
        <v>8.86</v>
      </c>
      <c r="G481">
        <v>24.76</v>
      </c>
      <c r="H481">
        <v>1956.04</v>
      </c>
    </row>
    <row r="482" spans="1:8" x14ac:dyDescent="0.35">
      <c r="A482" t="s">
        <v>6</v>
      </c>
      <c r="B482" t="s">
        <v>12</v>
      </c>
      <c r="C482" t="s">
        <v>11</v>
      </c>
      <c r="D482">
        <v>66</v>
      </c>
      <c r="E482">
        <v>4</v>
      </c>
      <c r="F482">
        <v>6.06</v>
      </c>
      <c r="G482">
        <v>18.88</v>
      </c>
      <c r="H482">
        <v>1246.08</v>
      </c>
    </row>
    <row r="483" spans="1:8" x14ac:dyDescent="0.35">
      <c r="A483" t="s">
        <v>8</v>
      </c>
      <c r="B483" t="s">
        <v>12</v>
      </c>
      <c r="C483" t="s">
        <v>9</v>
      </c>
      <c r="D483">
        <v>250</v>
      </c>
      <c r="E483">
        <v>4</v>
      </c>
      <c r="F483">
        <v>1.6</v>
      </c>
      <c r="G483">
        <v>49.38</v>
      </c>
      <c r="H483">
        <v>12345</v>
      </c>
    </row>
    <row r="484" spans="1:8" x14ac:dyDescent="0.35">
      <c r="A484" t="s">
        <v>8</v>
      </c>
      <c r="B484" t="s">
        <v>12</v>
      </c>
      <c r="C484" t="s">
        <v>9</v>
      </c>
      <c r="D484">
        <v>113</v>
      </c>
      <c r="E484">
        <v>8</v>
      </c>
      <c r="F484">
        <v>7.08</v>
      </c>
      <c r="G484">
        <v>36.35</v>
      </c>
      <c r="H484">
        <v>4107.55</v>
      </c>
    </row>
    <row r="485" spans="1:8" x14ac:dyDescent="0.35">
      <c r="A485" t="s">
        <v>6</v>
      </c>
      <c r="B485" t="s">
        <v>12</v>
      </c>
      <c r="C485" t="s">
        <v>9</v>
      </c>
      <c r="D485">
        <v>163</v>
      </c>
      <c r="E485">
        <v>14</v>
      </c>
      <c r="F485">
        <v>8.59</v>
      </c>
      <c r="G485">
        <v>37.39</v>
      </c>
      <c r="H485">
        <v>6094.57</v>
      </c>
    </row>
    <row r="486" spans="1:8" x14ac:dyDescent="0.35">
      <c r="A486" t="s">
        <v>6</v>
      </c>
      <c r="B486" t="s">
        <v>12</v>
      </c>
      <c r="C486" t="s">
        <v>9</v>
      </c>
      <c r="D486">
        <v>94</v>
      </c>
      <c r="E486">
        <v>8</v>
      </c>
      <c r="F486">
        <v>8.51</v>
      </c>
      <c r="G486">
        <v>28.5</v>
      </c>
      <c r="H486">
        <v>2679</v>
      </c>
    </row>
    <row r="487" spans="1:8" x14ac:dyDescent="0.35">
      <c r="A487" t="s">
        <v>7</v>
      </c>
      <c r="B487" t="s">
        <v>12</v>
      </c>
      <c r="C487" t="s">
        <v>9</v>
      </c>
      <c r="D487">
        <v>218</v>
      </c>
      <c r="E487">
        <v>10</v>
      </c>
      <c r="F487">
        <v>4.59</v>
      </c>
      <c r="G487">
        <v>36.909999999999997</v>
      </c>
      <c r="H487">
        <v>8046.38</v>
      </c>
    </row>
    <row r="488" spans="1:8" x14ac:dyDescent="0.35">
      <c r="A488" t="s">
        <v>6</v>
      </c>
      <c r="B488" t="s">
        <v>12</v>
      </c>
      <c r="C488" t="s">
        <v>9</v>
      </c>
      <c r="D488">
        <v>272</v>
      </c>
      <c r="E488">
        <v>25</v>
      </c>
      <c r="F488">
        <v>9.19</v>
      </c>
      <c r="G488">
        <v>39.33</v>
      </c>
      <c r="H488">
        <v>10697.76</v>
      </c>
    </row>
    <row r="489" spans="1:8" x14ac:dyDescent="0.35">
      <c r="A489" t="s">
        <v>6</v>
      </c>
      <c r="B489" t="s">
        <v>12</v>
      </c>
      <c r="C489" t="s">
        <v>11</v>
      </c>
      <c r="D489">
        <v>265</v>
      </c>
      <c r="E489">
        <v>19</v>
      </c>
      <c r="F489">
        <v>7.17</v>
      </c>
      <c r="G489">
        <v>40.729999999999997</v>
      </c>
      <c r="H489">
        <v>10793.45</v>
      </c>
    </row>
    <row r="490" spans="1:8" x14ac:dyDescent="0.35">
      <c r="A490" t="s">
        <v>6</v>
      </c>
      <c r="B490" t="s">
        <v>12</v>
      </c>
      <c r="C490" t="s">
        <v>11</v>
      </c>
      <c r="D490">
        <v>237</v>
      </c>
      <c r="E490">
        <v>3</v>
      </c>
      <c r="F490">
        <v>1.27</v>
      </c>
      <c r="G490">
        <v>33.479999999999997</v>
      </c>
      <c r="H490">
        <v>7934.76</v>
      </c>
    </row>
    <row r="491" spans="1:8" x14ac:dyDescent="0.35">
      <c r="A491" t="s">
        <v>8</v>
      </c>
      <c r="B491" t="s">
        <v>12</v>
      </c>
      <c r="C491" t="s">
        <v>9</v>
      </c>
      <c r="D491">
        <v>162</v>
      </c>
      <c r="E491">
        <v>16</v>
      </c>
      <c r="F491">
        <v>9.8800000000000008</v>
      </c>
      <c r="G491">
        <v>46.41</v>
      </c>
      <c r="H491">
        <v>7518.42</v>
      </c>
    </row>
    <row r="492" spans="1:8" x14ac:dyDescent="0.35">
      <c r="A492" t="s">
        <v>5</v>
      </c>
      <c r="B492" t="s">
        <v>12</v>
      </c>
      <c r="C492" t="s">
        <v>9</v>
      </c>
      <c r="D492">
        <v>128</v>
      </c>
      <c r="E492">
        <v>0</v>
      </c>
      <c r="F492">
        <v>0</v>
      </c>
      <c r="G492">
        <v>24.11</v>
      </c>
      <c r="H492">
        <v>3086.08</v>
      </c>
    </row>
    <row r="493" spans="1:8" x14ac:dyDescent="0.35">
      <c r="A493" t="s">
        <v>7</v>
      </c>
      <c r="B493" t="s">
        <v>12</v>
      </c>
      <c r="C493" t="s">
        <v>10</v>
      </c>
      <c r="D493">
        <v>218</v>
      </c>
      <c r="E493">
        <v>4</v>
      </c>
      <c r="F493">
        <v>1.83</v>
      </c>
      <c r="G493">
        <v>21.33</v>
      </c>
      <c r="H493">
        <v>4649.9399999999996</v>
      </c>
    </row>
    <row r="494" spans="1:8" x14ac:dyDescent="0.35">
      <c r="A494" t="s">
        <v>7</v>
      </c>
      <c r="B494" t="s">
        <v>12</v>
      </c>
      <c r="C494" t="s">
        <v>10</v>
      </c>
      <c r="D494">
        <v>114</v>
      </c>
      <c r="E494">
        <v>4</v>
      </c>
      <c r="F494">
        <v>3.51</v>
      </c>
      <c r="G494">
        <v>46.66</v>
      </c>
      <c r="H494">
        <v>5319.24</v>
      </c>
    </row>
    <row r="495" spans="1:8" x14ac:dyDescent="0.35">
      <c r="A495" t="s">
        <v>6</v>
      </c>
      <c r="B495" t="s">
        <v>12</v>
      </c>
      <c r="C495" t="s">
        <v>11</v>
      </c>
      <c r="D495">
        <v>105</v>
      </c>
      <c r="E495">
        <v>0</v>
      </c>
      <c r="F495">
        <v>0</v>
      </c>
      <c r="G495">
        <v>46.04</v>
      </c>
      <c r="H495">
        <v>4834.2</v>
      </c>
    </row>
    <row r="496" spans="1:8" x14ac:dyDescent="0.35">
      <c r="A496" t="s">
        <v>6</v>
      </c>
      <c r="B496" t="s">
        <v>12</v>
      </c>
      <c r="C496" t="s">
        <v>11</v>
      </c>
      <c r="D496">
        <v>165</v>
      </c>
      <c r="E496">
        <v>6</v>
      </c>
      <c r="F496">
        <v>3.64</v>
      </c>
      <c r="G496">
        <v>21.63</v>
      </c>
      <c r="H496">
        <v>3568.95</v>
      </c>
    </row>
    <row r="497" spans="1:8" x14ac:dyDescent="0.35">
      <c r="A497" t="s">
        <v>7</v>
      </c>
      <c r="B497" t="s">
        <v>12</v>
      </c>
      <c r="C497" t="s">
        <v>10</v>
      </c>
      <c r="D497">
        <v>94</v>
      </c>
      <c r="E497">
        <v>8</v>
      </c>
      <c r="F497">
        <v>8.51</v>
      </c>
      <c r="G497">
        <v>55.12</v>
      </c>
      <c r="H497">
        <v>5181.28</v>
      </c>
    </row>
    <row r="498" spans="1:8" x14ac:dyDescent="0.35">
      <c r="A498" t="s">
        <v>7</v>
      </c>
      <c r="B498" t="s">
        <v>12</v>
      </c>
      <c r="C498" t="s">
        <v>10</v>
      </c>
      <c r="D498">
        <v>101</v>
      </c>
      <c r="E498">
        <v>4</v>
      </c>
      <c r="F498">
        <v>3.96</v>
      </c>
      <c r="G498">
        <v>31.69</v>
      </c>
      <c r="H498">
        <v>3200.69</v>
      </c>
    </row>
    <row r="499" spans="1:8" x14ac:dyDescent="0.35">
      <c r="A499" t="s">
        <v>8</v>
      </c>
      <c r="B499" t="s">
        <v>12</v>
      </c>
      <c r="C499" t="s">
        <v>9</v>
      </c>
      <c r="D499">
        <v>135</v>
      </c>
      <c r="E499">
        <v>6</v>
      </c>
      <c r="F499">
        <v>4.4400000000000004</v>
      </c>
      <c r="G499">
        <v>43.45</v>
      </c>
      <c r="H499">
        <v>5865.75</v>
      </c>
    </row>
    <row r="500" spans="1:8" x14ac:dyDescent="0.35">
      <c r="A500" t="s">
        <v>7</v>
      </c>
      <c r="B500" t="s">
        <v>12</v>
      </c>
      <c r="C500" t="s">
        <v>9</v>
      </c>
      <c r="D500">
        <v>64</v>
      </c>
      <c r="E500">
        <v>1</v>
      </c>
      <c r="F500">
        <v>1.56</v>
      </c>
      <c r="G500">
        <v>18.75</v>
      </c>
      <c r="H500">
        <v>1200</v>
      </c>
    </row>
    <row r="501" spans="1:8" x14ac:dyDescent="0.35">
      <c r="A501" t="s">
        <v>5</v>
      </c>
      <c r="B501" t="s">
        <v>12</v>
      </c>
      <c r="C501" t="s">
        <v>9</v>
      </c>
      <c r="D501">
        <v>244</v>
      </c>
      <c r="E501">
        <v>10</v>
      </c>
      <c r="F501">
        <v>4.0999999999999996</v>
      </c>
      <c r="G501">
        <v>67.349999999999994</v>
      </c>
      <c r="H501">
        <v>16433.400000000001</v>
      </c>
    </row>
    <row r="502" spans="1:8" x14ac:dyDescent="0.35">
      <c r="A502" t="s">
        <v>8</v>
      </c>
      <c r="B502" t="s">
        <v>12</v>
      </c>
      <c r="C502" t="s">
        <v>9</v>
      </c>
      <c r="D502">
        <v>130</v>
      </c>
      <c r="E502">
        <v>4</v>
      </c>
      <c r="F502">
        <v>3.08</v>
      </c>
      <c r="G502">
        <v>68.599999999999994</v>
      </c>
      <c r="H502">
        <v>8918</v>
      </c>
    </row>
    <row r="503" spans="1:8" x14ac:dyDescent="0.35">
      <c r="A503" t="s">
        <v>7</v>
      </c>
      <c r="B503" t="s">
        <v>12</v>
      </c>
      <c r="C503" t="s">
        <v>10</v>
      </c>
      <c r="D503">
        <v>249</v>
      </c>
      <c r="E503">
        <v>9</v>
      </c>
      <c r="F503">
        <v>3.61</v>
      </c>
      <c r="G503">
        <v>38.659999999999997</v>
      </c>
      <c r="H503">
        <v>9626.34</v>
      </c>
    </row>
    <row r="504" spans="1:8" x14ac:dyDescent="0.35">
      <c r="A504" t="s">
        <v>6</v>
      </c>
      <c r="B504" t="s">
        <v>12</v>
      </c>
      <c r="C504" t="s">
        <v>11</v>
      </c>
      <c r="D504">
        <v>297</v>
      </c>
      <c r="E504">
        <v>19</v>
      </c>
      <c r="F504">
        <v>6.4</v>
      </c>
      <c r="G504">
        <v>58.75</v>
      </c>
      <c r="H504">
        <v>17448.75</v>
      </c>
    </row>
    <row r="505" spans="1:8" x14ac:dyDescent="0.35">
      <c r="A505" t="s">
        <v>5</v>
      </c>
      <c r="B505" t="s">
        <v>12</v>
      </c>
      <c r="C505" t="s">
        <v>9</v>
      </c>
      <c r="D505">
        <v>154</v>
      </c>
      <c r="E505">
        <v>0</v>
      </c>
      <c r="F505">
        <v>0</v>
      </c>
      <c r="G505">
        <v>67.25</v>
      </c>
      <c r="H505">
        <v>10356.5</v>
      </c>
    </row>
    <row r="506" spans="1:8" x14ac:dyDescent="0.35">
      <c r="A506" t="s">
        <v>6</v>
      </c>
      <c r="B506" t="s">
        <v>12</v>
      </c>
      <c r="C506" t="s">
        <v>11</v>
      </c>
      <c r="D506">
        <v>78</v>
      </c>
      <c r="E506">
        <v>6</v>
      </c>
      <c r="F506">
        <v>7.69</v>
      </c>
      <c r="G506">
        <v>10.19</v>
      </c>
      <c r="H506">
        <v>794.82</v>
      </c>
    </row>
    <row r="507" spans="1:8" x14ac:dyDescent="0.35">
      <c r="A507" t="s">
        <v>8</v>
      </c>
      <c r="B507" t="s">
        <v>12</v>
      </c>
      <c r="C507" t="s">
        <v>9</v>
      </c>
      <c r="D507">
        <v>248</v>
      </c>
      <c r="E507">
        <v>6</v>
      </c>
      <c r="F507">
        <v>2.42</v>
      </c>
      <c r="G507">
        <v>24.19</v>
      </c>
      <c r="H507">
        <v>5999.12</v>
      </c>
    </row>
    <row r="508" spans="1:8" x14ac:dyDescent="0.35">
      <c r="A508" t="s">
        <v>8</v>
      </c>
      <c r="B508" t="s">
        <v>12</v>
      </c>
      <c r="C508" t="s">
        <v>9</v>
      </c>
      <c r="D508">
        <v>162</v>
      </c>
      <c r="E508">
        <v>14</v>
      </c>
      <c r="F508">
        <v>8.64</v>
      </c>
      <c r="G508">
        <v>25.4</v>
      </c>
      <c r="H508">
        <v>4114.8</v>
      </c>
    </row>
    <row r="509" spans="1:8" x14ac:dyDescent="0.35">
      <c r="A509" t="s">
        <v>6</v>
      </c>
      <c r="B509" t="s">
        <v>12</v>
      </c>
      <c r="C509" t="s">
        <v>9</v>
      </c>
      <c r="D509">
        <v>95</v>
      </c>
      <c r="E509">
        <v>8</v>
      </c>
      <c r="F509">
        <v>8.42</v>
      </c>
      <c r="G509">
        <v>43.1</v>
      </c>
      <c r="H509">
        <v>4094.5</v>
      </c>
    </row>
    <row r="510" spans="1:8" x14ac:dyDescent="0.35">
      <c r="A510" t="s">
        <v>6</v>
      </c>
      <c r="B510" t="s">
        <v>12</v>
      </c>
      <c r="C510" t="s">
        <v>9</v>
      </c>
      <c r="D510">
        <v>220</v>
      </c>
      <c r="E510">
        <v>7</v>
      </c>
      <c r="F510">
        <v>3.18</v>
      </c>
      <c r="G510">
        <v>13.73</v>
      </c>
      <c r="H510">
        <v>3020.6</v>
      </c>
    </row>
    <row r="511" spans="1:8" x14ac:dyDescent="0.35">
      <c r="A511" t="s">
        <v>6</v>
      </c>
      <c r="B511" t="s">
        <v>12</v>
      </c>
      <c r="C511" t="s">
        <v>11</v>
      </c>
      <c r="D511">
        <v>273</v>
      </c>
      <c r="E511">
        <v>4</v>
      </c>
      <c r="F511">
        <v>1.47</v>
      </c>
      <c r="G511">
        <v>37.369999999999997</v>
      </c>
      <c r="H511">
        <v>10202.01</v>
      </c>
    </row>
    <row r="512" spans="1:8" x14ac:dyDescent="0.35">
      <c r="A512" t="s">
        <v>8</v>
      </c>
      <c r="B512" t="s">
        <v>12</v>
      </c>
      <c r="C512" t="s">
        <v>9</v>
      </c>
      <c r="D512">
        <v>143</v>
      </c>
      <c r="E512">
        <v>3</v>
      </c>
      <c r="F512">
        <v>2.1</v>
      </c>
      <c r="G512">
        <v>14.9</v>
      </c>
      <c r="H512">
        <v>2130.6999999999998</v>
      </c>
    </row>
    <row r="513" spans="1:8" x14ac:dyDescent="0.35">
      <c r="A513" t="s">
        <v>7</v>
      </c>
      <c r="B513" t="s">
        <v>12</v>
      </c>
      <c r="C513" t="s">
        <v>10</v>
      </c>
      <c r="D513">
        <v>111</v>
      </c>
      <c r="E513">
        <v>7</v>
      </c>
      <c r="F513">
        <v>6.31</v>
      </c>
      <c r="G513">
        <v>58.4</v>
      </c>
      <c r="H513">
        <v>6482.4</v>
      </c>
    </row>
    <row r="514" spans="1:8" x14ac:dyDescent="0.35">
      <c r="A514" t="s">
        <v>7</v>
      </c>
      <c r="B514" t="s">
        <v>12</v>
      </c>
      <c r="C514" t="s">
        <v>10</v>
      </c>
      <c r="D514">
        <v>231</v>
      </c>
      <c r="E514">
        <v>13</v>
      </c>
      <c r="F514">
        <v>5.63</v>
      </c>
      <c r="G514">
        <v>53.54</v>
      </c>
      <c r="H514">
        <v>12367.74</v>
      </c>
    </row>
    <row r="515" spans="1:8" x14ac:dyDescent="0.35">
      <c r="A515" t="s">
        <v>7</v>
      </c>
      <c r="B515" t="s">
        <v>12</v>
      </c>
      <c r="C515" t="s">
        <v>10</v>
      </c>
      <c r="D515">
        <v>216</v>
      </c>
      <c r="E515">
        <v>14</v>
      </c>
      <c r="F515">
        <v>6.48</v>
      </c>
      <c r="G515">
        <v>52.65</v>
      </c>
      <c r="H515">
        <v>11372.4</v>
      </c>
    </row>
    <row r="516" spans="1:8" x14ac:dyDescent="0.35">
      <c r="A516" t="s">
        <v>5</v>
      </c>
      <c r="B516" t="s">
        <v>12</v>
      </c>
      <c r="C516" t="s">
        <v>9</v>
      </c>
      <c r="D516">
        <v>57</v>
      </c>
      <c r="E516">
        <v>3</v>
      </c>
      <c r="F516">
        <v>5.26</v>
      </c>
      <c r="G516">
        <v>17.55</v>
      </c>
      <c r="H516">
        <v>1000.35</v>
      </c>
    </row>
    <row r="517" spans="1:8" x14ac:dyDescent="0.35">
      <c r="A517" t="s">
        <v>7</v>
      </c>
      <c r="B517" t="s">
        <v>12</v>
      </c>
      <c r="C517" t="s">
        <v>9</v>
      </c>
      <c r="D517">
        <v>185</v>
      </c>
      <c r="E517">
        <v>2</v>
      </c>
      <c r="F517">
        <v>1.08</v>
      </c>
      <c r="G517">
        <v>21.42</v>
      </c>
      <c r="H517">
        <v>3962.7</v>
      </c>
    </row>
    <row r="518" spans="1:8" x14ac:dyDescent="0.35">
      <c r="A518" t="s">
        <v>7</v>
      </c>
      <c r="B518" t="s">
        <v>12</v>
      </c>
      <c r="C518" t="s">
        <v>9</v>
      </c>
      <c r="D518">
        <v>188</v>
      </c>
      <c r="E518">
        <v>10</v>
      </c>
      <c r="F518">
        <v>5.32</v>
      </c>
      <c r="G518">
        <v>50.83</v>
      </c>
      <c r="H518">
        <v>9556.0400000000009</v>
      </c>
    </row>
    <row r="519" spans="1:8" x14ac:dyDescent="0.35">
      <c r="A519" t="s">
        <v>5</v>
      </c>
      <c r="B519" t="s">
        <v>12</v>
      </c>
      <c r="C519" t="s">
        <v>9</v>
      </c>
      <c r="D519">
        <v>71</v>
      </c>
      <c r="E519">
        <v>4</v>
      </c>
      <c r="F519">
        <v>5.63</v>
      </c>
      <c r="G519">
        <v>28.51</v>
      </c>
      <c r="H519">
        <v>2024.21</v>
      </c>
    </row>
    <row r="520" spans="1:8" x14ac:dyDescent="0.35">
      <c r="A520" t="s">
        <v>6</v>
      </c>
      <c r="B520" t="s">
        <v>12</v>
      </c>
      <c r="C520" t="s">
        <v>9</v>
      </c>
      <c r="D520">
        <v>230</v>
      </c>
      <c r="E520">
        <v>7</v>
      </c>
      <c r="F520">
        <v>3.04</v>
      </c>
      <c r="G520">
        <v>21.6</v>
      </c>
      <c r="H520">
        <v>4968</v>
      </c>
    </row>
    <row r="521" spans="1:8" x14ac:dyDescent="0.35">
      <c r="A521" t="s">
        <v>6</v>
      </c>
      <c r="B521" t="s">
        <v>12</v>
      </c>
      <c r="C521" t="s">
        <v>11</v>
      </c>
      <c r="D521">
        <v>110</v>
      </c>
      <c r="E521">
        <v>8</v>
      </c>
      <c r="F521">
        <v>7.27</v>
      </c>
      <c r="G521">
        <v>51.92</v>
      </c>
      <c r="H521">
        <v>5711.2</v>
      </c>
    </row>
    <row r="522" spans="1:8" x14ac:dyDescent="0.35">
      <c r="A522" t="s">
        <v>6</v>
      </c>
      <c r="B522" t="s">
        <v>12</v>
      </c>
      <c r="C522" t="s">
        <v>11</v>
      </c>
      <c r="D522">
        <v>105</v>
      </c>
      <c r="E522">
        <v>2</v>
      </c>
      <c r="F522">
        <v>1.9</v>
      </c>
      <c r="G522">
        <v>48.88</v>
      </c>
      <c r="H522">
        <v>5132.3999999999996</v>
      </c>
    </row>
    <row r="523" spans="1:8" x14ac:dyDescent="0.35">
      <c r="A523" t="s">
        <v>5</v>
      </c>
      <c r="B523" t="s">
        <v>12</v>
      </c>
      <c r="C523" t="s">
        <v>9</v>
      </c>
      <c r="D523">
        <v>224</v>
      </c>
      <c r="E523">
        <v>11</v>
      </c>
      <c r="F523">
        <v>4.91</v>
      </c>
      <c r="G523">
        <v>54.15</v>
      </c>
      <c r="H523">
        <v>12129.6</v>
      </c>
    </row>
    <row r="524" spans="1:8" x14ac:dyDescent="0.35">
      <c r="A524" t="s">
        <v>7</v>
      </c>
      <c r="B524" t="s">
        <v>12</v>
      </c>
      <c r="C524" t="s">
        <v>9</v>
      </c>
      <c r="D524">
        <v>247</v>
      </c>
      <c r="E524">
        <v>23</v>
      </c>
      <c r="F524">
        <v>9.31</v>
      </c>
      <c r="G524">
        <v>28.59</v>
      </c>
      <c r="H524">
        <v>7061.73</v>
      </c>
    </row>
    <row r="525" spans="1:8" x14ac:dyDescent="0.35">
      <c r="A525" t="s">
        <v>7</v>
      </c>
      <c r="B525" t="s">
        <v>12</v>
      </c>
      <c r="C525" t="s">
        <v>10</v>
      </c>
      <c r="D525">
        <v>253</v>
      </c>
      <c r="E525">
        <v>14</v>
      </c>
      <c r="F525">
        <v>5.53</v>
      </c>
      <c r="G525">
        <v>68.62</v>
      </c>
      <c r="H525">
        <v>17360.86</v>
      </c>
    </row>
    <row r="526" spans="1:8" x14ac:dyDescent="0.35">
      <c r="A526" t="s">
        <v>7</v>
      </c>
      <c r="B526" t="s">
        <v>12</v>
      </c>
      <c r="C526" t="s">
        <v>9</v>
      </c>
      <c r="D526">
        <v>103</v>
      </c>
      <c r="E526">
        <v>10</v>
      </c>
      <c r="F526">
        <v>9.7100000000000009</v>
      </c>
      <c r="G526">
        <v>65.81</v>
      </c>
      <c r="H526">
        <v>6778.43</v>
      </c>
    </row>
    <row r="527" spans="1:8" x14ac:dyDescent="0.35">
      <c r="A527" t="s">
        <v>5</v>
      </c>
      <c r="B527" t="s">
        <v>12</v>
      </c>
      <c r="C527" t="s">
        <v>9</v>
      </c>
      <c r="D527">
        <v>200</v>
      </c>
      <c r="E527">
        <v>6</v>
      </c>
      <c r="F527">
        <v>3</v>
      </c>
      <c r="G527">
        <v>56.44</v>
      </c>
      <c r="H527">
        <v>11288</v>
      </c>
    </row>
    <row r="528" spans="1:8" x14ac:dyDescent="0.35">
      <c r="A528" t="s">
        <v>8</v>
      </c>
      <c r="B528" t="s">
        <v>12</v>
      </c>
      <c r="C528" t="s">
        <v>9</v>
      </c>
      <c r="D528">
        <v>296</v>
      </c>
      <c r="E528">
        <v>21</v>
      </c>
      <c r="F528">
        <v>7.09</v>
      </c>
      <c r="G528">
        <v>42.77</v>
      </c>
      <c r="H528">
        <v>12659.92</v>
      </c>
    </row>
    <row r="529" spans="1:8" x14ac:dyDescent="0.35">
      <c r="A529" t="s">
        <v>6</v>
      </c>
      <c r="B529" t="s">
        <v>12</v>
      </c>
      <c r="C529" t="s">
        <v>11</v>
      </c>
      <c r="D529">
        <v>298</v>
      </c>
      <c r="E529">
        <v>27</v>
      </c>
      <c r="F529">
        <v>9.06</v>
      </c>
      <c r="G529">
        <v>23.17</v>
      </c>
      <c r="H529">
        <v>6904.66</v>
      </c>
    </row>
    <row r="530" spans="1:8" x14ac:dyDescent="0.35">
      <c r="A530" t="s">
        <v>6</v>
      </c>
      <c r="B530" t="s">
        <v>12</v>
      </c>
      <c r="C530" t="s">
        <v>9</v>
      </c>
      <c r="D530">
        <v>179</v>
      </c>
      <c r="E530">
        <v>0</v>
      </c>
      <c r="F530">
        <v>0</v>
      </c>
      <c r="G530">
        <v>65.14</v>
      </c>
      <c r="H530">
        <v>11660.06</v>
      </c>
    </row>
    <row r="531" spans="1:8" x14ac:dyDescent="0.35">
      <c r="A531" t="s">
        <v>7</v>
      </c>
      <c r="B531" t="s">
        <v>12</v>
      </c>
      <c r="C531" t="s">
        <v>10</v>
      </c>
      <c r="D531">
        <v>111</v>
      </c>
      <c r="E531">
        <v>4</v>
      </c>
      <c r="F531">
        <v>3.6</v>
      </c>
      <c r="G531">
        <v>42.24</v>
      </c>
      <c r="H531">
        <v>4688.6400000000003</v>
      </c>
    </row>
    <row r="532" spans="1:8" x14ac:dyDescent="0.35">
      <c r="A532" t="s">
        <v>7</v>
      </c>
      <c r="B532" t="s">
        <v>12</v>
      </c>
      <c r="C532" t="s">
        <v>9</v>
      </c>
      <c r="D532">
        <v>139</v>
      </c>
      <c r="E532">
        <v>6</v>
      </c>
      <c r="F532">
        <v>4.32</v>
      </c>
      <c r="G532">
        <v>57.95</v>
      </c>
      <c r="H532">
        <v>8055.05</v>
      </c>
    </row>
    <row r="533" spans="1:8" x14ac:dyDescent="0.35">
      <c r="A533" t="s">
        <v>6</v>
      </c>
      <c r="B533" t="s">
        <v>12</v>
      </c>
      <c r="C533" t="s">
        <v>11</v>
      </c>
      <c r="D533">
        <v>262</v>
      </c>
      <c r="E533">
        <v>24</v>
      </c>
      <c r="F533">
        <v>9.16</v>
      </c>
      <c r="G533">
        <v>47.8</v>
      </c>
      <c r="H533">
        <v>12523.6</v>
      </c>
    </row>
    <row r="534" spans="1:8" x14ac:dyDescent="0.35">
      <c r="A534" t="s">
        <v>6</v>
      </c>
      <c r="B534" t="s">
        <v>12</v>
      </c>
      <c r="C534" t="s">
        <v>9</v>
      </c>
      <c r="D534">
        <v>53</v>
      </c>
      <c r="E534">
        <v>1</v>
      </c>
      <c r="F534">
        <v>1.89</v>
      </c>
      <c r="G534">
        <v>63.71</v>
      </c>
      <c r="H534">
        <v>3376.63</v>
      </c>
    </row>
    <row r="535" spans="1:8" x14ac:dyDescent="0.35">
      <c r="A535" t="s">
        <v>6</v>
      </c>
      <c r="B535" t="s">
        <v>12</v>
      </c>
      <c r="C535" t="s">
        <v>9</v>
      </c>
      <c r="D535">
        <v>122</v>
      </c>
      <c r="E535">
        <v>12</v>
      </c>
      <c r="F535">
        <v>9.84</v>
      </c>
      <c r="G535">
        <v>47.96</v>
      </c>
      <c r="H535">
        <v>5851.12</v>
      </c>
    </row>
    <row r="536" spans="1:8" x14ac:dyDescent="0.35">
      <c r="A536" t="s">
        <v>6</v>
      </c>
      <c r="B536" t="s">
        <v>12</v>
      </c>
      <c r="C536" t="s">
        <v>9</v>
      </c>
      <c r="D536">
        <v>161</v>
      </c>
      <c r="E536">
        <v>7</v>
      </c>
      <c r="F536">
        <v>4.3499999999999996</v>
      </c>
      <c r="G536">
        <v>54.7</v>
      </c>
      <c r="H536">
        <v>8806.7000000000007</v>
      </c>
    </row>
    <row r="537" spans="1:8" x14ac:dyDescent="0.35">
      <c r="A537" t="s">
        <v>6</v>
      </c>
      <c r="B537" t="s">
        <v>12</v>
      </c>
      <c r="C537" t="s">
        <v>11</v>
      </c>
      <c r="D537">
        <v>226</v>
      </c>
      <c r="E537">
        <v>17</v>
      </c>
      <c r="F537">
        <v>7.52</v>
      </c>
      <c r="G537">
        <v>37.21</v>
      </c>
      <c r="H537">
        <v>8409.4599999999991</v>
      </c>
    </row>
    <row r="538" spans="1:8" x14ac:dyDescent="0.35">
      <c r="A538" t="s">
        <v>5</v>
      </c>
      <c r="B538" t="s">
        <v>12</v>
      </c>
      <c r="C538" t="s">
        <v>9</v>
      </c>
      <c r="D538">
        <v>149</v>
      </c>
      <c r="E538">
        <v>2</v>
      </c>
      <c r="F538">
        <v>1.34</v>
      </c>
      <c r="G538">
        <v>39.880000000000003</v>
      </c>
      <c r="H538">
        <v>5942.12</v>
      </c>
    </row>
    <row r="539" spans="1:8" x14ac:dyDescent="0.35">
      <c r="A539" t="s">
        <v>6</v>
      </c>
      <c r="B539" t="s">
        <v>12</v>
      </c>
      <c r="C539" t="s">
        <v>9</v>
      </c>
      <c r="D539">
        <v>233</v>
      </c>
      <c r="E539">
        <v>19</v>
      </c>
      <c r="F539">
        <v>8.15</v>
      </c>
      <c r="G539">
        <v>5.48</v>
      </c>
      <c r="H539">
        <v>1276.8399999999999</v>
      </c>
    </row>
    <row r="540" spans="1:8" x14ac:dyDescent="0.35">
      <c r="A540" t="s">
        <v>5</v>
      </c>
      <c r="B540" t="s">
        <v>12</v>
      </c>
      <c r="C540" t="s">
        <v>9</v>
      </c>
      <c r="D540">
        <v>249</v>
      </c>
      <c r="E540">
        <v>7</v>
      </c>
      <c r="F540">
        <v>2.81</v>
      </c>
      <c r="G540">
        <v>16.239999999999998</v>
      </c>
      <c r="H540">
        <v>4043.76</v>
      </c>
    </row>
    <row r="541" spans="1:8" x14ac:dyDescent="0.35">
      <c r="A541" t="s">
        <v>7</v>
      </c>
      <c r="B541" t="s">
        <v>12</v>
      </c>
      <c r="C541" t="s">
        <v>10</v>
      </c>
      <c r="D541">
        <v>296</v>
      </c>
      <c r="E541">
        <v>21</v>
      </c>
      <c r="F541">
        <v>7.09</v>
      </c>
      <c r="G541">
        <v>28.04</v>
      </c>
      <c r="H541">
        <v>8299.84</v>
      </c>
    </row>
    <row r="542" spans="1:8" x14ac:dyDescent="0.35">
      <c r="A542" t="s">
        <v>7</v>
      </c>
      <c r="B542" t="s">
        <v>12</v>
      </c>
      <c r="C542" t="s">
        <v>10</v>
      </c>
      <c r="D542">
        <v>161</v>
      </c>
      <c r="E542">
        <v>1</v>
      </c>
      <c r="F542">
        <v>0.62</v>
      </c>
      <c r="G542">
        <v>36.08</v>
      </c>
      <c r="H542">
        <v>5808.88</v>
      </c>
    </row>
    <row r="543" spans="1:8" x14ac:dyDescent="0.35">
      <c r="A543" t="s">
        <v>7</v>
      </c>
      <c r="B543" t="s">
        <v>12</v>
      </c>
      <c r="C543" t="s">
        <v>9</v>
      </c>
      <c r="D543">
        <v>91</v>
      </c>
      <c r="E543">
        <v>8</v>
      </c>
      <c r="F543">
        <v>8.7899999999999991</v>
      </c>
      <c r="G543">
        <v>22.9</v>
      </c>
      <c r="H543">
        <v>2083.9</v>
      </c>
    </row>
    <row r="544" spans="1:8" x14ac:dyDescent="0.35">
      <c r="A544" t="s">
        <v>7</v>
      </c>
      <c r="B544" t="s">
        <v>12</v>
      </c>
      <c r="C544" t="s">
        <v>10</v>
      </c>
      <c r="D544">
        <v>269</v>
      </c>
      <c r="E544">
        <v>20</v>
      </c>
      <c r="F544">
        <v>7.43</v>
      </c>
      <c r="G544">
        <v>5.66</v>
      </c>
      <c r="H544">
        <v>1522.54</v>
      </c>
    </row>
    <row r="545" spans="1:8" x14ac:dyDescent="0.35">
      <c r="A545" t="s">
        <v>6</v>
      </c>
      <c r="B545" t="s">
        <v>12</v>
      </c>
      <c r="C545" t="s">
        <v>9</v>
      </c>
      <c r="D545">
        <v>280</v>
      </c>
      <c r="E545">
        <v>22</v>
      </c>
      <c r="F545">
        <v>7.86</v>
      </c>
      <c r="G545">
        <v>57.01</v>
      </c>
      <c r="H545">
        <v>15962.8</v>
      </c>
    </row>
    <row r="546" spans="1:8" x14ac:dyDescent="0.35">
      <c r="A546" t="s">
        <v>7</v>
      </c>
      <c r="B546" t="s">
        <v>12</v>
      </c>
      <c r="C546" t="s">
        <v>10</v>
      </c>
      <c r="D546">
        <v>104</v>
      </c>
      <c r="E546">
        <v>2</v>
      </c>
      <c r="F546">
        <v>1.92</v>
      </c>
      <c r="G546">
        <v>63.08</v>
      </c>
      <c r="H546">
        <v>6560.32</v>
      </c>
    </row>
    <row r="547" spans="1:8" x14ac:dyDescent="0.35">
      <c r="A547" t="s">
        <v>5</v>
      </c>
      <c r="B547" t="s">
        <v>12</v>
      </c>
      <c r="C547" t="s">
        <v>9</v>
      </c>
      <c r="D547">
        <v>262</v>
      </c>
      <c r="E547">
        <v>13</v>
      </c>
      <c r="F547">
        <v>4.96</v>
      </c>
      <c r="G547">
        <v>68.239999999999995</v>
      </c>
      <c r="H547">
        <v>17878.88</v>
      </c>
    </row>
    <row r="548" spans="1:8" x14ac:dyDescent="0.35">
      <c r="A548" t="s">
        <v>7</v>
      </c>
      <c r="B548" t="s">
        <v>12</v>
      </c>
      <c r="C548" t="s">
        <v>10</v>
      </c>
      <c r="D548">
        <v>250</v>
      </c>
      <c r="E548">
        <v>10</v>
      </c>
      <c r="F548">
        <v>4</v>
      </c>
      <c r="G548">
        <v>53.45</v>
      </c>
      <c r="H548">
        <v>13362.5</v>
      </c>
    </row>
    <row r="549" spans="1:8" x14ac:dyDescent="0.35">
      <c r="A549" t="s">
        <v>7</v>
      </c>
      <c r="B549" t="s">
        <v>12</v>
      </c>
      <c r="C549" t="s">
        <v>10</v>
      </c>
      <c r="D549">
        <v>188</v>
      </c>
      <c r="E549">
        <v>4</v>
      </c>
      <c r="F549">
        <v>2.13</v>
      </c>
      <c r="G549">
        <v>59.82</v>
      </c>
      <c r="H549">
        <v>11246.16</v>
      </c>
    </row>
    <row r="550" spans="1:8" x14ac:dyDescent="0.35">
      <c r="A550" t="s">
        <v>6</v>
      </c>
      <c r="B550" t="s">
        <v>12</v>
      </c>
      <c r="C550" t="s">
        <v>11</v>
      </c>
      <c r="D550">
        <v>230</v>
      </c>
      <c r="E550">
        <v>15</v>
      </c>
      <c r="F550">
        <v>6.52</v>
      </c>
      <c r="G550">
        <v>43.81</v>
      </c>
      <c r="H550">
        <v>10076.299999999999</v>
      </c>
    </row>
    <row r="551" spans="1:8" x14ac:dyDescent="0.35">
      <c r="A551" t="s">
        <v>5</v>
      </c>
      <c r="B551" t="s">
        <v>12</v>
      </c>
      <c r="C551" t="s">
        <v>9</v>
      </c>
      <c r="D551">
        <v>244</v>
      </c>
      <c r="E551">
        <v>24</v>
      </c>
      <c r="F551">
        <v>9.84</v>
      </c>
      <c r="G551">
        <v>54.5</v>
      </c>
      <c r="H551">
        <v>13298</v>
      </c>
    </row>
    <row r="552" spans="1:8" x14ac:dyDescent="0.35">
      <c r="A552" t="s">
        <v>6</v>
      </c>
      <c r="B552" t="s">
        <v>12</v>
      </c>
      <c r="C552" t="s">
        <v>11</v>
      </c>
      <c r="D552">
        <v>236</v>
      </c>
      <c r="E552">
        <v>1</v>
      </c>
      <c r="F552">
        <v>0.42</v>
      </c>
      <c r="G552">
        <v>20.02</v>
      </c>
      <c r="H552">
        <v>4724.72</v>
      </c>
    </row>
    <row r="553" spans="1:8" x14ac:dyDescent="0.35">
      <c r="A553" t="s">
        <v>5</v>
      </c>
      <c r="B553" t="s">
        <v>12</v>
      </c>
      <c r="C553" t="s">
        <v>9</v>
      </c>
      <c r="D553">
        <v>189</v>
      </c>
      <c r="E553">
        <v>9</v>
      </c>
      <c r="F553">
        <v>4.76</v>
      </c>
      <c r="G553">
        <v>26.31</v>
      </c>
      <c r="H553">
        <v>4972.59</v>
      </c>
    </row>
    <row r="554" spans="1:8" x14ac:dyDescent="0.35">
      <c r="A554" t="s">
        <v>5</v>
      </c>
      <c r="B554" t="s">
        <v>12</v>
      </c>
      <c r="C554" t="s">
        <v>9</v>
      </c>
      <c r="D554">
        <v>262</v>
      </c>
      <c r="E554">
        <v>4</v>
      </c>
      <c r="F554">
        <v>1.53</v>
      </c>
      <c r="G554">
        <v>64.510000000000005</v>
      </c>
      <c r="H554">
        <v>16901.62</v>
      </c>
    </row>
    <row r="555" spans="1:8" x14ac:dyDescent="0.35">
      <c r="A555" t="s">
        <v>7</v>
      </c>
      <c r="B555" t="s">
        <v>12</v>
      </c>
      <c r="C555" t="s">
        <v>9</v>
      </c>
      <c r="D555">
        <v>250</v>
      </c>
      <c r="E555">
        <v>21</v>
      </c>
      <c r="F555">
        <v>8.4</v>
      </c>
      <c r="G555">
        <v>54.54</v>
      </c>
      <c r="H555">
        <v>13635</v>
      </c>
    </row>
    <row r="556" spans="1:8" x14ac:dyDescent="0.35">
      <c r="A556" t="s">
        <v>7</v>
      </c>
      <c r="B556" t="s">
        <v>12</v>
      </c>
      <c r="C556" t="s">
        <v>10</v>
      </c>
      <c r="D556">
        <v>70</v>
      </c>
      <c r="E556">
        <v>4</v>
      </c>
      <c r="F556">
        <v>5.71</v>
      </c>
      <c r="G556">
        <v>52.72</v>
      </c>
      <c r="H556">
        <v>3690.4</v>
      </c>
    </row>
    <row r="557" spans="1:8" x14ac:dyDescent="0.35">
      <c r="A557" t="s">
        <v>6</v>
      </c>
      <c r="B557" t="s">
        <v>12</v>
      </c>
      <c r="C557" t="s">
        <v>11</v>
      </c>
      <c r="D557">
        <v>247</v>
      </c>
      <c r="E557">
        <v>17</v>
      </c>
      <c r="F557">
        <v>6.88</v>
      </c>
      <c r="G557">
        <v>36.36</v>
      </c>
      <c r="H557">
        <v>8980.92</v>
      </c>
    </row>
    <row r="558" spans="1:8" x14ac:dyDescent="0.35">
      <c r="A558" t="s">
        <v>6</v>
      </c>
      <c r="B558" t="s">
        <v>12</v>
      </c>
      <c r="C558" t="s">
        <v>9</v>
      </c>
      <c r="D558">
        <v>198</v>
      </c>
      <c r="E558">
        <v>13</v>
      </c>
      <c r="F558">
        <v>6.57</v>
      </c>
      <c r="G558">
        <v>8.82</v>
      </c>
      <c r="H558">
        <v>1746.36</v>
      </c>
    </row>
    <row r="559" spans="1:8" x14ac:dyDescent="0.35">
      <c r="A559" t="s">
        <v>7</v>
      </c>
      <c r="B559" t="s">
        <v>12</v>
      </c>
      <c r="C559" t="s">
        <v>9</v>
      </c>
      <c r="D559">
        <v>63</v>
      </c>
      <c r="E559">
        <v>0</v>
      </c>
      <c r="F559">
        <v>0</v>
      </c>
      <c r="G559">
        <v>20.67</v>
      </c>
      <c r="H559">
        <v>1302.21</v>
      </c>
    </row>
    <row r="560" spans="1:8" x14ac:dyDescent="0.35">
      <c r="A560" t="s">
        <v>7</v>
      </c>
      <c r="B560" t="s">
        <v>12</v>
      </c>
      <c r="C560" t="s">
        <v>10</v>
      </c>
      <c r="D560">
        <v>166</v>
      </c>
      <c r="E560">
        <v>6</v>
      </c>
      <c r="F560">
        <v>3.61</v>
      </c>
      <c r="G560">
        <v>14.74</v>
      </c>
      <c r="H560">
        <v>2446.84</v>
      </c>
    </row>
    <row r="561" spans="1:8" x14ac:dyDescent="0.35">
      <c r="A561" t="s">
        <v>5</v>
      </c>
      <c r="B561" t="s">
        <v>12</v>
      </c>
      <c r="C561" t="s">
        <v>9</v>
      </c>
      <c r="D561">
        <v>175</v>
      </c>
      <c r="E561">
        <v>11</v>
      </c>
      <c r="F561">
        <v>6.29</v>
      </c>
      <c r="G561">
        <v>55.09</v>
      </c>
      <c r="H561">
        <v>9640.75</v>
      </c>
    </row>
    <row r="562" spans="1:8" x14ac:dyDescent="0.35">
      <c r="A562" t="s">
        <v>6</v>
      </c>
      <c r="B562" t="s">
        <v>12</v>
      </c>
      <c r="C562" t="s">
        <v>11</v>
      </c>
      <c r="D562">
        <v>170</v>
      </c>
      <c r="E562">
        <v>12</v>
      </c>
      <c r="F562">
        <v>7.06</v>
      </c>
      <c r="G562">
        <v>51.19</v>
      </c>
      <c r="H562">
        <v>8702.2999999999993</v>
      </c>
    </row>
    <row r="563" spans="1:8" x14ac:dyDescent="0.35">
      <c r="A563" t="s">
        <v>6</v>
      </c>
      <c r="B563" t="s">
        <v>12</v>
      </c>
      <c r="C563" t="s">
        <v>9</v>
      </c>
      <c r="D563">
        <v>211</v>
      </c>
      <c r="E563">
        <v>14</v>
      </c>
      <c r="F563">
        <v>6.64</v>
      </c>
      <c r="G563">
        <v>55.54</v>
      </c>
      <c r="H563">
        <v>11718.94</v>
      </c>
    </row>
    <row r="564" spans="1:8" x14ac:dyDescent="0.35">
      <c r="A564" t="s">
        <v>6</v>
      </c>
      <c r="B564" t="s">
        <v>12</v>
      </c>
      <c r="C564" t="s">
        <v>9</v>
      </c>
      <c r="D564">
        <v>220</v>
      </c>
      <c r="E564">
        <v>14</v>
      </c>
      <c r="F564">
        <v>6.36</v>
      </c>
      <c r="G564">
        <v>14.77</v>
      </c>
      <c r="H564">
        <v>3249.4</v>
      </c>
    </row>
    <row r="565" spans="1:8" x14ac:dyDescent="0.35">
      <c r="A565" t="s">
        <v>7</v>
      </c>
      <c r="B565" t="s">
        <v>12</v>
      </c>
      <c r="C565" t="s">
        <v>9</v>
      </c>
      <c r="D565">
        <v>193</v>
      </c>
      <c r="E565">
        <v>7</v>
      </c>
      <c r="F565">
        <v>3.63</v>
      </c>
      <c r="G565">
        <v>60.46</v>
      </c>
      <c r="H565">
        <v>11668.78</v>
      </c>
    </row>
    <row r="566" spans="1:8" x14ac:dyDescent="0.35">
      <c r="A566" t="s">
        <v>7</v>
      </c>
      <c r="B566" t="s">
        <v>12</v>
      </c>
      <c r="C566" t="s">
        <v>10</v>
      </c>
      <c r="D566">
        <v>236</v>
      </c>
      <c r="E566">
        <v>4</v>
      </c>
      <c r="F566">
        <v>1.69</v>
      </c>
      <c r="G566">
        <v>56.01</v>
      </c>
      <c r="H566">
        <v>13218.36</v>
      </c>
    </row>
    <row r="567" spans="1:8" x14ac:dyDescent="0.35">
      <c r="A567" t="s">
        <v>7</v>
      </c>
      <c r="B567" t="s">
        <v>12</v>
      </c>
      <c r="C567" t="s">
        <v>9</v>
      </c>
      <c r="D567">
        <v>78</v>
      </c>
      <c r="E567">
        <v>7</v>
      </c>
      <c r="F567">
        <v>8.9700000000000006</v>
      </c>
      <c r="G567">
        <v>52.39</v>
      </c>
      <c r="H567">
        <v>4086.42</v>
      </c>
    </row>
    <row r="568" spans="1:8" x14ac:dyDescent="0.35">
      <c r="A568" t="s">
        <v>5</v>
      </c>
      <c r="B568" t="s">
        <v>12</v>
      </c>
      <c r="C568" t="s">
        <v>9</v>
      </c>
      <c r="D568">
        <v>182</v>
      </c>
      <c r="E568">
        <v>11</v>
      </c>
      <c r="F568">
        <v>6.04</v>
      </c>
      <c r="G568">
        <v>20.92</v>
      </c>
      <c r="H568">
        <v>3807.44</v>
      </c>
    </row>
    <row r="569" spans="1:8" x14ac:dyDescent="0.35">
      <c r="A569" t="s">
        <v>6</v>
      </c>
      <c r="B569" t="s">
        <v>12</v>
      </c>
      <c r="C569" t="s">
        <v>11</v>
      </c>
      <c r="D569">
        <v>164</v>
      </c>
      <c r="E569">
        <v>11</v>
      </c>
      <c r="F569">
        <v>6.71</v>
      </c>
      <c r="G569">
        <v>23.8</v>
      </c>
      <c r="H569">
        <v>3903.2</v>
      </c>
    </row>
    <row r="570" spans="1:8" x14ac:dyDescent="0.35">
      <c r="A570" t="s">
        <v>6</v>
      </c>
      <c r="B570" t="s">
        <v>12</v>
      </c>
      <c r="C570" t="s">
        <v>9</v>
      </c>
      <c r="D570">
        <v>271</v>
      </c>
      <c r="E570">
        <v>23</v>
      </c>
      <c r="F570">
        <v>8.49</v>
      </c>
      <c r="G570">
        <v>17.79</v>
      </c>
      <c r="H570">
        <v>4821.09</v>
      </c>
    </row>
    <row r="571" spans="1:8" x14ac:dyDescent="0.35">
      <c r="A571" t="s">
        <v>5</v>
      </c>
      <c r="B571" t="s">
        <v>12</v>
      </c>
      <c r="C571" t="s">
        <v>9</v>
      </c>
      <c r="D571">
        <v>181</v>
      </c>
      <c r="E571">
        <v>7</v>
      </c>
      <c r="F571">
        <v>3.87</v>
      </c>
      <c r="G571">
        <v>50.17</v>
      </c>
      <c r="H571">
        <v>9080.77</v>
      </c>
    </row>
    <row r="572" spans="1:8" x14ac:dyDescent="0.35">
      <c r="A572" t="s">
        <v>7</v>
      </c>
      <c r="B572" t="s">
        <v>12</v>
      </c>
      <c r="C572" t="s">
        <v>10</v>
      </c>
      <c r="D572">
        <v>131</v>
      </c>
      <c r="E572">
        <v>3</v>
      </c>
      <c r="F572">
        <v>2.29</v>
      </c>
      <c r="G572">
        <v>18.72</v>
      </c>
      <c r="H572">
        <v>2452.3200000000002</v>
      </c>
    </row>
    <row r="573" spans="1:8" x14ac:dyDescent="0.35">
      <c r="A573" t="s">
        <v>5</v>
      </c>
      <c r="B573" t="s">
        <v>12</v>
      </c>
      <c r="C573" t="s">
        <v>9</v>
      </c>
      <c r="D573">
        <v>164</v>
      </c>
      <c r="E573">
        <v>11</v>
      </c>
      <c r="F573">
        <v>6.71</v>
      </c>
      <c r="G573">
        <v>36.659999999999997</v>
      </c>
      <c r="H573">
        <v>6012.24</v>
      </c>
    </row>
    <row r="574" spans="1:8" x14ac:dyDescent="0.35">
      <c r="A574" t="s">
        <v>6</v>
      </c>
      <c r="B574" t="s">
        <v>12</v>
      </c>
      <c r="C574" t="s">
        <v>9</v>
      </c>
      <c r="D574">
        <v>131</v>
      </c>
      <c r="E574">
        <v>13</v>
      </c>
      <c r="F574">
        <v>9.92</v>
      </c>
      <c r="G574">
        <v>30.02</v>
      </c>
      <c r="H574">
        <v>3932.62</v>
      </c>
    </row>
    <row r="575" spans="1:8" x14ac:dyDescent="0.35">
      <c r="A575" t="s">
        <v>6</v>
      </c>
      <c r="B575" t="s">
        <v>12</v>
      </c>
      <c r="C575" t="s">
        <v>11</v>
      </c>
      <c r="D575">
        <v>90</v>
      </c>
      <c r="E575">
        <v>2</v>
      </c>
      <c r="F575">
        <v>2.2200000000000002</v>
      </c>
      <c r="G575">
        <v>30.86</v>
      </c>
      <c r="H575">
        <v>2777.4</v>
      </c>
    </row>
    <row r="576" spans="1:8" x14ac:dyDescent="0.35">
      <c r="A576" t="s">
        <v>7</v>
      </c>
      <c r="B576" t="s">
        <v>12</v>
      </c>
      <c r="C576" t="s">
        <v>10</v>
      </c>
      <c r="D576">
        <v>71</v>
      </c>
      <c r="E576">
        <v>6</v>
      </c>
      <c r="F576">
        <v>8.4499999999999993</v>
      </c>
      <c r="G576">
        <v>9.93</v>
      </c>
      <c r="H576">
        <v>705.03</v>
      </c>
    </row>
    <row r="577" spans="1:8" x14ac:dyDescent="0.35">
      <c r="A577" t="s">
        <v>5</v>
      </c>
      <c r="B577" t="s">
        <v>12</v>
      </c>
      <c r="C577" t="s">
        <v>9</v>
      </c>
      <c r="D577">
        <v>94</v>
      </c>
      <c r="E577">
        <v>7</v>
      </c>
      <c r="F577">
        <v>7.45</v>
      </c>
      <c r="G577">
        <v>65.12</v>
      </c>
      <c r="H577">
        <v>6121.28</v>
      </c>
    </row>
    <row r="578" spans="1:8" x14ac:dyDescent="0.35">
      <c r="A578" t="s">
        <v>7</v>
      </c>
      <c r="B578" t="s">
        <v>12</v>
      </c>
      <c r="C578" t="s">
        <v>9</v>
      </c>
      <c r="D578">
        <v>157</v>
      </c>
      <c r="E578">
        <v>13</v>
      </c>
      <c r="F578">
        <v>8.2799999999999994</v>
      </c>
      <c r="G578">
        <v>5.51</v>
      </c>
      <c r="H578">
        <v>865.07</v>
      </c>
    </row>
    <row r="579" spans="1:8" x14ac:dyDescent="0.35">
      <c r="A579" t="s">
        <v>7</v>
      </c>
      <c r="B579" t="s">
        <v>12</v>
      </c>
      <c r="C579" t="s">
        <v>9</v>
      </c>
      <c r="D579">
        <v>79</v>
      </c>
      <c r="E579">
        <v>5</v>
      </c>
      <c r="F579">
        <v>6.33</v>
      </c>
      <c r="G579">
        <v>50.77</v>
      </c>
      <c r="H579">
        <v>4010.83</v>
      </c>
    </row>
    <row r="580" spans="1:8" x14ac:dyDescent="0.35">
      <c r="A580" t="s">
        <v>8</v>
      </c>
      <c r="B580" t="s">
        <v>12</v>
      </c>
      <c r="C580" t="s">
        <v>9</v>
      </c>
      <c r="D580">
        <v>141</v>
      </c>
      <c r="E580">
        <v>3</v>
      </c>
      <c r="F580">
        <v>2.13</v>
      </c>
      <c r="G580">
        <v>69.989999999999995</v>
      </c>
      <c r="H580">
        <v>9868.59</v>
      </c>
    </row>
    <row r="581" spans="1:8" x14ac:dyDescent="0.35">
      <c r="A581" t="s">
        <v>6</v>
      </c>
      <c r="B581" t="s">
        <v>12</v>
      </c>
      <c r="C581" t="s">
        <v>11</v>
      </c>
      <c r="D581">
        <v>279</v>
      </c>
      <c r="E581">
        <v>15</v>
      </c>
      <c r="F581">
        <v>5.38</v>
      </c>
      <c r="G581">
        <v>8.18</v>
      </c>
      <c r="H581">
        <v>2282.2199999999998</v>
      </c>
    </row>
    <row r="582" spans="1:8" x14ac:dyDescent="0.35">
      <c r="A582" t="s">
        <v>6</v>
      </c>
      <c r="B582" t="s">
        <v>12</v>
      </c>
      <c r="C582" t="s">
        <v>11</v>
      </c>
      <c r="D582">
        <v>157</v>
      </c>
      <c r="E582">
        <v>6</v>
      </c>
      <c r="F582">
        <v>3.82</v>
      </c>
      <c r="G582">
        <v>14.32</v>
      </c>
      <c r="H582">
        <v>2248.2399999999998</v>
      </c>
    </row>
    <row r="583" spans="1:8" x14ac:dyDescent="0.35">
      <c r="A583" t="s">
        <v>7</v>
      </c>
      <c r="B583" t="s">
        <v>12</v>
      </c>
      <c r="C583" t="s">
        <v>10</v>
      </c>
      <c r="D583">
        <v>119</v>
      </c>
      <c r="E583">
        <v>1</v>
      </c>
      <c r="F583">
        <v>0.84</v>
      </c>
      <c r="G583">
        <v>22.17</v>
      </c>
      <c r="H583">
        <v>2638.23</v>
      </c>
    </row>
    <row r="584" spans="1:8" x14ac:dyDescent="0.35">
      <c r="A584" t="s">
        <v>6</v>
      </c>
      <c r="B584" t="s">
        <v>12</v>
      </c>
      <c r="C584" t="s">
        <v>9</v>
      </c>
      <c r="D584">
        <v>232</v>
      </c>
      <c r="E584">
        <v>8</v>
      </c>
      <c r="F584">
        <v>3.45</v>
      </c>
      <c r="G584">
        <v>53.64</v>
      </c>
      <c r="H584">
        <v>12444.48</v>
      </c>
    </row>
    <row r="585" spans="1:8" x14ac:dyDescent="0.35">
      <c r="A585" t="s">
        <v>5</v>
      </c>
      <c r="B585" t="s">
        <v>12</v>
      </c>
      <c r="C585" t="s">
        <v>9</v>
      </c>
      <c r="D585">
        <v>117</v>
      </c>
      <c r="E585">
        <v>11</v>
      </c>
      <c r="F585">
        <v>9.4</v>
      </c>
      <c r="G585">
        <v>41.6</v>
      </c>
      <c r="H585">
        <v>4867.2</v>
      </c>
    </row>
    <row r="586" spans="1:8" x14ac:dyDescent="0.35">
      <c r="A586" t="s">
        <v>6</v>
      </c>
      <c r="B586" t="s">
        <v>12</v>
      </c>
      <c r="C586" t="s">
        <v>11</v>
      </c>
      <c r="D586">
        <v>139</v>
      </c>
      <c r="E586">
        <v>1</v>
      </c>
      <c r="F586">
        <v>0.72</v>
      </c>
      <c r="G586">
        <v>21.51</v>
      </c>
      <c r="H586">
        <v>2989.89</v>
      </c>
    </row>
    <row r="587" spans="1:8" x14ac:dyDescent="0.35">
      <c r="A587" t="s">
        <v>6</v>
      </c>
      <c r="B587" t="s">
        <v>12</v>
      </c>
      <c r="C587" t="s">
        <v>11</v>
      </c>
      <c r="D587">
        <v>267</v>
      </c>
      <c r="E587">
        <v>11</v>
      </c>
      <c r="F587">
        <v>4.12</v>
      </c>
      <c r="G587">
        <v>30.63</v>
      </c>
      <c r="H587">
        <v>8178.21</v>
      </c>
    </row>
    <row r="588" spans="1:8" x14ac:dyDescent="0.35">
      <c r="A588" t="s">
        <v>8</v>
      </c>
      <c r="B588" t="s">
        <v>12</v>
      </c>
      <c r="C588" t="s">
        <v>9</v>
      </c>
      <c r="D588">
        <v>198</v>
      </c>
      <c r="E588">
        <v>12</v>
      </c>
      <c r="F588">
        <v>6.06</v>
      </c>
      <c r="G588">
        <v>52.57</v>
      </c>
      <c r="H588">
        <v>10408.86</v>
      </c>
    </row>
    <row r="589" spans="1:8" x14ac:dyDescent="0.35">
      <c r="A589" t="s">
        <v>7</v>
      </c>
      <c r="B589" t="s">
        <v>12</v>
      </c>
      <c r="C589" t="s">
        <v>9</v>
      </c>
      <c r="D589">
        <v>225</v>
      </c>
      <c r="E589">
        <v>5</v>
      </c>
      <c r="F589">
        <v>2.2200000000000002</v>
      </c>
      <c r="G589">
        <v>16.96</v>
      </c>
      <c r="H589">
        <v>3816</v>
      </c>
    </row>
    <row r="590" spans="1:8" x14ac:dyDescent="0.35">
      <c r="A590" t="s">
        <v>8</v>
      </c>
      <c r="B590" t="s">
        <v>12</v>
      </c>
      <c r="C590" t="s">
        <v>9</v>
      </c>
      <c r="D590">
        <v>174</v>
      </c>
      <c r="E590">
        <v>17</v>
      </c>
      <c r="F590">
        <v>9.77</v>
      </c>
      <c r="G590">
        <v>44.39</v>
      </c>
      <c r="H590">
        <v>7723.86</v>
      </c>
    </row>
    <row r="591" spans="1:8" x14ac:dyDescent="0.35">
      <c r="A591" t="s">
        <v>7</v>
      </c>
      <c r="B591" t="s">
        <v>12</v>
      </c>
      <c r="C591" t="s">
        <v>9</v>
      </c>
      <c r="D591">
        <v>300</v>
      </c>
      <c r="E591">
        <v>30</v>
      </c>
      <c r="F591">
        <v>10</v>
      </c>
      <c r="G591">
        <v>11.17</v>
      </c>
      <c r="H591">
        <v>3351</v>
      </c>
    </row>
    <row r="592" spans="1:8" x14ac:dyDescent="0.35">
      <c r="A592" t="s">
        <v>7</v>
      </c>
      <c r="B592" t="s">
        <v>12</v>
      </c>
      <c r="C592" t="s">
        <v>9</v>
      </c>
      <c r="D592">
        <v>156</v>
      </c>
      <c r="E592">
        <v>8</v>
      </c>
      <c r="F592">
        <v>5.13</v>
      </c>
      <c r="G592">
        <v>58.69</v>
      </c>
      <c r="H592">
        <v>9155.64</v>
      </c>
    </row>
    <row r="593" spans="1:8" x14ac:dyDescent="0.35">
      <c r="A593" t="s">
        <v>6</v>
      </c>
      <c r="B593" t="s">
        <v>12</v>
      </c>
      <c r="C593" t="s">
        <v>11</v>
      </c>
      <c r="D593">
        <v>126</v>
      </c>
      <c r="E593">
        <v>10</v>
      </c>
      <c r="F593">
        <v>7.94</v>
      </c>
      <c r="G593">
        <v>5.88</v>
      </c>
      <c r="H593">
        <v>740.88</v>
      </c>
    </row>
    <row r="594" spans="1:8" x14ac:dyDescent="0.35">
      <c r="A594" t="s">
        <v>6</v>
      </c>
      <c r="B594" t="s">
        <v>12</v>
      </c>
      <c r="C594" t="s">
        <v>11</v>
      </c>
      <c r="D594">
        <v>174</v>
      </c>
      <c r="E594">
        <v>6</v>
      </c>
      <c r="F594">
        <v>3.45</v>
      </c>
      <c r="G594">
        <v>25.68</v>
      </c>
      <c r="H594">
        <v>4468.32</v>
      </c>
    </row>
    <row r="595" spans="1:8" x14ac:dyDescent="0.35">
      <c r="A595" t="s">
        <v>7</v>
      </c>
      <c r="B595" t="s">
        <v>12</v>
      </c>
      <c r="C595" t="s">
        <v>10</v>
      </c>
      <c r="D595">
        <v>108</v>
      </c>
      <c r="E595">
        <v>1</v>
      </c>
      <c r="F595">
        <v>0.93</v>
      </c>
      <c r="G595">
        <v>58.62</v>
      </c>
      <c r="H595">
        <v>6330.96</v>
      </c>
    </row>
    <row r="596" spans="1:8" x14ac:dyDescent="0.35">
      <c r="A596" t="s">
        <v>6</v>
      </c>
      <c r="B596" t="s">
        <v>12</v>
      </c>
      <c r="C596" t="s">
        <v>9</v>
      </c>
      <c r="D596">
        <v>67</v>
      </c>
      <c r="E596">
        <v>2</v>
      </c>
      <c r="F596">
        <v>2.99</v>
      </c>
      <c r="G596">
        <v>50.65</v>
      </c>
      <c r="H596">
        <v>3393.55</v>
      </c>
    </row>
    <row r="597" spans="1:8" x14ac:dyDescent="0.35">
      <c r="A597" t="s">
        <v>8</v>
      </c>
      <c r="B597" t="s">
        <v>12</v>
      </c>
      <c r="C597" t="s">
        <v>9</v>
      </c>
      <c r="D597">
        <v>170</v>
      </c>
      <c r="E597">
        <v>13</v>
      </c>
      <c r="F597">
        <v>7.65</v>
      </c>
      <c r="G597">
        <v>15.04</v>
      </c>
      <c r="H597">
        <v>2556.8000000000002</v>
      </c>
    </row>
    <row r="598" spans="1:8" x14ac:dyDescent="0.35">
      <c r="A598" t="s">
        <v>7</v>
      </c>
      <c r="B598" t="s">
        <v>12</v>
      </c>
      <c r="C598" t="s">
        <v>9</v>
      </c>
      <c r="D598">
        <v>280</v>
      </c>
      <c r="E598">
        <v>16</v>
      </c>
      <c r="F598">
        <v>5.71</v>
      </c>
      <c r="G598">
        <v>16.55</v>
      </c>
      <c r="H598">
        <v>4634</v>
      </c>
    </row>
    <row r="599" spans="1:8" x14ac:dyDescent="0.35">
      <c r="A599" t="s">
        <v>8</v>
      </c>
      <c r="B599" t="s">
        <v>12</v>
      </c>
      <c r="C599" t="s">
        <v>9</v>
      </c>
      <c r="D599">
        <v>113</v>
      </c>
      <c r="E599">
        <v>5</v>
      </c>
      <c r="F599">
        <v>4.42</v>
      </c>
      <c r="G599">
        <v>12.95</v>
      </c>
      <c r="H599">
        <v>1463.35</v>
      </c>
    </row>
    <row r="600" spans="1:8" x14ac:dyDescent="0.35">
      <c r="A600" t="s">
        <v>7</v>
      </c>
      <c r="B600" t="s">
        <v>12</v>
      </c>
      <c r="C600" t="s">
        <v>9</v>
      </c>
      <c r="D600">
        <v>296</v>
      </c>
      <c r="E600">
        <v>28</v>
      </c>
      <c r="F600">
        <v>9.4600000000000009</v>
      </c>
      <c r="G600">
        <v>52.8</v>
      </c>
      <c r="H600">
        <v>15628.8</v>
      </c>
    </row>
    <row r="601" spans="1:8" x14ac:dyDescent="0.35">
      <c r="A601" t="s">
        <v>7</v>
      </c>
      <c r="B601" t="s">
        <v>12</v>
      </c>
      <c r="C601" t="s">
        <v>9</v>
      </c>
      <c r="D601">
        <v>109</v>
      </c>
      <c r="E601">
        <v>10</v>
      </c>
      <c r="F601">
        <v>9.17</v>
      </c>
      <c r="G601">
        <v>32.15</v>
      </c>
      <c r="H601">
        <v>3504.35</v>
      </c>
    </row>
    <row r="602" spans="1:8" x14ac:dyDescent="0.35">
      <c r="A602" t="s">
        <v>8</v>
      </c>
      <c r="B602" t="s">
        <v>12</v>
      </c>
      <c r="C602" t="s">
        <v>9</v>
      </c>
      <c r="D602">
        <v>69</v>
      </c>
      <c r="E602">
        <v>4</v>
      </c>
      <c r="F602">
        <v>5.8</v>
      </c>
      <c r="G602">
        <v>20.27</v>
      </c>
      <c r="H602">
        <v>1398.63</v>
      </c>
    </row>
    <row r="603" spans="1:8" x14ac:dyDescent="0.35">
      <c r="A603" t="s">
        <v>7</v>
      </c>
      <c r="B603" t="s">
        <v>12</v>
      </c>
      <c r="C603" t="s">
        <v>9</v>
      </c>
      <c r="D603">
        <v>259</v>
      </c>
      <c r="E603">
        <v>7</v>
      </c>
      <c r="F603">
        <v>2.7</v>
      </c>
      <c r="G603">
        <v>47.27</v>
      </c>
      <c r="H603">
        <v>12242.93</v>
      </c>
    </row>
    <row r="604" spans="1:8" x14ac:dyDescent="0.35">
      <c r="A604" t="s">
        <v>8</v>
      </c>
      <c r="B604" t="s">
        <v>12</v>
      </c>
      <c r="C604" t="s">
        <v>9</v>
      </c>
      <c r="D604">
        <v>142</v>
      </c>
      <c r="E604">
        <v>13</v>
      </c>
      <c r="F604">
        <v>9.15</v>
      </c>
      <c r="G604">
        <v>15.57</v>
      </c>
      <c r="H604">
        <v>2210.94</v>
      </c>
    </row>
    <row r="605" spans="1:8" x14ac:dyDescent="0.35">
      <c r="A605" t="s">
        <v>6</v>
      </c>
      <c r="B605" t="s">
        <v>12</v>
      </c>
      <c r="C605" t="s">
        <v>9</v>
      </c>
      <c r="D605">
        <v>143</v>
      </c>
      <c r="E605">
        <v>6</v>
      </c>
      <c r="F605">
        <v>4.2</v>
      </c>
      <c r="G605">
        <v>53.05</v>
      </c>
      <c r="H605">
        <v>7586.15</v>
      </c>
    </row>
    <row r="606" spans="1:8" x14ac:dyDescent="0.35">
      <c r="A606" t="s">
        <v>7</v>
      </c>
      <c r="B606" t="s">
        <v>12</v>
      </c>
      <c r="C606" t="s">
        <v>9</v>
      </c>
      <c r="D606">
        <v>246</v>
      </c>
      <c r="E606">
        <v>10</v>
      </c>
      <c r="F606">
        <v>4.07</v>
      </c>
      <c r="G606">
        <v>30</v>
      </c>
      <c r="H606">
        <v>7380</v>
      </c>
    </row>
    <row r="607" spans="1:8" x14ac:dyDescent="0.35">
      <c r="A607" t="s">
        <v>6</v>
      </c>
      <c r="B607" t="s">
        <v>12</v>
      </c>
      <c r="C607" t="s">
        <v>9</v>
      </c>
      <c r="D607">
        <v>280</v>
      </c>
      <c r="E607">
        <v>7</v>
      </c>
      <c r="F607">
        <v>2.5</v>
      </c>
      <c r="G607">
        <v>26.36</v>
      </c>
      <c r="H607">
        <v>7380.8</v>
      </c>
    </row>
    <row r="608" spans="1:8" x14ac:dyDescent="0.35">
      <c r="A608" t="s">
        <v>8</v>
      </c>
      <c r="B608" t="s">
        <v>12</v>
      </c>
      <c r="C608" t="s">
        <v>9</v>
      </c>
      <c r="D608">
        <v>148</v>
      </c>
      <c r="E608">
        <v>1</v>
      </c>
      <c r="F608">
        <v>0.68</v>
      </c>
      <c r="G608">
        <v>50.46</v>
      </c>
      <c r="H608">
        <v>7468.08</v>
      </c>
    </row>
    <row r="609" spans="1:8" x14ac:dyDescent="0.35">
      <c r="A609" t="s">
        <v>6</v>
      </c>
      <c r="B609" t="s">
        <v>12</v>
      </c>
      <c r="C609" t="s">
        <v>11</v>
      </c>
      <c r="D609">
        <v>133</v>
      </c>
      <c r="E609">
        <v>1</v>
      </c>
      <c r="F609">
        <v>0.75</v>
      </c>
      <c r="G609">
        <v>43.04</v>
      </c>
      <c r="H609">
        <v>5724.32</v>
      </c>
    </row>
    <row r="610" spans="1:8" x14ac:dyDescent="0.35">
      <c r="A610" t="s">
        <v>6</v>
      </c>
      <c r="B610" t="s">
        <v>12</v>
      </c>
      <c r="C610" t="s">
        <v>11</v>
      </c>
      <c r="D610">
        <v>201</v>
      </c>
      <c r="E610">
        <v>13</v>
      </c>
      <c r="F610">
        <v>6.47</v>
      </c>
      <c r="G610">
        <v>45.73</v>
      </c>
      <c r="H610">
        <v>9191.73</v>
      </c>
    </row>
    <row r="611" spans="1:8" x14ac:dyDescent="0.35">
      <c r="A611" t="s">
        <v>8</v>
      </c>
      <c r="B611" t="s">
        <v>12</v>
      </c>
      <c r="C611" t="s">
        <v>9</v>
      </c>
      <c r="D611">
        <v>200</v>
      </c>
      <c r="E611">
        <v>16</v>
      </c>
      <c r="F611">
        <v>8</v>
      </c>
      <c r="G611">
        <v>11.44</v>
      </c>
      <c r="H611">
        <v>2288</v>
      </c>
    </row>
    <row r="612" spans="1:8" x14ac:dyDescent="0.35">
      <c r="A612" t="s">
        <v>6</v>
      </c>
      <c r="B612" t="s">
        <v>12</v>
      </c>
      <c r="C612" t="s">
        <v>9</v>
      </c>
      <c r="D612">
        <v>285</v>
      </c>
      <c r="E612">
        <v>22</v>
      </c>
      <c r="F612">
        <v>7.72</v>
      </c>
      <c r="G612">
        <v>58.44</v>
      </c>
      <c r="H612">
        <v>16655.400000000001</v>
      </c>
    </row>
    <row r="613" spans="1:8" x14ac:dyDescent="0.35">
      <c r="A613" t="s">
        <v>7</v>
      </c>
      <c r="B613" t="s">
        <v>12</v>
      </c>
      <c r="C613" t="s">
        <v>9</v>
      </c>
      <c r="D613">
        <v>300</v>
      </c>
      <c r="E613">
        <v>19</v>
      </c>
      <c r="F613">
        <v>6.33</v>
      </c>
      <c r="G613">
        <v>56.3</v>
      </c>
      <c r="H613">
        <v>16890</v>
      </c>
    </row>
    <row r="614" spans="1:8" x14ac:dyDescent="0.35">
      <c r="A614" t="s">
        <v>7</v>
      </c>
      <c r="B614" t="s">
        <v>12</v>
      </c>
      <c r="C614" t="s">
        <v>9</v>
      </c>
      <c r="D614">
        <v>241</v>
      </c>
      <c r="E614">
        <v>22</v>
      </c>
      <c r="F614">
        <v>9.1300000000000008</v>
      </c>
      <c r="G614">
        <v>31.09</v>
      </c>
      <c r="H614">
        <v>7492.69</v>
      </c>
    </row>
    <row r="615" spans="1:8" x14ac:dyDescent="0.35">
      <c r="A615" t="s">
        <v>5</v>
      </c>
      <c r="B615" t="s">
        <v>12</v>
      </c>
      <c r="C615" t="s">
        <v>9</v>
      </c>
      <c r="D615">
        <v>130</v>
      </c>
      <c r="E615">
        <v>7</v>
      </c>
      <c r="F615">
        <v>5.38</v>
      </c>
      <c r="G615">
        <v>49.43</v>
      </c>
      <c r="H615">
        <v>6425.9</v>
      </c>
    </row>
    <row r="616" spans="1:8" x14ac:dyDescent="0.35">
      <c r="A616" t="s">
        <v>7</v>
      </c>
      <c r="B616" t="s">
        <v>12</v>
      </c>
      <c r="C616" t="s">
        <v>9</v>
      </c>
      <c r="D616">
        <v>244</v>
      </c>
      <c r="E616">
        <v>4</v>
      </c>
      <c r="F616">
        <v>1.64</v>
      </c>
      <c r="G616">
        <v>22.34</v>
      </c>
      <c r="H616">
        <v>5450.96</v>
      </c>
    </row>
    <row r="617" spans="1:8" x14ac:dyDescent="0.35">
      <c r="A617" t="s">
        <v>5</v>
      </c>
      <c r="B617" t="s">
        <v>12</v>
      </c>
      <c r="C617" t="s">
        <v>9</v>
      </c>
      <c r="D617">
        <v>129</v>
      </c>
      <c r="E617">
        <v>0</v>
      </c>
      <c r="F617">
        <v>0</v>
      </c>
      <c r="G617">
        <v>30.98</v>
      </c>
      <c r="H617">
        <v>3996.42</v>
      </c>
    </row>
    <row r="618" spans="1:8" x14ac:dyDescent="0.35">
      <c r="A618" t="s">
        <v>5</v>
      </c>
      <c r="B618" t="s">
        <v>12</v>
      </c>
      <c r="C618" t="s">
        <v>9</v>
      </c>
      <c r="D618">
        <v>136</v>
      </c>
      <c r="E618">
        <v>2</v>
      </c>
      <c r="F618">
        <v>1.47</v>
      </c>
      <c r="G618">
        <v>16.59</v>
      </c>
      <c r="H618">
        <v>2256.2399999999998</v>
      </c>
    </row>
    <row r="619" spans="1:8" x14ac:dyDescent="0.35">
      <c r="A619" t="s">
        <v>8</v>
      </c>
      <c r="B619" t="s">
        <v>12</v>
      </c>
      <c r="C619" t="s">
        <v>9</v>
      </c>
      <c r="D619">
        <v>210</v>
      </c>
      <c r="E619">
        <v>1</v>
      </c>
      <c r="F619">
        <v>0.48</v>
      </c>
      <c r="G619">
        <v>17.18</v>
      </c>
      <c r="H619">
        <v>3607.8</v>
      </c>
    </row>
    <row r="620" spans="1:8" x14ac:dyDescent="0.35">
      <c r="A620" t="s">
        <v>6</v>
      </c>
      <c r="B620" t="s">
        <v>12</v>
      </c>
      <c r="C620" t="s">
        <v>11</v>
      </c>
      <c r="D620">
        <v>63</v>
      </c>
      <c r="E620">
        <v>4</v>
      </c>
      <c r="F620">
        <v>6.35</v>
      </c>
      <c r="G620">
        <v>5.7</v>
      </c>
      <c r="H620">
        <v>359.1</v>
      </c>
    </row>
    <row r="621" spans="1:8" x14ac:dyDescent="0.35">
      <c r="A621" t="s">
        <v>7</v>
      </c>
      <c r="B621" t="s">
        <v>12</v>
      </c>
      <c r="C621" t="s">
        <v>10</v>
      </c>
      <c r="D621">
        <v>194</v>
      </c>
      <c r="E621">
        <v>14</v>
      </c>
      <c r="F621">
        <v>7.22</v>
      </c>
      <c r="G621">
        <v>26.75</v>
      </c>
      <c r="H621">
        <v>5189.5</v>
      </c>
    </row>
    <row r="622" spans="1:8" x14ac:dyDescent="0.35">
      <c r="A622" t="s">
        <v>7</v>
      </c>
      <c r="B622" t="s">
        <v>12</v>
      </c>
      <c r="C622" t="s">
        <v>9</v>
      </c>
      <c r="D622">
        <v>76</v>
      </c>
      <c r="E622">
        <v>2</v>
      </c>
      <c r="F622">
        <v>2.63</v>
      </c>
      <c r="G622">
        <v>49.96</v>
      </c>
      <c r="H622">
        <v>3796.96</v>
      </c>
    </row>
    <row r="623" spans="1:8" x14ac:dyDescent="0.35">
      <c r="A623" t="s">
        <v>8</v>
      </c>
      <c r="B623" t="s">
        <v>12</v>
      </c>
      <c r="C623" t="s">
        <v>9</v>
      </c>
      <c r="D623">
        <v>198</v>
      </c>
      <c r="E623">
        <v>3</v>
      </c>
      <c r="F623">
        <v>1.52</v>
      </c>
      <c r="G623">
        <v>54.89</v>
      </c>
      <c r="H623">
        <v>10868.22</v>
      </c>
    </row>
    <row r="624" spans="1:8" x14ac:dyDescent="0.35">
      <c r="A624" t="s">
        <v>5</v>
      </c>
      <c r="B624" t="s">
        <v>12</v>
      </c>
      <c r="C624" t="s">
        <v>9</v>
      </c>
      <c r="D624">
        <v>262</v>
      </c>
      <c r="E624">
        <v>11</v>
      </c>
      <c r="F624">
        <v>4.2</v>
      </c>
      <c r="G624">
        <v>25.9</v>
      </c>
      <c r="H624">
        <v>6785.8</v>
      </c>
    </row>
    <row r="625" spans="1:8" x14ac:dyDescent="0.35">
      <c r="A625" t="s">
        <v>8</v>
      </c>
      <c r="B625" t="s">
        <v>12</v>
      </c>
      <c r="C625" t="s">
        <v>9</v>
      </c>
      <c r="D625">
        <v>62</v>
      </c>
      <c r="E625">
        <v>0</v>
      </c>
      <c r="F625">
        <v>0</v>
      </c>
      <c r="G625">
        <v>10.16</v>
      </c>
      <c r="H625">
        <v>629.91999999999996</v>
      </c>
    </row>
    <row r="626" spans="1:8" x14ac:dyDescent="0.35">
      <c r="A626" t="s">
        <v>7</v>
      </c>
      <c r="B626" t="s">
        <v>12</v>
      </c>
      <c r="C626" t="s">
        <v>9</v>
      </c>
      <c r="D626">
        <v>91</v>
      </c>
      <c r="E626">
        <v>0</v>
      </c>
      <c r="F626">
        <v>0</v>
      </c>
      <c r="G626">
        <v>68.67</v>
      </c>
      <c r="H626">
        <v>6248.97</v>
      </c>
    </row>
    <row r="627" spans="1:8" x14ac:dyDescent="0.35">
      <c r="A627" t="s">
        <v>7</v>
      </c>
      <c r="B627" t="s">
        <v>12</v>
      </c>
      <c r="C627" t="s">
        <v>10</v>
      </c>
      <c r="D627">
        <v>178</v>
      </c>
      <c r="E627">
        <v>6</v>
      </c>
      <c r="F627">
        <v>3.37</v>
      </c>
      <c r="G627">
        <v>49.66</v>
      </c>
      <c r="H627">
        <v>8839.48</v>
      </c>
    </row>
    <row r="628" spans="1:8" x14ac:dyDescent="0.35">
      <c r="A628" t="s">
        <v>6</v>
      </c>
      <c r="B628" t="s">
        <v>12</v>
      </c>
      <c r="C628" t="s">
        <v>9</v>
      </c>
      <c r="D628">
        <v>228</v>
      </c>
      <c r="E628">
        <v>12</v>
      </c>
      <c r="F628">
        <v>5.26</v>
      </c>
      <c r="G628">
        <v>7.06</v>
      </c>
      <c r="H628">
        <v>1609.68</v>
      </c>
    </row>
    <row r="629" spans="1:8" x14ac:dyDescent="0.35">
      <c r="A629" t="s">
        <v>5</v>
      </c>
      <c r="B629" t="s">
        <v>12</v>
      </c>
      <c r="C629" t="s">
        <v>9</v>
      </c>
      <c r="D629">
        <v>248</v>
      </c>
      <c r="E629">
        <v>13</v>
      </c>
      <c r="F629">
        <v>5.24</v>
      </c>
      <c r="G629">
        <v>37.14</v>
      </c>
      <c r="H629">
        <v>9210.7199999999993</v>
      </c>
    </row>
    <row r="630" spans="1:8" x14ac:dyDescent="0.35">
      <c r="A630" t="s">
        <v>7</v>
      </c>
      <c r="B630" t="s">
        <v>12</v>
      </c>
      <c r="C630" t="s">
        <v>10</v>
      </c>
      <c r="D630">
        <v>119</v>
      </c>
      <c r="E630">
        <v>11</v>
      </c>
      <c r="F630">
        <v>9.24</v>
      </c>
      <c r="G630">
        <v>23.6</v>
      </c>
      <c r="H630">
        <v>2808.4</v>
      </c>
    </row>
    <row r="631" spans="1:8" x14ac:dyDescent="0.35">
      <c r="A631" t="s">
        <v>7</v>
      </c>
      <c r="B631" t="s">
        <v>12</v>
      </c>
      <c r="C631" t="s">
        <v>10</v>
      </c>
      <c r="D631">
        <v>142</v>
      </c>
      <c r="E631">
        <v>2</v>
      </c>
      <c r="F631">
        <v>1.41</v>
      </c>
      <c r="G631">
        <v>45.35</v>
      </c>
      <c r="H631">
        <v>6439.7</v>
      </c>
    </row>
    <row r="632" spans="1:8" x14ac:dyDescent="0.35">
      <c r="A632" t="s">
        <v>7</v>
      </c>
      <c r="B632" t="s">
        <v>12</v>
      </c>
      <c r="C632" t="s">
        <v>9</v>
      </c>
      <c r="D632">
        <v>82</v>
      </c>
      <c r="E632">
        <v>0</v>
      </c>
      <c r="F632">
        <v>0</v>
      </c>
      <c r="G632">
        <v>61.46</v>
      </c>
      <c r="H632">
        <v>5039.72</v>
      </c>
    </row>
    <row r="633" spans="1:8" x14ac:dyDescent="0.35">
      <c r="A633" t="s">
        <v>7</v>
      </c>
      <c r="B633" t="s">
        <v>12</v>
      </c>
      <c r="C633" t="s">
        <v>9</v>
      </c>
      <c r="D633">
        <v>88</v>
      </c>
      <c r="E633">
        <v>4</v>
      </c>
      <c r="F633">
        <v>4.55</v>
      </c>
      <c r="G633">
        <v>33.58</v>
      </c>
      <c r="H633">
        <v>2955.04</v>
      </c>
    </row>
    <row r="634" spans="1:8" x14ac:dyDescent="0.35">
      <c r="A634" t="s">
        <v>8</v>
      </c>
      <c r="B634" t="s">
        <v>12</v>
      </c>
      <c r="C634" t="s">
        <v>9</v>
      </c>
      <c r="D634">
        <v>178</v>
      </c>
      <c r="E634">
        <v>13</v>
      </c>
      <c r="F634">
        <v>7.3</v>
      </c>
      <c r="G634">
        <v>40.82</v>
      </c>
      <c r="H634">
        <v>7265.96</v>
      </c>
    </row>
    <row r="635" spans="1:8" x14ac:dyDescent="0.35">
      <c r="A635" t="s">
        <v>7</v>
      </c>
      <c r="B635" t="s">
        <v>12</v>
      </c>
      <c r="C635" t="s">
        <v>10</v>
      </c>
      <c r="D635">
        <v>53</v>
      </c>
      <c r="E635">
        <v>4</v>
      </c>
      <c r="F635">
        <v>7.55</v>
      </c>
      <c r="G635">
        <v>57.99</v>
      </c>
      <c r="H635">
        <v>3073.47</v>
      </c>
    </row>
    <row r="636" spans="1:8" x14ac:dyDescent="0.35">
      <c r="A636" t="s">
        <v>7</v>
      </c>
      <c r="B636" t="s">
        <v>12</v>
      </c>
      <c r="C636" t="s">
        <v>9</v>
      </c>
      <c r="D636">
        <v>215</v>
      </c>
      <c r="E636">
        <v>19</v>
      </c>
      <c r="F636">
        <v>8.84</v>
      </c>
      <c r="G636">
        <v>30.78</v>
      </c>
      <c r="H636">
        <v>6617.7</v>
      </c>
    </row>
    <row r="637" spans="1:8" x14ac:dyDescent="0.35">
      <c r="A637" t="s">
        <v>6</v>
      </c>
      <c r="B637" t="s">
        <v>12</v>
      </c>
      <c r="C637" t="s">
        <v>9</v>
      </c>
      <c r="D637">
        <v>210</v>
      </c>
      <c r="E637">
        <v>1</v>
      </c>
      <c r="F637">
        <v>0.48</v>
      </c>
      <c r="G637">
        <v>50.64</v>
      </c>
      <c r="H637">
        <v>10634.4</v>
      </c>
    </row>
    <row r="638" spans="1:8" x14ac:dyDescent="0.35">
      <c r="A638" t="s">
        <v>6</v>
      </c>
      <c r="B638" t="s">
        <v>12</v>
      </c>
      <c r="C638" t="s">
        <v>9</v>
      </c>
      <c r="D638">
        <v>118</v>
      </c>
      <c r="E638">
        <v>11</v>
      </c>
      <c r="F638">
        <v>9.32</v>
      </c>
      <c r="G638">
        <v>60.64</v>
      </c>
      <c r="H638">
        <v>7155.52</v>
      </c>
    </row>
    <row r="639" spans="1:8" x14ac:dyDescent="0.35">
      <c r="A639" t="s">
        <v>7</v>
      </c>
      <c r="B639" t="s">
        <v>12</v>
      </c>
      <c r="C639" t="s">
        <v>10</v>
      </c>
      <c r="D639">
        <v>82</v>
      </c>
      <c r="E639">
        <v>0</v>
      </c>
      <c r="F639">
        <v>0</v>
      </c>
      <c r="G639">
        <v>20.05</v>
      </c>
      <c r="H639">
        <v>1644.1</v>
      </c>
    </row>
    <row r="640" spans="1:8" x14ac:dyDescent="0.35">
      <c r="A640" t="s">
        <v>8</v>
      </c>
      <c r="B640" t="s">
        <v>12</v>
      </c>
      <c r="C640" t="s">
        <v>9</v>
      </c>
      <c r="D640">
        <v>185</v>
      </c>
      <c r="E640">
        <v>16</v>
      </c>
      <c r="F640">
        <v>8.65</v>
      </c>
      <c r="G640">
        <v>56.95</v>
      </c>
      <c r="H640">
        <v>10535.75</v>
      </c>
    </row>
    <row r="641" spans="1:8" x14ac:dyDescent="0.35">
      <c r="A641" t="s">
        <v>8</v>
      </c>
      <c r="B641" t="s">
        <v>12</v>
      </c>
      <c r="C641" t="s">
        <v>9</v>
      </c>
      <c r="D641">
        <v>131</v>
      </c>
      <c r="E641">
        <v>7</v>
      </c>
      <c r="F641">
        <v>5.34</v>
      </c>
      <c r="G641">
        <v>19.45</v>
      </c>
      <c r="H641">
        <v>2547.9499999999998</v>
      </c>
    </row>
    <row r="642" spans="1:8" x14ac:dyDescent="0.35">
      <c r="A642" t="s">
        <v>8</v>
      </c>
      <c r="B642" t="s">
        <v>12</v>
      </c>
      <c r="C642" t="s">
        <v>9</v>
      </c>
      <c r="D642">
        <v>112</v>
      </c>
      <c r="E642">
        <v>5</v>
      </c>
      <c r="F642">
        <v>4.46</v>
      </c>
      <c r="G642">
        <v>68.099999999999994</v>
      </c>
      <c r="H642">
        <v>7627.2</v>
      </c>
    </row>
    <row r="643" spans="1:8" x14ac:dyDescent="0.35">
      <c r="A643" t="s">
        <v>7</v>
      </c>
      <c r="B643" t="s">
        <v>12</v>
      </c>
      <c r="C643" t="s">
        <v>9</v>
      </c>
      <c r="D643">
        <v>284</v>
      </c>
      <c r="E643">
        <v>19</v>
      </c>
      <c r="F643">
        <v>6.69</v>
      </c>
      <c r="G643">
        <v>54.21</v>
      </c>
      <c r="H643">
        <v>15395.64</v>
      </c>
    </row>
    <row r="644" spans="1:8" x14ac:dyDescent="0.35">
      <c r="A644" t="s">
        <v>5</v>
      </c>
      <c r="B644" t="s">
        <v>12</v>
      </c>
      <c r="C644" t="s">
        <v>9</v>
      </c>
      <c r="D644">
        <v>232</v>
      </c>
      <c r="E644">
        <v>8</v>
      </c>
      <c r="F644">
        <v>3.45</v>
      </c>
      <c r="G644">
        <v>32.26</v>
      </c>
      <c r="H644">
        <v>7484.32</v>
      </c>
    </row>
    <row r="645" spans="1:8" x14ac:dyDescent="0.35">
      <c r="A645" t="s">
        <v>6</v>
      </c>
      <c r="B645" t="s">
        <v>12</v>
      </c>
      <c r="C645" t="s">
        <v>11</v>
      </c>
      <c r="D645">
        <v>141</v>
      </c>
      <c r="E645">
        <v>12</v>
      </c>
      <c r="F645">
        <v>8.51</v>
      </c>
      <c r="G645">
        <v>20.13</v>
      </c>
      <c r="H645">
        <v>2838.33</v>
      </c>
    </row>
    <row r="646" spans="1:8" x14ac:dyDescent="0.35">
      <c r="A646" t="s">
        <v>8</v>
      </c>
      <c r="B646" t="s">
        <v>12</v>
      </c>
      <c r="C646" t="s">
        <v>9</v>
      </c>
      <c r="D646">
        <v>219</v>
      </c>
      <c r="E646">
        <v>17</v>
      </c>
      <c r="F646">
        <v>7.76</v>
      </c>
      <c r="G646">
        <v>39.200000000000003</v>
      </c>
      <c r="H646">
        <v>8584.7999999999993</v>
      </c>
    </row>
    <row r="647" spans="1:8" x14ac:dyDescent="0.35">
      <c r="A647" t="s">
        <v>7</v>
      </c>
      <c r="B647" t="s">
        <v>12</v>
      </c>
      <c r="C647" t="s">
        <v>9</v>
      </c>
      <c r="D647">
        <v>123</v>
      </c>
      <c r="E647">
        <v>3</v>
      </c>
      <c r="F647">
        <v>2.44</v>
      </c>
      <c r="G647">
        <v>13.48</v>
      </c>
      <c r="H647">
        <v>1658.04</v>
      </c>
    </row>
    <row r="648" spans="1:8" x14ac:dyDescent="0.35">
      <c r="A648" t="s">
        <v>7</v>
      </c>
      <c r="B648" t="s">
        <v>12</v>
      </c>
      <c r="C648" t="s">
        <v>9</v>
      </c>
      <c r="D648">
        <v>248</v>
      </c>
      <c r="E648">
        <v>10</v>
      </c>
      <c r="F648">
        <v>4.03</v>
      </c>
      <c r="G648">
        <v>13.85</v>
      </c>
      <c r="H648">
        <v>3434.8</v>
      </c>
    </row>
    <row r="649" spans="1:8" x14ac:dyDescent="0.35">
      <c r="A649" t="s">
        <v>7</v>
      </c>
      <c r="B649" t="s">
        <v>12</v>
      </c>
      <c r="C649" t="s">
        <v>9</v>
      </c>
      <c r="D649">
        <v>224</v>
      </c>
      <c r="E649">
        <v>4</v>
      </c>
      <c r="F649">
        <v>1.79</v>
      </c>
      <c r="G649">
        <v>18.82</v>
      </c>
      <c r="H649">
        <v>4215.68</v>
      </c>
    </row>
    <row r="650" spans="1:8" x14ac:dyDescent="0.35">
      <c r="A650" t="s">
        <v>7</v>
      </c>
      <c r="B650" t="s">
        <v>12</v>
      </c>
      <c r="C650" t="s">
        <v>9</v>
      </c>
      <c r="D650">
        <v>248</v>
      </c>
      <c r="E650">
        <v>6</v>
      </c>
      <c r="F650">
        <v>2.42</v>
      </c>
      <c r="G650">
        <v>10.19</v>
      </c>
      <c r="H650">
        <v>2527.12</v>
      </c>
    </row>
    <row r="651" spans="1:8" x14ac:dyDescent="0.35">
      <c r="A651" t="s">
        <v>6</v>
      </c>
      <c r="B651" t="s">
        <v>12</v>
      </c>
      <c r="C651" t="s">
        <v>9</v>
      </c>
      <c r="D651">
        <v>94</v>
      </c>
      <c r="E651">
        <v>7</v>
      </c>
      <c r="F651">
        <v>7.45</v>
      </c>
      <c r="G651">
        <v>59.33</v>
      </c>
      <c r="H651">
        <v>5577.02</v>
      </c>
    </row>
    <row r="652" spans="1:8" x14ac:dyDescent="0.35">
      <c r="A652" t="s">
        <v>6</v>
      </c>
      <c r="B652" t="s">
        <v>12</v>
      </c>
      <c r="C652" t="s">
        <v>11</v>
      </c>
      <c r="D652">
        <v>76</v>
      </c>
      <c r="E652">
        <v>3</v>
      </c>
      <c r="F652">
        <v>3.95</v>
      </c>
      <c r="G652">
        <v>51.37</v>
      </c>
      <c r="H652">
        <v>3904.12</v>
      </c>
    </row>
    <row r="653" spans="1:8" x14ac:dyDescent="0.35">
      <c r="A653" t="s">
        <v>6</v>
      </c>
      <c r="B653" t="s">
        <v>12</v>
      </c>
      <c r="C653" t="s">
        <v>11</v>
      </c>
      <c r="D653">
        <v>116</v>
      </c>
      <c r="E653">
        <v>7</v>
      </c>
      <c r="F653">
        <v>6.03</v>
      </c>
      <c r="G653">
        <v>36.92</v>
      </c>
      <c r="H653">
        <v>4282.72</v>
      </c>
    </row>
    <row r="654" spans="1:8" x14ac:dyDescent="0.35">
      <c r="A654" t="s">
        <v>6</v>
      </c>
      <c r="B654" t="s">
        <v>12</v>
      </c>
      <c r="C654" t="s">
        <v>11</v>
      </c>
      <c r="D654">
        <v>212</v>
      </c>
      <c r="E654">
        <v>5</v>
      </c>
      <c r="F654">
        <v>2.36</v>
      </c>
      <c r="G654">
        <v>49.34</v>
      </c>
      <c r="H654">
        <v>10460.08</v>
      </c>
    </row>
    <row r="655" spans="1:8" x14ac:dyDescent="0.35">
      <c r="A655" t="s">
        <v>6</v>
      </c>
      <c r="B655" t="s">
        <v>12</v>
      </c>
      <c r="C655" t="s">
        <v>11</v>
      </c>
      <c r="D655">
        <v>164</v>
      </c>
      <c r="E655">
        <v>16</v>
      </c>
      <c r="F655">
        <v>9.76</v>
      </c>
      <c r="G655">
        <v>19.68</v>
      </c>
      <c r="H655">
        <v>3227.52</v>
      </c>
    </row>
    <row r="656" spans="1:8" x14ac:dyDescent="0.35">
      <c r="A656" t="s">
        <v>5</v>
      </c>
      <c r="B656" t="s">
        <v>12</v>
      </c>
      <c r="C656" t="s">
        <v>9</v>
      </c>
      <c r="D656">
        <v>184</v>
      </c>
      <c r="E656">
        <v>7</v>
      </c>
      <c r="F656">
        <v>3.8</v>
      </c>
      <c r="G656">
        <v>52.5</v>
      </c>
      <c r="H656">
        <v>9660</v>
      </c>
    </row>
    <row r="657" spans="1:8" x14ac:dyDescent="0.35">
      <c r="A657" t="s">
        <v>7</v>
      </c>
      <c r="B657" t="s">
        <v>12</v>
      </c>
      <c r="C657" t="s">
        <v>10</v>
      </c>
      <c r="D657">
        <v>89</v>
      </c>
      <c r="E657">
        <v>0</v>
      </c>
      <c r="F657">
        <v>0</v>
      </c>
      <c r="G657">
        <v>57.8</v>
      </c>
      <c r="H657">
        <v>5144.2</v>
      </c>
    </row>
    <row r="658" spans="1:8" x14ac:dyDescent="0.35">
      <c r="A658" t="s">
        <v>6</v>
      </c>
      <c r="B658" t="s">
        <v>12</v>
      </c>
      <c r="C658" t="s">
        <v>9</v>
      </c>
      <c r="D658">
        <v>168</v>
      </c>
      <c r="E658">
        <v>1</v>
      </c>
      <c r="F658">
        <v>0.6</v>
      </c>
      <c r="G658">
        <v>56.7</v>
      </c>
      <c r="H658">
        <v>9525.6</v>
      </c>
    </row>
    <row r="659" spans="1:8" x14ac:dyDescent="0.35">
      <c r="A659" t="s">
        <v>5</v>
      </c>
      <c r="B659" t="s">
        <v>12</v>
      </c>
      <c r="C659" t="s">
        <v>9</v>
      </c>
      <c r="D659">
        <v>61</v>
      </c>
      <c r="E659">
        <v>1</v>
      </c>
      <c r="F659">
        <v>1.64</v>
      </c>
      <c r="G659">
        <v>18.829999999999998</v>
      </c>
      <c r="H659">
        <v>1148.6300000000001</v>
      </c>
    </row>
    <row r="660" spans="1:8" x14ac:dyDescent="0.35">
      <c r="A660" t="s">
        <v>6</v>
      </c>
      <c r="B660" t="s">
        <v>12</v>
      </c>
      <c r="C660" t="s">
        <v>11</v>
      </c>
      <c r="D660">
        <v>280</v>
      </c>
      <c r="E660">
        <v>1</v>
      </c>
      <c r="F660">
        <v>0.36</v>
      </c>
      <c r="G660">
        <v>57.26</v>
      </c>
      <c r="H660">
        <v>16032.8</v>
      </c>
    </row>
    <row r="661" spans="1:8" x14ac:dyDescent="0.35">
      <c r="A661" t="s">
        <v>8</v>
      </c>
      <c r="B661" t="s">
        <v>12</v>
      </c>
      <c r="C661" t="s">
        <v>9</v>
      </c>
      <c r="D661">
        <v>103</v>
      </c>
      <c r="E661">
        <v>2</v>
      </c>
      <c r="F661">
        <v>1.94</v>
      </c>
      <c r="G661">
        <v>30.13</v>
      </c>
      <c r="H661">
        <v>3103.39</v>
      </c>
    </row>
    <row r="662" spans="1:8" x14ac:dyDescent="0.35">
      <c r="A662" t="s">
        <v>6</v>
      </c>
      <c r="B662" t="s">
        <v>12</v>
      </c>
      <c r="C662" t="s">
        <v>9</v>
      </c>
      <c r="D662">
        <v>207</v>
      </c>
      <c r="E662">
        <v>18</v>
      </c>
      <c r="F662">
        <v>8.6999999999999993</v>
      </c>
      <c r="G662">
        <v>36.61</v>
      </c>
      <c r="H662">
        <v>7578.27</v>
      </c>
    </row>
    <row r="663" spans="1:8" x14ac:dyDescent="0.35">
      <c r="A663" t="s">
        <v>7</v>
      </c>
      <c r="B663" t="s">
        <v>12</v>
      </c>
      <c r="C663" t="s">
        <v>10</v>
      </c>
      <c r="D663">
        <v>144</v>
      </c>
      <c r="E663">
        <v>3</v>
      </c>
      <c r="F663">
        <v>2.08</v>
      </c>
      <c r="G663">
        <v>45.6</v>
      </c>
      <c r="H663">
        <v>6566.4</v>
      </c>
    </row>
    <row r="664" spans="1:8" x14ac:dyDescent="0.35">
      <c r="A664" t="s">
        <v>7</v>
      </c>
      <c r="B664" t="s">
        <v>12</v>
      </c>
      <c r="C664" t="s">
        <v>10</v>
      </c>
      <c r="D664">
        <v>65</v>
      </c>
      <c r="E664">
        <v>4</v>
      </c>
      <c r="F664">
        <v>6.15</v>
      </c>
      <c r="G664">
        <v>53.97</v>
      </c>
      <c r="H664">
        <v>3508.05</v>
      </c>
    </row>
    <row r="665" spans="1:8" x14ac:dyDescent="0.35">
      <c r="A665" t="s">
        <v>6</v>
      </c>
      <c r="B665" t="s">
        <v>12</v>
      </c>
      <c r="C665" t="s">
        <v>9</v>
      </c>
      <c r="D665">
        <v>72</v>
      </c>
      <c r="E665">
        <v>4</v>
      </c>
      <c r="F665">
        <v>5.56</v>
      </c>
      <c r="G665">
        <v>34.799999999999997</v>
      </c>
      <c r="H665">
        <v>2505.6</v>
      </c>
    </row>
    <row r="666" spans="1:8" x14ac:dyDescent="0.35">
      <c r="A666" t="s">
        <v>8</v>
      </c>
      <c r="B666" t="s">
        <v>12</v>
      </c>
      <c r="C666" t="s">
        <v>9</v>
      </c>
      <c r="D666">
        <v>90</v>
      </c>
      <c r="E666">
        <v>3</v>
      </c>
      <c r="F666">
        <v>3.33</v>
      </c>
      <c r="G666">
        <v>14.8</v>
      </c>
      <c r="H666">
        <v>1332</v>
      </c>
    </row>
    <row r="667" spans="1:8" x14ac:dyDescent="0.35">
      <c r="A667" t="s">
        <v>8</v>
      </c>
      <c r="B667" t="s">
        <v>12</v>
      </c>
      <c r="C667" t="s">
        <v>9</v>
      </c>
      <c r="D667">
        <v>72</v>
      </c>
      <c r="E667">
        <v>7</v>
      </c>
      <c r="F667">
        <v>9.7200000000000006</v>
      </c>
      <c r="G667">
        <v>47.18</v>
      </c>
      <c r="H667">
        <v>3396.96</v>
      </c>
    </row>
    <row r="668" spans="1:8" x14ac:dyDescent="0.35">
      <c r="A668" t="s">
        <v>8</v>
      </c>
      <c r="B668" t="s">
        <v>12</v>
      </c>
      <c r="C668" t="s">
        <v>9</v>
      </c>
      <c r="D668">
        <v>242</v>
      </c>
      <c r="E668">
        <v>6</v>
      </c>
      <c r="F668">
        <v>2.48</v>
      </c>
      <c r="G668">
        <v>37.659999999999997</v>
      </c>
      <c r="H668">
        <v>9113.7199999999993</v>
      </c>
    </row>
    <row r="669" spans="1:8" x14ac:dyDescent="0.35">
      <c r="A669" t="s">
        <v>7</v>
      </c>
      <c r="B669" t="s">
        <v>12</v>
      </c>
      <c r="C669" t="s">
        <v>9</v>
      </c>
      <c r="D669">
        <v>66</v>
      </c>
      <c r="E669">
        <v>0</v>
      </c>
      <c r="F669">
        <v>0</v>
      </c>
      <c r="G669">
        <v>67.319999999999993</v>
      </c>
      <c r="H669">
        <v>4443.12</v>
      </c>
    </row>
    <row r="670" spans="1:8" x14ac:dyDescent="0.35">
      <c r="A670" t="s">
        <v>8</v>
      </c>
      <c r="B670" t="s">
        <v>12</v>
      </c>
      <c r="C670" t="s">
        <v>9</v>
      </c>
      <c r="D670">
        <v>243</v>
      </c>
      <c r="E670">
        <v>11</v>
      </c>
      <c r="F670">
        <v>4.53</v>
      </c>
      <c r="G670">
        <v>11.09</v>
      </c>
      <c r="H670">
        <v>2694.87</v>
      </c>
    </row>
    <row r="671" spans="1:8" x14ac:dyDescent="0.35">
      <c r="A671" t="s">
        <v>7</v>
      </c>
      <c r="B671" t="s">
        <v>12</v>
      </c>
      <c r="C671" t="s">
        <v>10</v>
      </c>
      <c r="D671">
        <v>93</v>
      </c>
      <c r="E671">
        <v>2</v>
      </c>
      <c r="F671">
        <v>2.15</v>
      </c>
      <c r="G671">
        <v>23.27</v>
      </c>
      <c r="H671">
        <v>2164.11</v>
      </c>
    </row>
    <row r="672" spans="1:8" x14ac:dyDescent="0.35">
      <c r="A672" t="s">
        <v>7</v>
      </c>
      <c r="B672" t="s">
        <v>12</v>
      </c>
      <c r="C672" t="s">
        <v>9</v>
      </c>
      <c r="D672">
        <v>209</v>
      </c>
      <c r="E672">
        <v>12</v>
      </c>
      <c r="F672">
        <v>5.74</v>
      </c>
      <c r="G672">
        <v>41.56</v>
      </c>
      <c r="H672">
        <v>8686.0400000000009</v>
      </c>
    </row>
    <row r="673" spans="1:8" x14ac:dyDescent="0.35">
      <c r="A673" t="s">
        <v>5</v>
      </c>
      <c r="B673" t="s">
        <v>12</v>
      </c>
      <c r="C673" t="s">
        <v>9</v>
      </c>
      <c r="D673">
        <v>269</v>
      </c>
      <c r="E673">
        <v>11</v>
      </c>
      <c r="F673">
        <v>4.09</v>
      </c>
      <c r="G673">
        <v>24.71</v>
      </c>
      <c r="H673">
        <v>6646.99</v>
      </c>
    </row>
    <row r="674" spans="1:8" x14ac:dyDescent="0.35">
      <c r="A674" t="s">
        <v>7</v>
      </c>
      <c r="B674" t="s">
        <v>12</v>
      </c>
      <c r="C674" t="s">
        <v>9</v>
      </c>
      <c r="D674">
        <v>281</v>
      </c>
      <c r="E674">
        <v>9</v>
      </c>
      <c r="F674">
        <v>3.2</v>
      </c>
      <c r="G674">
        <v>43.82</v>
      </c>
      <c r="H674">
        <v>12313.42</v>
      </c>
    </row>
    <row r="675" spans="1:8" x14ac:dyDescent="0.35">
      <c r="A675" t="s">
        <v>6</v>
      </c>
      <c r="B675" t="s">
        <v>12</v>
      </c>
      <c r="C675" t="s">
        <v>9</v>
      </c>
      <c r="D675">
        <v>286</v>
      </c>
      <c r="E675">
        <v>10</v>
      </c>
      <c r="F675">
        <v>3.5</v>
      </c>
      <c r="G675">
        <v>46.84</v>
      </c>
      <c r="H675">
        <v>13396.24</v>
      </c>
    </row>
    <row r="676" spans="1:8" x14ac:dyDescent="0.35">
      <c r="A676" t="s">
        <v>7</v>
      </c>
      <c r="B676" t="s">
        <v>12</v>
      </c>
      <c r="C676" t="s">
        <v>10</v>
      </c>
      <c r="D676">
        <v>181</v>
      </c>
      <c r="E676">
        <v>8</v>
      </c>
      <c r="F676">
        <v>4.42</v>
      </c>
      <c r="G676">
        <v>65.760000000000005</v>
      </c>
      <c r="H676">
        <v>11902.56</v>
      </c>
    </row>
    <row r="677" spans="1:8" x14ac:dyDescent="0.35">
      <c r="A677" t="s">
        <v>7</v>
      </c>
      <c r="B677" t="s">
        <v>12</v>
      </c>
      <c r="C677" t="s">
        <v>10</v>
      </c>
      <c r="D677">
        <v>211</v>
      </c>
      <c r="E677">
        <v>13</v>
      </c>
      <c r="F677">
        <v>6.16</v>
      </c>
      <c r="G677">
        <v>18.91</v>
      </c>
      <c r="H677">
        <v>3990.01</v>
      </c>
    </row>
    <row r="678" spans="1:8" x14ac:dyDescent="0.35">
      <c r="A678" t="s">
        <v>6</v>
      </c>
      <c r="B678" t="s">
        <v>12</v>
      </c>
      <c r="C678" t="s">
        <v>9</v>
      </c>
      <c r="D678">
        <v>280</v>
      </c>
      <c r="E678">
        <v>5</v>
      </c>
      <c r="F678">
        <v>1.79</v>
      </c>
      <c r="G678">
        <v>15.03</v>
      </c>
      <c r="H678">
        <v>4208.3999999999996</v>
      </c>
    </row>
    <row r="679" spans="1:8" x14ac:dyDescent="0.35">
      <c r="A679" t="s">
        <v>6</v>
      </c>
      <c r="B679" t="s">
        <v>12</v>
      </c>
      <c r="C679" t="s">
        <v>11</v>
      </c>
      <c r="D679">
        <v>241</v>
      </c>
      <c r="E679">
        <v>3</v>
      </c>
      <c r="F679">
        <v>1.24</v>
      </c>
      <c r="G679">
        <v>12.66</v>
      </c>
      <c r="H679">
        <v>3051.06</v>
      </c>
    </row>
    <row r="680" spans="1:8" x14ac:dyDescent="0.35">
      <c r="A680" t="s">
        <v>7</v>
      </c>
      <c r="B680" t="s">
        <v>12</v>
      </c>
      <c r="C680" t="s">
        <v>10</v>
      </c>
      <c r="D680">
        <v>197</v>
      </c>
      <c r="E680">
        <v>16</v>
      </c>
      <c r="F680">
        <v>8.1199999999999992</v>
      </c>
      <c r="G680">
        <v>26.53</v>
      </c>
      <c r="H680">
        <v>5226.41</v>
      </c>
    </row>
    <row r="681" spans="1:8" x14ac:dyDescent="0.35">
      <c r="A681" t="s">
        <v>6</v>
      </c>
      <c r="B681" t="s">
        <v>12</v>
      </c>
      <c r="C681" t="s">
        <v>11</v>
      </c>
      <c r="D681">
        <v>120</v>
      </c>
      <c r="E681">
        <v>8</v>
      </c>
      <c r="F681">
        <v>6.67</v>
      </c>
      <c r="G681">
        <v>8.14</v>
      </c>
      <c r="H681">
        <v>976.8</v>
      </c>
    </row>
    <row r="682" spans="1:8" x14ac:dyDescent="0.35">
      <c r="A682" t="s">
        <v>6</v>
      </c>
      <c r="B682" t="s">
        <v>12</v>
      </c>
      <c r="C682" t="s">
        <v>9</v>
      </c>
      <c r="D682">
        <v>126</v>
      </c>
      <c r="E682">
        <v>9</v>
      </c>
      <c r="F682">
        <v>7.14</v>
      </c>
      <c r="G682">
        <v>21.85</v>
      </c>
      <c r="H682">
        <v>2753.1</v>
      </c>
    </row>
    <row r="683" spans="1:8" x14ac:dyDescent="0.35">
      <c r="A683" t="s">
        <v>5</v>
      </c>
      <c r="B683" t="s">
        <v>12</v>
      </c>
      <c r="C683" t="s">
        <v>9</v>
      </c>
      <c r="D683">
        <v>132</v>
      </c>
      <c r="E683">
        <v>12</v>
      </c>
      <c r="F683">
        <v>9.09</v>
      </c>
      <c r="G683">
        <v>63.85</v>
      </c>
      <c r="H683">
        <v>8428.2000000000007</v>
      </c>
    </row>
    <row r="684" spans="1:8" x14ac:dyDescent="0.35">
      <c r="A684" t="s">
        <v>7</v>
      </c>
      <c r="B684" t="s">
        <v>12</v>
      </c>
      <c r="C684" t="s">
        <v>9</v>
      </c>
      <c r="D684">
        <v>287</v>
      </c>
      <c r="E684">
        <v>23</v>
      </c>
      <c r="F684">
        <v>8.01</v>
      </c>
      <c r="G684">
        <v>5.01</v>
      </c>
      <c r="H684">
        <v>1437.87</v>
      </c>
    </row>
    <row r="685" spans="1:8" x14ac:dyDescent="0.35">
      <c r="A685" t="s">
        <v>8</v>
      </c>
      <c r="B685" t="s">
        <v>12</v>
      </c>
      <c r="C685" t="s">
        <v>9</v>
      </c>
      <c r="D685">
        <v>265</v>
      </c>
      <c r="E685">
        <v>5</v>
      </c>
      <c r="F685">
        <v>1.89</v>
      </c>
      <c r="G685">
        <v>46.87</v>
      </c>
      <c r="H685">
        <v>12420.55</v>
      </c>
    </row>
    <row r="686" spans="1:8" x14ac:dyDescent="0.35">
      <c r="A686" t="s">
        <v>7</v>
      </c>
      <c r="B686" t="s">
        <v>12</v>
      </c>
      <c r="C686" t="s">
        <v>9</v>
      </c>
      <c r="D686">
        <v>265</v>
      </c>
      <c r="E686">
        <v>18</v>
      </c>
      <c r="F686">
        <v>6.79</v>
      </c>
      <c r="G686">
        <v>19.39</v>
      </c>
      <c r="H686">
        <v>5138.3500000000004</v>
      </c>
    </row>
    <row r="687" spans="1:8" x14ac:dyDescent="0.35">
      <c r="A687" t="s">
        <v>8</v>
      </c>
      <c r="B687" t="s">
        <v>12</v>
      </c>
      <c r="C687" t="s">
        <v>9</v>
      </c>
      <c r="D687">
        <v>124</v>
      </c>
      <c r="E687">
        <v>2</v>
      </c>
      <c r="F687">
        <v>1.61</v>
      </c>
      <c r="G687">
        <v>25.1</v>
      </c>
      <c r="H687">
        <v>3112.4</v>
      </c>
    </row>
    <row r="688" spans="1:8" x14ac:dyDescent="0.35">
      <c r="A688" t="s">
        <v>5</v>
      </c>
      <c r="B688" t="s">
        <v>12</v>
      </c>
      <c r="C688" t="s">
        <v>9</v>
      </c>
      <c r="D688">
        <v>192</v>
      </c>
      <c r="E688">
        <v>2</v>
      </c>
      <c r="F688">
        <v>1.04</v>
      </c>
      <c r="G688">
        <v>14.21</v>
      </c>
      <c r="H688">
        <v>2728.32</v>
      </c>
    </row>
    <row r="689" spans="1:8" x14ac:dyDescent="0.35">
      <c r="A689" t="s">
        <v>5</v>
      </c>
      <c r="B689" t="s">
        <v>12</v>
      </c>
      <c r="C689" t="s">
        <v>9</v>
      </c>
      <c r="D689">
        <v>124</v>
      </c>
      <c r="E689">
        <v>2</v>
      </c>
      <c r="F689">
        <v>1.61</v>
      </c>
      <c r="G689">
        <v>58.98</v>
      </c>
      <c r="H689">
        <v>7313.52</v>
      </c>
    </row>
    <row r="690" spans="1:8" x14ac:dyDescent="0.35">
      <c r="A690" t="s">
        <v>8</v>
      </c>
      <c r="B690" t="s">
        <v>12</v>
      </c>
      <c r="C690" t="s">
        <v>9</v>
      </c>
      <c r="D690">
        <v>292</v>
      </c>
      <c r="E690">
        <v>22</v>
      </c>
      <c r="F690">
        <v>7.53</v>
      </c>
      <c r="G690">
        <v>25.94</v>
      </c>
      <c r="H690">
        <v>7574.48</v>
      </c>
    </row>
    <row r="691" spans="1:8" x14ac:dyDescent="0.35">
      <c r="A691" t="s">
        <v>6</v>
      </c>
      <c r="B691" t="s">
        <v>12</v>
      </c>
      <c r="C691" t="s">
        <v>11</v>
      </c>
      <c r="D691">
        <v>62</v>
      </c>
      <c r="E691">
        <v>5</v>
      </c>
      <c r="F691">
        <v>8.06</v>
      </c>
      <c r="G691">
        <v>42.28</v>
      </c>
      <c r="H691">
        <v>2621.36</v>
      </c>
    </row>
    <row r="692" spans="1:8" x14ac:dyDescent="0.35">
      <c r="A692" t="s">
        <v>7</v>
      </c>
      <c r="B692" t="s">
        <v>12</v>
      </c>
      <c r="C692" t="s">
        <v>10</v>
      </c>
      <c r="D692">
        <v>184</v>
      </c>
      <c r="E692">
        <v>16</v>
      </c>
      <c r="F692">
        <v>8.6999999999999993</v>
      </c>
      <c r="G692">
        <v>9.44</v>
      </c>
      <c r="H692">
        <v>1736.96</v>
      </c>
    </row>
    <row r="693" spans="1:8" x14ac:dyDescent="0.35">
      <c r="A693" t="s">
        <v>8</v>
      </c>
      <c r="B693" t="s">
        <v>12</v>
      </c>
      <c r="C693" t="s">
        <v>9</v>
      </c>
      <c r="D693">
        <v>98</v>
      </c>
      <c r="E693">
        <v>5</v>
      </c>
      <c r="F693">
        <v>5.0999999999999996</v>
      </c>
      <c r="G693">
        <v>40.020000000000003</v>
      </c>
      <c r="H693">
        <v>3921.96</v>
      </c>
    </row>
    <row r="694" spans="1:8" x14ac:dyDescent="0.35">
      <c r="A694" t="s">
        <v>6</v>
      </c>
      <c r="B694" t="s">
        <v>12</v>
      </c>
      <c r="C694" t="s">
        <v>11</v>
      </c>
      <c r="D694">
        <v>226</v>
      </c>
      <c r="E694">
        <v>15</v>
      </c>
      <c r="F694">
        <v>6.64</v>
      </c>
      <c r="G694">
        <v>38.04</v>
      </c>
      <c r="H694">
        <v>8597.0400000000009</v>
      </c>
    </row>
    <row r="695" spans="1:8" x14ac:dyDescent="0.35">
      <c r="A695" t="s">
        <v>5</v>
      </c>
      <c r="B695" t="s">
        <v>12</v>
      </c>
      <c r="C695" t="s">
        <v>9</v>
      </c>
      <c r="D695">
        <v>194</v>
      </c>
      <c r="E695">
        <v>18</v>
      </c>
      <c r="F695">
        <v>9.2799999999999994</v>
      </c>
      <c r="G695">
        <v>44.36</v>
      </c>
      <c r="H695">
        <v>8605.84</v>
      </c>
    </row>
    <row r="696" spans="1:8" x14ac:dyDescent="0.35">
      <c r="A696" t="s">
        <v>8</v>
      </c>
      <c r="B696" t="s">
        <v>12</v>
      </c>
      <c r="C696" t="s">
        <v>9</v>
      </c>
      <c r="D696">
        <v>142</v>
      </c>
      <c r="E696">
        <v>7</v>
      </c>
      <c r="F696">
        <v>4.93</v>
      </c>
      <c r="G696">
        <v>30.6</v>
      </c>
      <c r="H696">
        <v>4345.2</v>
      </c>
    </row>
    <row r="697" spans="1:8" x14ac:dyDescent="0.35">
      <c r="A697" t="s">
        <v>5</v>
      </c>
      <c r="B697" t="s">
        <v>12</v>
      </c>
      <c r="C697" t="s">
        <v>9</v>
      </c>
      <c r="D697">
        <v>233</v>
      </c>
      <c r="E697">
        <v>3</v>
      </c>
      <c r="F697">
        <v>1.29</v>
      </c>
      <c r="G697">
        <v>13.94</v>
      </c>
      <c r="H697">
        <v>3248.02</v>
      </c>
    </row>
    <row r="698" spans="1:8" x14ac:dyDescent="0.35">
      <c r="A698" t="s">
        <v>6</v>
      </c>
      <c r="B698" t="s">
        <v>12</v>
      </c>
      <c r="C698" t="s">
        <v>9</v>
      </c>
      <c r="D698">
        <v>82</v>
      </c>
      <c r="E698">
        <v>8</v>
      </c>
      <c r="F698">
        <v>9.76</v>
      </c>
      <c r="G698">
        <v>15.51</v>
      </c>
      <c r="H698">
        <v>1271.82</v>
      </c>
    </row>
    <row r="699" spans="1:8" x14ac:dyDescent="0.35">
      <c r="A699" t="s">
        <v>7</v>
      </c>
      <c r="B699" t="s">
        <v>12</v>
      </c>
      <c r="C699" t="s">
        <v>10</v>
      </c>
      <c r="D699">
        <v>237</v>
      </c>
      <c r="E699">
        <v>15</v>
      </c>
      <c r="F699">
        <v>6.33</v>
      </c>
      <c r="G699">
        <v>5.82</v>
      </c>
      <c r="H699">
        <v>1379.34</v>
      </c>
    </row>
    <row r="700" spans="1:8" x14ac:dyDescent="0.35">
      <c r="A700" t="s">
        <v>6</v>
      </c>
      <c r="B700" t="s">
        <v>12</v>
      </c>
      <c r="C700" t="s">
        <v>9</v>
      </c>
      <c r="D700">
        <v>122</v>
      </c>
      <c r="E700">
        <v>0</v>
      </c>
      <c r="F700">
        <v>0</v>
      </c>
      <c r="G700">
        <v>40.61</v>
      </c>
      <c r="H700">
        <v>4954.42</v>
      </c>
    </row>
    <row r="701" spans="1:8" x14ac:dyDescent="0.35">
      <c r="A701" t="s">
        <v>5</v>
      </c>
      <c r="B701" t="s">
        <v>12</v>
      </c>
      <c r="C701" t="s">
        <v>9</v>
      </c>
      <c r="D701">
        <v>285</v>
      </c>
      <c r="E701">
        <v>24</v>
      </c>
      <c r="F701">
        <v>8.42</v>
      </c>
      <c r="G701">
        <v>52.42</v>
      </c>
      <c r="H701">
        <v>14939.7</v>
      </c>
    </row>
    <row r="702" spans="1:8" x14ac:dyDescent="0.35">
      <c r="A702" t="s">
        <v>6</v>
      </c>
      <c r="B702" t="s">
        <v>12</v>
      </c>
      <c r="C702" t="s">
        <v>9</v>
      </c>
      <c r="D702">
        <v>84</v>
      </c>
      <c r="E702">
        <v>0</v>
      </c>
      <c r="F702">
        <v>0</v>
      </c>
      <c r="G702">
        <v>14.28</v>
      </c>
      <c r="H702">
        <v>1199.52</v>
      </c>
    </row>
    <row r="703" spans="1:8" x14ac:dyDescent="0.35">
      <c r="A703" t="s">
        <v>6</v>
      </c>
      <c r="B703" t="s">
        <v>12</v>
      </c>
      <c r="C703" t="s">
        <v>11</v>
      </c>
      <c r="D703">
        <v>78</v>
      </c>
      <c r="E703">
        <v>7</v>
      </c>
      <c r="F703">
        <v>8.9700000000000006</v>
      </c>
      <c r="G703">
        <v>7.36</v>
      </c>
      <c r="H703">
        <v>574.08000000000004</v>
      </c>
    </row>
    <row r="704" spans="1:8" x14ac:dyDescent="0.35">
      <c r="A704" t="s">
        <v>7</v>
      </c>
      <c r="B704" t="s">
        <v>12</v>
      </c>
      <c r="C704" t="s">
        <v>9</v>
      </c>
      <c r="D704">
        <v>198</v>
      </c>
      <c r="E704">
        <v>9</v>
      </c>
      <c r="F704">
        <v>4.55</v>
      </c>
      <c r="G704">
        <v>47.64</v>
      </c>
      <c r="H704">
        <v>9432.7199999999993</v>
      </c>
    </row>
    <row r="705" spans="1:8" x14ac:dyDescent="0.35">
      <c r="A705" t="s">
        <v>8</v>
      </c>
      <c r="B705" t="s">
        <v>12</v>
      </c>
      <c r="C705" t="s">
        <v>9</v>
      </c>
      <c r="D705">
        <v>209</v>
      </c>
      <c r="E705">
        <v>19</v>
      </c>
      <c r="F705">
        <v>9.09</v>
      </c>
      <c r="G705">
        <v>26.76</v>
      </c>
      <c r="H705">
        <v>5592.84</v>
      </c>
    </row>
    <row r="706" spans="1:8" x14ac:dyDescent="0.35">
      <c r="A706" t="s">
        <v>8</v>
      </c>
      <c r="B706" t="s">
        <v>12</v>
      </c>
      <c r="C706" t="s">
        <v>9</v>
      </c>
      <c r="D706">
        <v>240</v>
      </c>
      <c r="E706">
        <v>6</v>
      </c>
      <c r="F706">
        <v>2.5</v>
      </c>
      <c r="G706">
        <v>60.48</v>
      </c>
      <c r="H706">
        <v>14515.2</v>
      </c>
    </row>
    <row r="707" spans="1:8" x14ac:dyDescent="0.35">
      <c r="A707" t="s">
        <v>7</v>
      </c>
      <c r="B707" t="s">
        <v>12</v>
      </c>
      <c r="C707" t="s">
        <v>9</v>
      </c>
      <c r="D707">
        <v>209</v>
      </c>
      <c r="E707">
        <v>19</v>
      </c>
      <c r="F707">
        <v>9.09</v>
      </c>
      <c r="G707">
        <v>12</v>
      </c>
      <c r="H707">
        <v>2508</v>
      </c>
    </row>
    <row r="708" spans="1:8" x14ac:dyDescent="0.35">
      <c r="A708" t="s">
        <v>6</v>
      </c>
      <c r="B708" t="s">
        <v>12</v>
      </c>
      <c r="C708" t="s">
        <v>11</v>
      </c>
      <c r="D708">
        <v>195</v>
      </c>
      <c r="E708">
        <v>2</v>
      </c>
      <c r="F708">
        <v>1.03</v>
      </c>
      <c r="G708">
        <v>58.05</v>
      </c>
      <c r="H708">
        <v>11319.75</v>
      </c>
    </row>
    <row r="709" spans="1:8" x14ac:dyDescent="0.35">
      <c r="A709" t="s">
        <v>5</v>
      </c>
      <c r="B709" t="s">
        <v>12</v>
      </c>
      <c r="C709" t="s">
        <v>9</v>
      </c>
      <c r="D709">
        <v>221</v>
      </c>
      <c r="E709">
        <v>19</v>
      </c>
      <c r="F709">
        <v>8.6</v>
      </c>
      <c r="G709">
        <v>44.06</v>
      </c>
      <c r="H709">
        <v>9737.26</v>
      </c>
    </row>
    <row r="710" spans="1:8" x14ac:dyDescent="0.35">
      <c r="A710" t="s">
        <v>5</v>
      </c>
      <c r="B710" t="s">
        <v>12</v>
      </c>
      <c r="C710" t="s">
        <v>9</v>
      </c>
      <c r="D710">
        <v>118</v>
      </c>
      <c r="E710">
        <v>4</v>
      </c>
      <c r="F710">
        <v>3.39</v>
      </c>
      <c r="G710">
        <v>42.88</v>
      </c>
      <c r="H710">
        <v>5059.84</v>
      </c>
    </row>
    <row r="711" spans="1:8" x14ac:dyDescent="0.35">
      <c r="A711" t="s">
        <v>6</v>
      </c>
      <c r="B711" t="s">
        <v>12</v>
      </c>
      <c r="C711" t="s">
        <v>9</v>
      </c>
      <c r="D711">
        <v>296</v>
      </c>
      <c r="E711">
        <v>22</v>
      </c>
      <c r="F711">
        <v>7.43</v>
      </c>
      <c r="G711">
        <v>45.92</v>
      </c>
      <c r="H711">
        <v>13592.32</v>
      </c>
    </row>
    <row r="712" spans="1:8" x14ac:dyDescent="0.35">
      <c r="A712" t="s">
        <v>7</v>
      </c>
      <c r="B712" t="s">
        <v>12</v>
      </c>
      <c r="C712" t="s">
        <v>10</v>
      </c>
      <c r="D712">
        <v>154</v>
      </c>
      <c r="E712">
        <v>0</v>
      </c>
      <c r="F712">
        <v>0</v>
      </c>
      <c r="G712">
        <v>41.18</v>
      </c>
      <c r="H712">
        <v>6341.72</v>
      </c>
    </row>
    <row r="713" spans="1:8" x14ac:dyDescent="0.35">
      <c r="A713" t="s">
        <v>5</v>
      </c>
      <c r="B713" t="s">
        <v>12</v>
      </c>
      <c r="C713" t="s">
        <v>9</v>
      </c>
      <c r="D713">
        <v>253</v>
      </c>
      <c r="E713">
        <v>2</v>
      </c>
      <c r="F713">
        <v>0.79</v>
      </c>
      <c r="G713">
        <v>42.51</v>
      </c>
      <c r="H713">
        <v>10755.03</v>
      </c>
    </row>
    <row r="714" spans="1:8" x14ac:dyDescent="0.35">
      <c r="A714" t="s">
        <v>6</v>
      </c>
      <c r="B714" t="s">
        <v>12</v>
      </c>
      <c r="C714" t="s">
        <v>11</v>
      </c>
      <c r="D714">
        <v>130</v>
      </c>
      <c r="E714">
        <v>1</v>
      </c>
      <c r="F714">
        <v>0.77</v>
      </c>
      <c r="G714">
        <v>24.04</v>
      </c>
      <c r="H714">
        <v>3125.2</v>
      </c>
    </row>
    <row r="715" spans="1:8" x14ac:dyDescent="0.35">
      <c r="A715" t="s">
        <v>7</v>
      </c>
      <c r="B715" t="s">
        <v>12</v>
      </c>
      <c r="C715" t="s">
        <v>10</v>
      </c>
      <c r="D715">
        <v>230</v>
      </c>
      <c r="E715">
        <v>6</v>
      </c>
      <c r="F715">
        <v>2.61</v>
      </c>
      <c r="G715">
        <v>37.04</v>
      </c>
      <c r="H715">
        <v>8519.2000000000007</v>
      </c>
    </row>
    <row r="716" spans="1:8" x14ac:dyDescent="0.35">
      <c r="A716" t="s">
        <v>7</v>
      </c>
      <c r="B716" t="s">
        <v>12</v>
      </c>
      <c r="C716" t="s">
        <v>9</v>
      </c>
      <c r="D716">
        <v>269</v>
      </c>
      <c r="E716">
        <v>3</v>
      </c>
      <c r="F716">
        <v>1.1200000000000001</v>
      </c>
      <c r="G716">
        <v>56.65</v>
      </c>
      <c r="H716">
        <v>15238.85</v>
      </c>
    </row>
    <row r="717" spans="1:8" x14ac:dyDescent="0.35">
      <c r="A717" t="s">
        <v>7</v>
      </c>
      <c r="B717" t="s">
        <v>12</v>
      </c>
      <c r="C717" t="s">
        <v>9</v>
      </c>
      <c r="D717">
        <v>160</v>
      </c>
      <c r="E717">
        <v>4</v>
      </c>
      <c r="F717">
        <v>2.5</v>
      </c>
      <c r="G717">
        <v>29.21</v>
      </c>
      <c r="H717">
        <v>4673.6000000000004</v>
      </c>
    </row>
    <row r="718" spans="1:8" x14ac:dyDescent="0.35">
      <c r="A718" t="s">
        <v>8</v>
      </c>
      <c r="B718" t="s">
        <v>12</v>
      </c>
      <c r="C718" t="s">
        <v>9</v>
      </c>
      <c r="D718">
        <v>172</v>
      </c>
      <c r="E718">
        <v>16</v>
      </c>
      <c r="F718">
        <v>9.3000000000000007</v>
      </c>
      <c r="G718">
        <v>27.9</v>
      </c>
      <c r="H718">
        <v>4798.8</v>
      </c>
    </row>
    <row r="719" spans="1:8" x14ac:dyDescent="0.35">
      <c r="A719" t="s">
        <v>6</v>
      </c>
      <c r="B719" t="s">
        <v>12</v>
      </c>
      <c r="C719" t="s">
        <v>11</v>
      </c>
      <c r="D719">
        <v>171</v>
      </c>
      <c r="E719">
        <v>15</v>
      </c>
      <c r="F719">
        <v>8.77</v>
      </c>
      <c r="G719">
        <v>6.33</v>
      </c>
      <c r="H719">
        <v>1082.43</v>
      </c>
    </row>
    <row r="720" spans="1:8" x14ac:dyDescent="0.35">
      <c r="A720" t="s">
        <v>6</v>
      </c>
      <c r="B720" t="s">
        <v>12</v>
      </c>
      <c r="C720" t="s">
        <v>11</v>
      </c>
      <c r="D720">
        <v>298</v>
      </c>
      <c r="E720">
        <v>6</v>
      </c>
      <c r="F720">
        <v>2.0099999999999998</v>
      </c>
      <c r="G720">
        <v>42.59</v>
      </c>
      <c r="H720">
        <v>12691.82</v>
      </c>
    </row>
    <row r="721" spans="1:8" x14ac:dyDescent="0.35">
      <c r="A721" t="s">
        <v>6</v>
      </c>
      <c r="B721" t="s">
        <v>12</v>
      </c>
      <c r="C721" t="s">
        <v>9</v>
      </c>
      <c r="D721">
        <v>204</v>
      </c>
      <c r="E721">
        <v>1</v>
      </c>
      <c r="F721">
        <v>0.49</v>
      </c>
      <c r="G721">
        <v>20.6</v>
      </c>
      <c r="H721">
        <v>4202.3999999999996</v>
      </c>
    </row>
    <row r="722" spans="1:8" x14ac:dyDescent="0.35">
      <c r="A722" t="s">
        <v>8</v>
      </c>
      <c r="B722" t="s">
        <v>12</v>
      </c>
      <c r="C722" t="s">
        <v>9</v>
      </c>
      <c r="D722">
        <v>156</v>
      </c>
      <c r="E722">
        <v>10</v>
      </c>
      <c r="F722">
        <v>6.41</v>
      </c>
      <c r="G722">
        <v>61.43</v>
      </c>
      <c r="H722">
        <v>9583.08</v>
      </c>
    </row>
    <row r="723" spans="1:8" x14ac:dyDescent="0.35">
      <c r="A723" t="s">
        <v>6</v>
      </c>
      <c r="B723" t="s">
        <v>12</v>
      </c>
      <c r="C723" t="s">
        <v>9</v>
      </c>
      <c r="D723">
        <v>249</v>
      </c>
      <c r="E723">
        <v>18</v>
      </c>
      <c r="F723">
        <v>7.23</v>
      </c>
      <c r="G723">
        <v>62.72</v>
      </c>
      <c r="H723">
        <v>15617.28</v>
      </c>
    </row>
    <row r="724" spans="1:8" x14ac:dyDescent="0.35">
      <c r="A724" t="s">
        <v>7</v>
      </c>
      <c r="B724" t="s">
        <v>12</v>
      </c>
      <c r="C724" t="s">
        <v>10</v>
      </c>
      <c r="D724">
        <v>100</v>
      </c>
      <c r="E724">
        <v>2</v>
      </c>
      <c r="F724">
        <v>2</v>
      </c>
      <c r="G724">
        <v>64</v>
      </c>
      <c r="H724">
        <v>6400</v>
      </c>
    </row>
    <row r="725" spans="1:8" x14ac:dyDescent="0.35">
      <c r="A725" t="s">
        <v>6</v>
      </c>
      <c r="B725" t="s">
        <v>12</v>
      </c>
      <c r="C725" t="s">
        <v>11</v>
      </c>
      <c r="D725">
        <v>162</v>
      </c>
      <c r="E725">
        <v>2</v>
      </c>
      <c r="F725">
        <v>1.23</v>
      </c>
      <c r="G725">
        <v>51.92</v>
      </c>
      <c r="H725">
        <v>8411.0400000000009</v>
      </c>
    </row>
    <row r="726" spans="1:8" x14ac:dyDescent="0.35">
      <c r="A726" t="s">
        <v>7</v>
      </c>
      <c r="B726" t="s">
        <v>12</v>
      </c>
      <c r="C726" t="s">
        <v>10</v>
      </c>
      <c r="D726">
        <v>59</v>
      </c>
      <c r="E726">
        <v>3</v>
      </c>
      <c r="F726">
        <v>5.08</v>
      </c>
      <c r="G726">
        <v>28.72</v>
      </c>
      <c r="H726">
        <v>1694.48</v>
      </c>
    </row>
    <row r="727" spans="1:8" x14ac:dyDescent="0.35">
      <c r="A727" t="s">
        <v>6</v>
      </c>
      <c r="B727" t="s">
        <v>12</v>
      </c>
      <c r="C727" t="s">
        <v>11</v>
      </c>
      <c r="D727">
        <v>279</v>
      </c>
      <c r="E727">
        <v>17</v>
      </c>
      <c r="F727">
        <v>6.09</v>
      </c>
      <c r="G727">
        <v>21.4</v>
      </c>
      <c r="H727">
        <v>5970.6</v>
      </c>
    </row>
    <row r="728" spans="1:8" x14ac:dyDescent="0.35">
      <c r="A728" t="s">
        <v>6</v>
      </c>
      <c r="B728" t="s">
        <v>12</v>
      </c>
      <c r="C728" t="s">
        <v>9</v>
      </c>
      <c r="D728">
        <v>281</v>
      </c>
      <c r="E728">
        <v>5</v>
      </c>
      <c r="F728">
        <v>1.78</v>
      </c>
      <c r="G728">
        <v>10.48</v>
      </c>
      <c r="H728">
        <v>2944.88</v>
      </c>
    </row>
    <row r="729" spans="1:8" x14ac:dyDescent="0.35">
      <c r="A729" t="s">
        <v>8</v>
      </c>
      <c r="B729" t="s">
        <v>12</v>
      </c>
      <c r="C729" t="s">
        <v>9</v>
      </c>
      <c r="D729">
        <v>290</v>
      </c>
      <c r="E729">
        <v>6</v>
      </c>
      <c r="F729">
        <v>2.0699999999999998</v>
      </c>
      <c r="G729">
        <v>24.97</v>
      </c>
      <c r="H729">
        <v>7241.3</v>
      </c>
    </row>
    <row r="730" spans="1:8" x14ac:dyDescent="0.35">
      <c r="A730" t="s">
        <v>6</v>
      </c>
      <c r="B730" t="s">
        <v>12</v>
      </c>
      <c r="C730" t="s">
        <v>11</v>
      </c>
      <c r="D730">
        <v>273</v>
      </c>
      <c r="E730">
        <v>17</v>
      </c>
      <c r="F730">
        <v>6.23</v>
      </c>
      <c r="G730">
        <v>22.71</v>
      </c>
      <c r="H730">
        <v>6199.83</v>
      </c>
    </row>
    <row r="731" spans="1:8" x14ac:dyDescent="0.35">
      <c r="A731" t="s">
        <v>7</v>
      </c>
      <c r="B731" t="s">
        <v>12</v>
      </c>
      <c r="C731" t="s">
        <v>10</v>
      </c>
      <c r="D731">
        <v>212</v>
      </c>
      <c r="E731">
        <v>11</v>
      </c>
      <c r="F731">
        <v>5.19</v>
      </c>
      <c r="G731">
        <v>28.19</v>
      </c>
      <c r="H731">
        <v>5976.28</v>
      </c>
    </row>
    <row r="732" spans="1:8" x14ac:dyDescent="0.35">
      <c r="A732" t="s">
        <v>7</v>
      </c>
      <c r="B732" t="s">
        <v>12</v>
      </c>
      <c r="C732" t="s">
        <v>9</v>
      </c>
      <c r="D732">
        <v>110</v>
      </c>
      <c r="E732">
        <v>0</v>
      </c>
      <c r="F732">
        <v>0</v>
      </c>
      <c r="G732">
        <v>10.47</v>
      </c>
      <c r="H732">
        <v>1151.7</v>
      </c>
    </row>
    <row r="733" spans="1:8" x14ac:dyDescent="0.35">
      <c r="A733" t="s">
        <v>7</v>
      </c>
      <c r="B733" t="s">
        <v>12</v>
      </c>
      <c r="C733" t="s">
        <v>9</v>
      </c>
      <c r="D733">
        <v>144</v>
      </c>
      <c r="E733">
        <v>13</v>
      </c>
      <c r="F733">
        <v>9.0299999999999994</v>
      </c>
      <c r="G733">
        <v>38.96</v>
      </c>
      <c r="H733">
        <v>5610.24</v>
      </c>
    </row>
    <row r="734" spans="1:8" x14ac:dyDescent="0.35">
      <c r="A734" t="s">
        <v>6</v>
      </c>
      <c r="B734" t="s">
        <v>12</v>
      </c>
      <c r="C734" t="s">
        <v>11</v>
      </c>
      <c r="D734">
        <v>99</v>
      </c>
      <c r="E734">
        <v>0</v>
      </c>
      <c r="F734">
        <v>0</v>
      </c>
      <c r="G734">
        <v>58.27</v>
      </c>
      <c r="H734">
        <v>5768.73</v>
      </c>
    </row>
    <row r="735" spans="1:8" x14ac:dyDescent="0.35">
      <c r="A735" t="s">
        <v>8</v>
      </c>
      <c r="B735" t="s">
        <v>12</v>
      </c>
      <c r="C735" t="s">
        <v>9</v>
      </c>
      <c r="D735">
        <v>264</v>
      </c>
      <c r="E735">
        <v>11</v>
      </c>
      <c r="F735">
        <v>4.17</v>
      </c>
      <c r="G735">
        <v>68.12</v>
      </c>
      <c r="H735">
        <v>17983.68</v>
      </c>
    </row>
    <row r="736" spans="1:8" x14ac:dyDescent="0.35">
      <c r="A736" t="s">
        <v>7</v>
      </c>
      <c r="B736" t="s">
        <v>12</v>
      </c>
      <c r="C736" t="s">
        <v>10</v>
      </c>
      <c r="D736">
        <v>216</v>
      </c>
      <c r="E736">
        <v>1</v>
      </c>
      <c r="F736">
        <v>0.46</v>
      </c>
      <c r="G736">
        <v>45.48</v>
      </c>
      <c r="H736">
        <v>9823.68</v>
      </c>
    </row>
    <row r="737" spans="1:8" x14ac:dyDescent="0.35">
      <c r="A737" t="s">
        <v>6</v>
      </c>
      <c r="B737" t="s">
        <v>12</v>
      </c>
      <c r="C737" t="s">
        <v>11</v>
      </c>
      <c r="D737">
        <v>179</v>
      </c>
      <c r="E737">
        <v>7</v>
      </c>
      <c r="F737">
        <v>3.91</v>
      </c>
      <c r="G737">
        <v>52.89</v>
      </c>
      <c r="H737">
        <v>9467.31</v>
      </c>
    </row>
    <row r="738" spans="1:8" x14ac:dyDescent="0.35">
      <c r="A738" t="s">
        <v>6</v>
      </c>
      <c r="B738" t="s">
        <v>12</v>
      </c>
      <c r="C738" t="s">
        <v>11</v>
      </c>
      <c r="D738">
        <v>168</v>
      </c>
      <c r="E738">
        <v>12</v>
      </c>
      <c r="F738">
        <v>7.14</v>
      </c>
      <c r="G738">
        <v>7.01</v>
      </c>
      <c r="H738">
        <v>1177.68</v>
      </c>
    </row>
    <row r="739" spans="1:8" x14ac:dyDescent="0.35">
      <c r="A739" t="s">
        <v>5</v>
      </c>
      <c r="B739" t="s">
        <v>12</v>
      </c>
      <c r="C739" t="s">
        <v>9</v>
      </c>
      <c r="D739">
        <v>231</v>
      </c>
      <c r="E739">
        <v>20</v>
      </c>
      <c r="F739">
        <v>8.66</v>
      </c>
      <c r="G739">
        <v>65.5</v>
      </c>
      <c r="H739">
        <v>15130.5</v>
      </c>
    </row>
    <row r="740" spans="1:8" x14ac:dyDescent="0.35">
      <c r="A740" t="s">
        <v>8</v>
      </c>
      <c r="B740" t="s">
        <v>12</v>
      </c>
      <c r="C740" t="s">
        <v>9</v>
      </c>
      <c r="D740">
        <v>190</v>
      </c>
      <c r="E740">
        <v>18</v>
      </c>
      <c r="F740">
        <v>9.4700000000000006</v>
      </c>
      <c r="G740">
        <v>69.59</v>
      </c>
      <c r="H740">
        <v>13222.1</v>
      </c>
    </row>
    <row r="741" spans="1:8" x14ac:dyDescent="0.35">
      <c r="A741" t="s">
        <v>7</v>
      </c>
      <c r="B741" t="s">
        <v>12</v>
      </c>
      <c r="C741" t="s">
        <v>9</v>
      </c>
      <c r="D741">
        <v>215</v>
      </c>
      <c r="E741">
        <v>9</v>
      </c>
      <c r="F741">
        <v>4.1900000000000004</v>
      </c>
      <c r="G741">
        <v>6.1</v>
      </c>
      <c r="H741">
        <v>1311.5</v>
      </c>
    </row>
    <row r="742" spans="1:8" x14ac:dyDescent="0.35">
      <c r="A742" t="s">
        <v>6</v>
      </c>
      <c r="B742" t="s">
        <v>12</v>
      </c>
      <c r="C742" t="s">
        <v>11</v>
      </c>
      <c r="D742">
        <v>80</v>
      </c>
      <c r="E742">
        <v>6</v>
      </c>
      <c r="F742">
        <v>7.5</v>
      </c>
      <c r="G742">
        <v>14.85</v>
      </c>
      <c r="H742">
        <v>1188</v>
      </c>
    </row>
    <row r="743" spans="1:8" x14ac:dyDescent="0.35">
      <c r="A743" t="s">
        <v>6</v>
      </c>
      <c r="B743" t="s">
        <v>12</v>
      </c>
      <c r="C743" t="s">
        <v>9</v>
      </c>
      <c r="D743">
        <v>78</v>
      </c>
      <c r="E743">
        <v>4</v>
      </c>
      <c r="F743">
        <v>5.13</v>
      </c>
      <c r="G743">
        <v>43.17</v>
      </c>
      <c r="H743">
        <v>3367.26</v>
      </c>
    </row>
    <row r="744" spans="1:8" x14ac:dyDescent="0.35">
      <c r="A744" t="s">
        <v>6</v>
      </c>
      <c r="B744" t="s">
        <v>12</v>
      </c>
      <c r="C744" t="s">
        <v>11</v>
      </c>
      <c r="D744">
        <v>243</v>
      </c>
      <c r="E744">
        <v>23</v>
      </c>
      <c r="F744">
        <v>9.4700000000000006</v>
      </c>
      <c r="G744">
        <v>35</v>
      </c>
      <c r="H744">
        <v>8505</v>
      </c>
    </row>
    <row r="745" spans="1:8" x14ac:dyDescent="0.35">
      <c r="A745" t="s">
        <v>6</v>
      </c>
      <c r="B745" t="s">
        <v>12</v>
      </c>
      <c r="C745" t="s">
        <v>9</v>
      </c>
      <c r="D745">
        <v>281</v>
      </c>
      <c r="E745">
        <v>14</v>
      </c>
      <c r="F745">
        <v>4.9800000000000004</v>
      </c>
      <c r="G745">
        <v>33.200000000000003</v>
      </c>
      <c r="H745">
        <v>9329.2000000000007</v>
      </c>
    </row>
    <row r="746" spans="1:8" x14ac:dyDescent="0.35">
      <c r="A746" t="s">
        <v>6</v>
      </c>
      <c r="B746" t="s">
        <v>12</v>
      </c>
      <c r="C746" t="s">
        <v>11</v>
      </c>
      <c r="D746">
        <v>234</v>
      </c>
      <c r="E746">
        <v>14</v>
      </c>
      <c r="F746">
        <v>5.98</v>
      </c>
      <c r="G746">
        <v>45.18</v>
      </c>
      <c r="H746">
        <v>10572.12</v>
      </c>
    </row>
    <row r="747" spans="1:8" x14ac:dyDescent="0.35">
      <c r="A747" t="s">
        <v>6</v>
      </c>
      <c r="B747" t="s">
        <v>12</v>
      </c>
      <c r="C747" t="s">
        <v>11</v>
      </c>
      <c r="D747">
        <v>299</v>
      </c>
      <c r="E747">
        <v>6</v>
      </c>
      <c r="F747">
        <v>2.0099999999999998</v>
      </c>
      <c r="G747">
        <v>46.56</v>
      </c>
      <c r="H747">
        <v>13921.44</v>
      </c>
    </row>
    <row r="748" spans="1:8" x14ac:dyDescent="0.35">
      <c r="A748" t="s">
        <v>8</v>
      </c>
      <c r="B748" t="s">
        <v>12</v>
      </c>
      <c r="C748" t="s">
        <v>9</v>
      </c>
      <c r="D748">
        <v>209</v>
      </c>
      <c r="E748">
        <v>11</v>
      </c>
      <c r="F748">
        <v>5.26</v>
      </c>
      <c r="G748">
        <v>30.98</v>
      </c>
      <c r="H748">
        <v>6474.82</v>
      </c>
    </row>
    <row r="749" spans="1:8" x14ac:dyDescent="0.35">
      <c r="A749" t="s">
        <v>5</v>
      </c>
      <c r="B749" t="s">
        <v>12</v>
      </c>
      <c r="C749" t="s">
        <v>9</v>
      </c>
      <c r="D749">
        <v>214</v>
      </c>
      <c r="E749">
        <v>2</v>
      </c>
      <c r="F749">
        <v>0.93</v>
      </c>
      <c r="G749">
        <v>24.73</v>
      </c>
      <c r="H749">
        <v>5292.22</v>
      </c>
    </row>
    <row r="750" spans="1:8" x14ac:dyDescent="0.35">
      <c r="A750" t="s">
        <v>5</v>
      </c>
      <c r="B750" t="s">
        <v>12</v>
      </c>
      <c r="C750" t="s">
        <v>9</v>
      </c>
      <c r="D750">
        <v>56</v>
      </c>
      <c r="E750">
        <v>2</v>
      </c>
      <c r="F750">
        <v>3.57</v>
      </c>
      <c r="G750">
        <v>51.78</v>
      </c>
      <c r="H750">
        <v>2899.68</v>
      </c>
    </row>
    <row r="751" spans="1:8" x14ac:dyDescent="0.35">
      <c r="A751" t="s">
        <v>8</v>
      </c>
      <c r="B751" t="s">
        <v>12</v>
      </c>
      <c r="C751" t="s">
        <v>9</v>
      </c>
      <c r="D751">
        <v>264</v>
      </c>
      <c r="E751">
        <v>13</v>
      </c>
      <c r="F751">
        <v>4.92</v>
      </c>
      <c r="G751">
        <v>17.399999999999999</v>
      </c>
      <c r="H751">
        <v>4593.6000000000004</v>
      </c>
    </row>
    <row r="752" spans="1:8" x14ac:dyDescent="0.35">
      <c r="A752" t="s">
        <v>7</v>
      </c>
      <c r="B752" t="s">
        <v>12</v>
      </c>
      <c r="C752" t="s">
        <v>9</v>
      </c>
      <c r="D752">
        <v>270</v>
      </c>
      <c r="E752">
        <v>13</v>
      </c>
      <c r="F752">
        <v>4.8099999999999996</v>
      </c>
      <c r="G752">
        <v>68.489999999999995</v>
      </c>
      <c r="H752">
        <v>18492.3</v>
      </c>
    </row>
    <row r="753" spans="1:8" x14ac:dyDescent="0.35">
      <c r="A753" t="s">
        <v>6</v>
      </c>
      <c r="B753" t="s">
        <v>12</v>
      </c>
      <c r="C753" t="s">
        <v>9</v>
      </c>
      <c r="D753">
        <v>152</v>
      </c>
      <c r="E753">
        <v>1</v>
      </c>
      <c r="F753">
        <v>0.66</v>
      </c>
      <c r="G753">
        <v>33.86</v>
      </c>
      <c r="H753">
        <v>5146.72</v>
      </c>
    </row>
    <row r="754" spans="1:8" x14ac:dyDescent="0.35">
      <c r="A754" t="s">
        <v>7</v>
      </c>
      <c r="B754" t="s">
        <v>12</v>
      </c>
      <c r="C754" t="s">
        <v>10</v>
      </c>
      <c r="D754">
        <v>69</v>
      </c>
      <c r="E754">
        <v>4</v>
      </c>
      <c r="F754">
        <v>5.8</v>
      </c>
      <c r="G754">
        <v>6.67</v>
      </c>
      <c r="H754">
        <v>460.23</v>
      </c>
    </row>
    <row r="755" spans="1:8" x14ac:dyDescent="0.35">
      <c r="A755" t="s">
        <v>5</v>
      </c>
      <c r="B755" t="s">
        <v>12</v>
      </c>
      <c r="C755" t="s">
        <v>9</v>
      </c>
      <c r="D755">
        <v>128</v>
      </c>
      <c r="E755">
        <v>1</v>
      </c>
      <c r="F755">
        <v>0.78</v>
      </c>
      <c r="G755">
        <v>52.28</v>
      </c>
      <c r="H755">
        <v>6691.84</v>
      </c>
    </row>
    <row r="756" spans="1:8" x14ac:dyDescent="0.35">
      <c r="A756" t="s">
        <v>6</v>
      </c>
      <c r="B756" t="s">
        <v>12</v>
      </c>
      <c r="C756" t="s">
        <v>11</v>
      </c>
      <c r="D756">
        <v>214</v>
      </c>
      <c r="E756">
        <v>19</v>
      </c>
      <c r="F756">
        <v>8.8800000000000008</v>
      </c>
      <c r="G756">
        <v>48.85</v>
      </c>
      <c r="H756">
        <v>10453.9</v>
      </c>
    </row>
    <row r="757" spans="1:8" x14ac:dyDescent="0.35">
      <c r="A757" t="s">
        <v>7</v>
      </c>
      <c r="B757" t="s">
        <v>12</v>
      </c>
      <c r="C757" t="s">
        <v>10</v>
      </c>
      <c r="D757">
        <v>146</v>
      </c>
      <c r="E757">
        <v>12</v>
      </c>
      <c r="F757">
        <v>8.2200000000000006</v>
      </c>
      <c r="G757">
        <v>29.02</v>
      </c>
      <c r="H757">
        <v>4236.92</v>
      </c>
    </row>
    <row r="758" spans="1:8" x14ac:dyDescent="0.35">
      <c r="A758" t="s">
        <v>7</v>
      </c>
      <c r="B758" t="s">
        <v>12</v>
      </c>
      <c r="C758" t="s">
        <v>9</v>
      </c>
      <c r="D758">
        <v>65</v>
      </c>
      <c r="E758">
        <v>0</v>
      </c>
      <c r="F758">
        <v>0</v>
      </c>
      <c r="G758">
        <v>30.06</v>
      </c>
      <c r="H758">
        <v>1953.9</v>
      </c>
    </row>
    <row r="759" spans="1:8" x14ac:dyDescent="0.35">
      <c r="A759" t="s">
        <v>8</v>
      </c>
      <c r="B759" t="s">
        <v>12</v>
      </c>
      <c r="C759" t="s">
        <v>9</v>
      </c>
      <c r="D759">
        <v>200</v>
      </c>
      <c r="E759">
        <v>6</v>
      </c>
      <c r="F759">
        <v>3</v>
      </c>
      <c r="G759">
        <v>47.34</v>
      </c>
      <c r="H759">
        <v>9468</v>
      </c>
    </row>
    <row r="760" spans="1:8" x14ac:dyDescent="0.35">
      <c r="A760" t="s">
        <v>8</v>
      </c>
      <c r="B760" t="s">
        <v>12</v>
      </c>
      <c r="C760" t="s">
        <v>9</v>
      </c>
      <c r="D760">
        <v>204</v>
      </c>
      <c r="E760">
        <v>10</v>
      </c>
      <c r="F760">
        <v>4.9000000000000004</v>
      </c>
      <c r="G760">
        <v>47.4</v>
      </c>
      <c r="H760">
        <v>9669.6</v>
      </c>
    </row>
    <row r="761" spans="1:8" x14ac:dyDescent="0.35">
      <c r="A761" t="s">
        <v>5</v>
      </c>
      <c r="B761" t="s">
        <v>12</v>
      </c>
      <c r="C761" t="s">
        <v>9</v>
      </c>
      <c r="D761">
        <v>243</v>
      </c>
      <c r="E761">
        <v>5</v>
      </c>
      <c r="F761">
        <v>2.06</v>
      </c>
      <c r="G761">
        <v>18.7</v>
      </c>
      <c r="H761">
        <v>4544.1000000000004</v>
      </c>
    </row>
    <row r="762" spans="1:8" x14ac:dyDescent="0.35">
      <c r="A762" t="s">
        <v>5</v>
      </c>
      <c r="B762" t="s">
        <v>12</v>
      </c>
      <c r="C762" t="s">
        <v>9</v>
      </c>
      <c r="D762">
        <v>106</v>
      </c>
      <c r="E762">
        <v>2</v>
      </c>
      <c r="F762">
        <v>1.89</v>
      </c>
      <c r="G762">
        <v>6.84</v>
      </c>
      <c r="H762">
        <v>725.04</v>
      </c>
    </row>
    <row r="763" spans="1:8" x14ac:dyDescent="0.35">
      <c r="A763" t="s">
        <v>8</v>
      </c>
      <c r="B763" t="s">
        <v>12</v>
      </c>
      <c r="C763" t="s">
        <v>9</v>
      </c>
      <c r="D763">
        <v>274</v>
      </c>
      <c r="E763">
        <v>20</v>
      </c>
      <c r="F763">
        <v>7.3</v>
      </c>
      <c r="G763">
        <v>6.74</v>
      </c>
      <c r="H763">
        <v>1846.76</v>
      </c>
    </row>
    <row r="764" spans="1:8" x14ac:dyDescent="0.35">
      <c r="A764" t="s">
        <v>5</v>
      </c>
      <c r="B764" t="s">
        <v>12</v>
      </c>
      <c r="C764" t="s">
        <v>9</v>
      </c>
      <c r="D764">
        <v>119</v>
      </c>
      <c r="E764">
        <v>4</v>
      </c>
      <c r="F764">
        <v>3.36</v>
      </c>
      <c r="G764">
        <v>8.9</v>
      </c>
      <c r="H764">
        <v>1059.0999999999999</v>
      </c>
    </row>
    <row r="765" spans="1:8" x14ac:dyDescent="0.35">
      <c r="A765" t="s">
        <v>5</v>
      </c>
      <c r="B765" t="s">
        <v>12</v>
      </c>
      <c r="C765" t="s">
        <v>9</v>
      </c>
      <c r="D765">
        <v>142</v>
      </c>
      <c r="E765">
        <v>5</v>
      </c>
      <c r="F765">
        <v>3.52</v>
      </c>
      <c r="G765">
        <v>41.75</v>
      </c>
      <c r="H765">
        <v>5928.5</v>
      </c>
    </row>
    <row r="766" spans="1:8" x14ac:dyDescent="0.35">
      <c r="A766" t="s">
        <v>5</v>
      </c>
      <c r="B766" t="s">
        <v>12</v>
      </c>
      <c r="C766" t="s">
        <v>9</v>
      </c>
      <c r="D766">
        <v>174</v>
      </c>
      <c r="E766">
        <v>14</v>
      </c>
      <c r="F766">
        <v>8.0500000000000007</v>
      </c>
      <c r="G766">
        <v>33.29</v>
      </c>
      <c r="H766">
        <v>5792.46</v>
      </c>
    </row>
    <row r="767" spans="1:8" x14ac:dyDescent="0.35">
      <c r="A767" t="s">
        <v>6</v>
      </c>
      <c r="B767" t="s">
        <v>12</v>
      </c>
      <c r="C767" t="s">
        <v>11</v>
      </c>
      <c r="D767">
        <v>280</v>
      </c>
      <c r="E767">
        <v>5</v>
      </c>
      <c r="F767">
        <v>1.79</v>
      </c>
      <c r="G767">
        <v>49.74</v>
      </c>
      <c r="H767">
        <v>13927.2</v>
      </c>
    </row>
    <row r="768" spans="1:8" x14ac:dyDescent="0.35">
      <c r="A768" t="s">
        <v>6</v>
      </c>
      <c r="B768" t="s">
        <v>12</v>
      </c>
      <c r="C768" t="s">
        <v>11</v>
      </c>
      <c r="D768">
        <v>117</v>
      </c>
      <c r="E768">
        <v>7</v>
      </c>
      <c r="F768">
        <v>5.98</v>
      </c>
      <c r="G768">
        <v>64.14</v>
      </c>
      <c r="H768">
        <v>7504.38</v>
      </c>
    </row>
    <row r="769" spans="1:8" x14ac:dyDescent="0.35">
      <c r="A769" t="s">
        <v>8</v>
      </c>
      <c r="B769" t="s">
        <v>12</v>
      </c>
      <c r="C769" t="s">
        <v>9</v>
      </c>
      <c r="D769">
        <v>156</v>
      </c>
      <c r="E769">
        <v>9</v>
      </c>
      <c r="F769">
        <v>5.77</v>
      </c>
      <c r="G769">
        <v>15.77</v>
      </c>
      <c r="H769">
        <v>2460.12</v>
      </c>
    </row>
    <row r="770" spans="1:8" x14ac:dyDescent="0.35">
      <c r="A770" t="s">
        <v>6</v>
      </c>
      <c r="B770" t="s">
        <v>12</v>
      </c>
      <c r="C770" t="s">
        <v>11</v>
      </c>
      <c r="D770">
        <v>124</v>
      </c>
      <c r="E770">
        <v>8</v>
      </c>
      <c r="F770">
        <v>6.45</v>
      </c>
      <c r="G770">
        <v>66.69</v>
      </c>
      <c r="H770">
        <v>8269.56</v>
      </c>
    </row>
    <row r="771" spans="1:8" x14ac:dyDescent="0.35">
      <c r="A771" t="s">
        <v>5</v>
      </c>
      <c r="B771" t="s">
        <v>12</v>
      </c>
      <c r="C771" t="s">
        <v>9</v>
      </c>
      <c r="D771">
        <v>116</v>
      </c>
      <c r="E771">
        <v>0</v>
      </c>
      <c r="F771">
        <v>0</v>
      </c>
      <c r="G771">
        <v>39.65</v>
      </c>
      <c r="H771">
        <v>4599.3999999999996</v>
      </c>
    </row>
    <row r="772" spans="1:8" x14ac:dyDescent="0.35">
      <c r="A772" t="s">
        <v>7</v>
      </c>
      <c r="B772" t="s">
        <v>12</v>
      </c>
      <c r="C772" t="s">
        <v>10</v>
      </c>
      <c r="D772">
        <v>278</v>
      </c>
      <c r="E772">
        <v>20</v>
      </c>
      <c r="F772">
        <v>7.19</v>
      </c>
      <c r="G772">
        <v>32.57</v>
      </c>
      <c r="H772">
        <v>9054.4599999999991</v>
      </c>
    </row>
    <row r="773" spans="1:8" x14ac:dyDescent="0.35">
      <c r="A773" t="s">
        <v>5</v>
      </c>
      <c r="B773" t="s">
        <v>12</v>
      </c>
      <c r="C773" t="s">
        <v>9</v>
      </c>
      <c r="D773">
        <v>67</v>
      </c>
      <c r="E773">
        <v>3</v>
      </c>
      <c r="F773">
        <v>4.4800000000000004</v>
      </c>
      <c r="G773">
        <v>35.18</v>
      </c>
      <c r="H773">
        <v>2357.06</v>
      </c>
    </row>
    <row r="774" spans="1:8" x14ac:dyDescent="0.35">
      <c r="A774" t="s">
        <v>8</v>
      </c>
      <c r="B774" t="s">
        <v>12</v>
      </c>
      <c r="C774" t="s">
        <v>9</v>
      </c>
      <c r="D774">
        <v>217</v>
      </c>
      <c r="E774">
        <v>18</v>
      </c>
      <c r="F774">
        <v>8.2899999999999991</v>
      </c>
      <c r="G774">
        <v>11.39</v>
      </c>
      <c r="H774">
        <v>2471.63</v>
      </c>
    </row>
    <row r="775" spans="1:8" x14ac:dyDescent="0.35">
      <c r="A775" t="s">
        <v>7</v>
      </c>
      <c r="B775" t="s">
        <v>12</v>
      </c>
      <c r="C775" t="s">
        <v>9</v>
      </c>
      <c r="D775">
        <v>93</v>
      </c>
      <c r="E775">
        <v>9</v>
      </c>
      <c r="F775">
        <v>9.68</v>
      </c>
      <c r="G775">
        <v>22.58</v>
      </c>
      <c r="H775">
        <v>2099.94</v>
      </c>
    </row>
    <row r="776" spans="1:8" x14ac:dyDescent="0.35">
      <c r="A776" t="s">
        <v>5</v>
      </c>
      <c r="B776" t="s">
        <v>12</v>
      </c>
      <c r="C776" t="s">
        <v>9</v>
      </c>
      <c r="D776">
        <v>286</v>
      </c>
      <c r="E776">
        <v>17</v>
      </c>
      <c r="F776">
        <v>5.94</v>
      </c>
      <c r="G776">
        <v>46.81</v>
      </c>
      <c r="H776">
        <v>13387.66</v>
      </c>
    </row>
    <row r="777" spans="1:8" x14ac:dyDescent="0.35">
      <c r="A777" t="s">
        <v>6</v>
      </c>
      <c r="B777" t="s">
        <v>12</v>
      </c>
      <c r="C777" t="s">
        <v>9</v>
      </c>
      <c r="D777">
        <v>227</v>
      </c>
      <c r="E777">
        <v>19</v>
      </c>
      <c r="F777">
        <v>8.3699999999999992</v>
      </c>
      <c r="G777">
        <v>66.900000000000006</v>
      </c>
      <c r="H777">
        <v>15186.3</v>
      </c>
    </row>
    <row r="778" spans="1:8" x14ac:dyDescent="0.35">
      <c r="A778" t="s">
        <v>7</v>
      </c>
      <c r="B778" t="s">
        <v>12</v>
      </c>
      <c r="C778" t="s">
        <v>10</v>
      </c>
      <c r="D778">
        <v>235</v>
      </c>
      <c r="E778">
        <v>12</v>
      </c>
      <c r="F778">
        <v>5.1100000000000003</v>
      </c>
      <c r="G778">
        <v>29.95</v>
      </c>
      <c r="H778">
        <v>7038.25</v>
      </c>
    </row>
    <row r="779" spans="1:8" x14ac:dyDescent="0.35">
      <c r="A779" t="s">
        <v>7</v>
      </c>
      <c r="B779" t="s">
        <v>12</v>
      </c>
      <c r="C779" t="s">
        <v>9</v>
      </c>
      <c r="D779">
        <v>257</v>
      </c>
      <c r="E779">
        <v>22</v>
      </c>
      <c r="F779">
        <v>8.56</v>
      </c>
      <c r="G779">
        <v>27.6</v>
      </c>
      <c r="H779">
        <v>7093.2</v>
      </c>
    </row>
    <row r="780" spans="1:8" x14ac:dyDescent="0.35">
      <c r="A780" t="s">
        <v>6</v>
      </c>
      <c r="B780" t="s">
        <v>12</v>
      </c>
      <c r="C780" t="s">
        <v>9</v>
      </c>
      <c r="D780">
        <v>273</v>
      </c>
      <c r="E780">
        <v>10</v>
      </c>
      <c r="F780">
        <v>3.66</v>
      </c>
      <c r="G780">
        <v>38.840000000000003</v>
      </c>
      <c r="H780">
        <v>10603.32</v>
      </c>
    </row>
    <row r="781" spans="1:8" x14ac:dyDescent="0.35">
      <c r="A781" t="s">
        <v>5</v>
      </c>
      <c r="B781" t="s">
        <v>12</v>
      </c>
      <c r="C781" t="s">
        <v>9</v>
      </c>
      <c r="D781">
        <v>64</v>
      </c>
      <c r="E781">
        <v>1</v>
      </c>
      <c r="F781">
        <v>1.56</v>
      </c>
      <c r="G781">
        <v>28.74</v>
      </c>
      <c r="H781">
        <v>1839.36</v>
      </c>
    </row>
    <row r="782" spans="1:8" x14ac:dyDescent="0.35">
      <c r="A782" t="s">
        <v>7</v>
      </c>
      <c r="B782" t="s">
        <v>12</v>
      </c>
      <c r="C782" t="s">
        <v>9</v>
      </c>
      <c r="D782">
        <v>209</v>
      </c>
      <c r="E782">
        <v>4</v>
      </c>
      <c r="F782">
        <v>1.91</v>
      </c>
      <c r="G782">
        <v>37.270000000000003</v>
      </c>
      <c r="H782">
        <v>7789.43</v>
      </c>
    </row>
    <row r="783" spans="1:8" x14ac:dyDescent="0.35">
      <c r="A783" t="s">
        <v>6</v>
      </c>
      <c r="B783" t="s">
        <v>12</v>
      </c>
      <c r="C783" t="s">
        <v>11</v>
      </c>
      <c r="D783">
        <v>126</v>
      </c>
      <c r="E783">
        <v>2</v>
      </c>
      <c r="F783">
        <v>1.59</v>
      </c>
      <c r="G783">
        <v>59.2</v>
      </c>
      <c r="H783">
        <v>7459.2</v>
      </c>
    </row>
    <row r="784" spans="1:8" x14ac:dyDescent="0.35">
      <c r="A784" t="s">
        <v>7</v>
      </c>
      <c r="B784" t="s">
        <v>12</v>
      </c>
      <c r="C784" t="s">
        <v>9</v>
      </c>
      <c r="D784">
        <v>146</v>
      </c>
      <c r="E784">
        <v>11</v>
      </c>
      <c r="F784">
        <v>7.53</v>
      </c>
      <c r="G784">
        <v>53.76</v>
      </c>
      <c r="H784">
        <v>7848.96</v>
      </c>
    </row>
    <row r="785" spans="1:8" x14ac:dyDescent="0.35">
      <c r="A785" t="s">
        <v>7</v>
      </c>
      <c r="B785" t="s">
        <v>12</v>
      </c>
      <c r="C785" t="s">
        <v>9</v>
      </c>
      <c r="D785">
        <v>142</v>
      </c>
      <c r="E785">
        <v>7</v>
      </c>
      <c r="F785">
        <v>4.93</v>
      </c>
      <c r="G785">
        <v>38.58</v>
      </c>
      <c r="H785">
        <v>5478.36</v>
      </c>
    </row>
    <row r="786" spans="1:8" x14ac:dyDescent="0.35">
      <c r="A786" t="s">
        <v>6</v>
      </c>
      <c r="B786" t="s">
        <v>12</v>
      </c>
      <c r="C786" t="s">
        <v>11</v>
      </c>
      <c r="D786">
        <v>204</v>
      </c>
      <c r="E786">
        <v>17</v>
      </c>
      <c r="F786">
        <v>8.33</v>
      </c>
      <c r="G786">
        <v>53.61</v>
      </c>
      <c r="H786">
        <v>10936.44</v>
      </c>
    </row>
    <row r="787" spans="1:8" x14ac:dyDescent="0.35">
      <c r="A787" t="s">
        <v>7</v>
      </c>
      <c r="B787" t="s">
        <v>12</v>
      </c>
      <c r="C787" t="s">
        <v>9</v>
      </c>
      <c r="D787">
        <v>63</v>
      </c>
      <c r="E787">
        <v>2</v>
      </c>
      <c r="F787">
        <v>3.17</v>
      </c>
      <c r="G787">
        <v>21.83</v>
      </c>
      <c r="H787">
        <v>1375.29</v>
      </c>
    </row>
    <row r="788" spans="1:8" x14ac:dyDescent="0.35">
      <c r="A788" t="s">
        <v>7</v>
      </c>
      <c r="B788" t="s">
        <v>12</v>
      </c>
      <c r="C788" t="s">
        <v>9</v>
      </c>
      <c r="D788">
        <v>211</v>
      </c>
      <c r="E788">
        <v>9</v>
      </c>
      <c r="F788">
        <v>4.2699999999999996</v>
      </c>
      <c r="G788">
        <v>12.73</v>
      </c>
      <c r="H788">
        <v>2686.03</v>
      </c>
    </row>
    <row r="789" spans="1:8" x14ac:dyDescent="0.35">
      <c r="A789" t="s">
        <v>6</v>
      </c>
      <c r="B789" t="s">
        <v>12</v>
      </c>
      <c r="C789" t="s">
        <v>11</v>
      </c>
      <c r="D789">
        <v>139</v>
      </c>
      <c r="E789">
        <v>11</v>
      </c>
      <c r="F789">
        <v>7.91</v>
      </c>
      <c r="G789">
        <v>61.32</v>
      </c>
      <c r="H789">
        <v>8523.48</v>
      </c>
    </row>
    <row r="790" spans="1:8" x14ac:dyDescent="0.35">
      <c r="A790" t="s">
        <v>8</v>
      </c>
      <c r="B790" t="s">
        <v>12</v>
      </c>
      <c r="C790" t="s">
        <v>9</v>
      </c>
      <c r="D790">
        <v>198</v>
      </c>
      <c r="E790">
        <v>5</v>
      </c>
      <c r="F790">
        <v>2.5299999999999998</v>
      </c>
      <c r="G790">
        <v>6.69</v>
      </c>
      <c r="H790">
        <v>1324.62</v>
      </c>
    </row>
    <row r="791" spans="1:8" x14ac:dyDescent="0.35">
      <c r="A791" t="s">
        <v>6</v>
      </c>
      <c r="B791" t="s">
        <v>12</v>
      </c>
      <c r="C791" t="s">
        <v>9</v>
      </c>
      <c r="D791">
        <v>158</v>
      </c>
      <c r="E791">
        <v>15</v>
      </c>
      <c r="F791">
        <v>9.49</v>
      </c>
      <c r="G791">
        <v>18.59</v>
      </c>
      <c r="H791">
        <v>2937.22</v>
      </c>
    </row>
    <row r="792" spans="1:8" x14ac:dyDescent="0.35">
      <c r="A792" t="s">
        <v>7</v>
      </c>
      <c r="B792" t="s">
        <v>12</v>
      </c>
      <c r="C792" t="s">
        <v>10</v>
      </c>
      <c r="D792">
        <v>258</v>
      </c>
      <c r="E792">
        <v>1</v>
      </c>
      <c r="F792">
        <v>0.39</v>
      </c>
      <c r="G792">
        <v>14.89</v>
      </c>
      <c r="H792">
        <v>3841.62</v>
      </c>
    </row>
    <row r="793" spans="1:8" x14ac:dyDescent="0.35">
      <c r="A793" t="s">
        <v>6</v>
      </c>
      <c r="B793" t="s">
        <v>12</v>
      </c>
      <c r="C793" t="s">
        <v>11</v>
      </c>
      <c r="D793">
        <v>165</v>
      </c>
      <c r="E793">
        <v>15</v>
      </c>
      <c r="F793">
        <v>9.09</v>
      </c>
      <c r="G793">
        <v>43.99</v>
      </c>
      <c r="H793">
        <v>7258.35</v>
      </c>
    </row>
    <row r="794" spans="1:8" x14ac:dyDescent="0.35">
      <c r="A794" t="s">
        <v>6</v>
      </c>
      <c r="B794" t="s">
        <v>12</v>
      </c>
      <c r="C794" t="s">
        <v>11</v>
      </c>
      <c r="D794">
        <v>156</v>
      </c>
      <c r="E794">
        <v>12</v>
      </c>
      <c r="F794">
        <v>7.69</v>
      </c>
      <c r="G794">
        <v>27.16</v>
      </c>
      <c r="H794">
        <v>4236.96</v>
      </c>
    </row>
    <row r="795" spans="1:8" x14ac:dyDescent="0.35">
      <c r="A795" t="s">
        <v>6</v>
      </c>
      <c r="B795" t="s">
        <v>12</v>
      </c>
      <c r="C795" t="s">
        <v>9</v>
      </c>
      <c r="D795">
        <v>63</v>
      </c>
      <c r="E795">
        <v>6</v>
      </c>
      <c r="F795">
        <v>9.52</v>
      </c>
      <c r="G795">
        <v>41.19</v>
      </c>
      <c r="H795">
        <v>2594.9699999999998</v>
      </c>
    </row>
    <row r="796" spans="1:8" x14ac:dyDescent="0.35">
      <c r="A796" t="s">
        <v>7</v>
      </c>
      <c r="B796" t="s">
        <v>12</v>
      </c>
      <c r="C796" t="s">
        <v>9</v>
      </c>
      <c r="D796">
        <v>91</v>
      </c>
      <c r="E796">
        <v>2</v>
      </c>
      <c r="F796">
        <v>2.2000000000000002</v>
      </c>
      <c r="G796">
        <v>34.44</v>
      </c>
      <c r="H796">
        <v>3134.04</v>
      </c>
    </row>
    <row r="797" spans="1:8" x14ac:dyDescent="0.35">
      <c r="A797" t="s">
        <v>7</v>
      </c>
      <c r="B797" t="s">
        <v>12</v>
      </c>
      <c r="C797" t="s">
        <v>9</v>
      </c>
      <c r="D797">
        <v>164</v>
      </c>
      <c r="E797">
        <v>9</v>
      </c>
      <c r="F797">
        <v>5.49</v>
      </c>
      <c r="G797">
        <v>66.73</v>
      </c>
      <c r="H797">
        <v>10943.72</v>
      </c>
    </row>
    <row r="798" spans="1:8" x14ac:dyDescent="0.35">
      <c r="A798" t="s">
        <v>5</v>
      </c>
      <c r="B798" t="s">
        <v>12</v>
      </c>
      <c r="C798" t="s">
        <v>9</v>
      </c>
      <c r="D798">
        <v>113</v>
      </c>
      <c r="E798">
        <v>3</v>
      </c>
      <c r="F798">
        <v>2.65</v>
      </c>
      <c r="G798">
        <v>28.02</v>
      </c>
      <c r="H798">
        <v>3166.26</v>
      </c>
    </row>
    <row r="799" spans="1:8" x14ac:dyDescent="0.35">
      <c r="A799" t="s">
        <v>7</v>
      </c>
      <c r="B799" t="s">
        <v>12</v>
      </c>
      <c r="C799" t="s">
        <v>9</v>
      </c>
      <c r="D799">
        <v>253</v>
      </c>
      <c r="E799">
        <v>1</v>
      </c>
      <c r="F799">
        <v>0.4</v>
      </c>
      <c r="G799">
        <v>42.57</v>
      </c>
      <c r="H799">
        <v>10770.21</v>
      </c>
    </row>
    <row r="800" spans="1:8" x14ac:dyDescent="0.35">
      <c r="A800" t="s">
        <v>6</v>
      </c>
      <c r="B800" t="s">
        <v>12</v>
      </c>
      <c r="C800" t="s">
        <v>9</v>
      </c>
      <c r="D800">
        <v>182</v>
      </c>
      <c r="E800">
        <v>17</v>
      </c>
      <c r="F800">
        <v>9.34</v>
      </c>
      <c r="G800">
        <v>34.31</v>
      </c>
      <c r="H800">
        <v>6244.42</v>
      </c>
    </row>
    <row r="801" spans="1:8" x14ac:dyDescent="0.35">
      <c r="A801" t="s">
        <v>8</v>
      </c>
      <c r="B801" t="s">
        <v>12</v>
      </c>
      <c r="C801" t="s">
        <v>9</v>
      </c>
      <c r="D801">
        <v>207</v>
      </c>
      <c r="E801">
        <v>5</v>
      </c>
      <c r="F801">
        <v>2.42</v>
      </c>
      <c r="G801">
        <v>67.53</v>
      </c>
      <c r="H801">
        <v>13978.71</v>
      </c>
    </row>
    <row r="802" spans="1:8" x14ac:dyDescent="0.35">
      <c r="A802" t="s">
        <v>7</v>
      </c>
      <c r="B802" t="s">
        <v>12</v>
      </c>
      <c r="C802" t="s">
        <v>9</v>
      </c>
      <c r="D802">
        <v>198</v>
      </c>
      <c r="E802">
        <v>15</v>
      </c>
      <c r="F802">
        <v>7.58</v>
      </c>
      <c r="G802">
        <v>64.44</v>
      </c>
      <c r="H802">
        <v>12759.12</v>
      </c>
    </row>
    <row r="803" spans="1:8" x14ac:dyDescent="0.35">
      <c r="A803" t="s">
        <v>7</v>
      </c>
      <c r="B803" t="s">
        <v>12</v>
      </c>
      <c r="C803" t="s">
        <v>9</v>
      </c>
      <c r="D803">
        <v>119</v>
      </c>
      <c r="E803">
        <v>8</v>
      </c>
      <c r="F803">
        <v>6.72</v>
      </c>
      <c r="G803">
        <v>50.51</v>
      </c>
      <c r="H803">
        <v>6010.69</v>
      </c>
    </row>
    <row r="804" spans="1:8" x14ac:dyDescent="0.35">
      <c r="A804" t="s">
        <v>6</v>
      </c>
      <c r="B804" t="s">
        <v>12</v>
      </c>
      <c r="C804" t="s">
        <v>11</v>
      </c>
      <c r="D804">
        <v>242</v>
      </c>
      <c r="E804">
        <v>15</v>
      </c>
      <c r="F804">
        <v>6.2</v>
      </c>
      <c r="G804">
        <v>21.69</v>
      </c>
      <c r="H804">
        <v>5248.98</v>
      </c>
    </row>
    <row r="805" spans="1:8" x14ac:dyDescent="0.35">
      <c r="A805" t="s">
        <v>7</v>
      </c>
      <c r="B805" t="s">
        <v>12</v>
      </c>
      <c r="C805" t="s">
        <v>10</v>
      </c>
      <c r="D805">
        <v>283</v>
      </c>
      <c r="E805">
        <v>10</v>
      </c>
      <c r="F805">
        <v>3.53</v>
      </c>
      <c r="G805">
        <v>33.58</v>
      </c>
      <c r="H805">
        <v>9503.14</v>
      </c>
    </row>
    <row r="806" spans="1:8" x14ac:dyDescent="0.35">
      <c r="A806" t="s">
        <v>6</v>
      </c>
      <c r="B806" t="s">
        <v>12</v>
      </c>
      <c r="C806" t="s">
        <v>11</v>
      </c>
      <c r="D806">
        <v>267</v>
      </c>
      <c r="E806">
        <v>23</v>
      </c>
      <c r="F806">
        <v>8.61</v>
      </c>
      <c r="G806">
        <v>33.619999999999997</v>
      </c>
      <c r="H806">
        <v>8976.5400000000009</v>
      </c>
    </row>
    <row r="807" spans="1:8" x14ac:dyDescent="0.35">
      <c r="A807" t="s">
        <v>7</v>
      </c>
      <c r="B807" t="s">
        <v>12</v>
      </c>
      <c r="C807" t="s">
        <v>10</v>
      </c>
      <c r="D807">
        <v>130</v>
      </c>
      <c r="E807">
        <v>5</v>
      </c>
      <c r="F807">
        <v>3.85</v>
      </c>
      <c r="G807">
        <v>36.64</v>
      </c>
      <c r="H807">
        <v>4763.2</v>
      </c>
    </row>
    <row r="808" spans="1:8" x14ac:dyDescent="0.35">
      <c r="A808" t="s">
        <v>7</v>
      </c>
      <c r="B808" t="s">
        <v>12</v>
      </c>
      <c r="C808" t="s">
        <v>9</v>
      </c>
      <c r="D808">
        <v>175</v>
      </c>
      <c r="E808">
        <v>0</v>
      </c>
      <c r="F808">
        <v>0</v>
      </c>
      <c r="G808">
        <v>49.73</v>
      </c>
      <c r="H808">
        <v>8702.75</v>
      </c>
    </row>
    <row r="809" spans="1:8" x14ac:dyDescent="0.35">
      <c r="A809" t="s">
        <v>6</v>
      </c>
      <c r="B809" t="s">
        <v>12</v>
      </c>
      <c r="C809" t="s">
        <v>9</v>
      </c>
      <c r="D809">
        <v>104</v>
      </c>
      <c r="E809">
        <v>9</v>
      </c>
      <c r="F809">
        <v>8.65</v>
      </c>
      <c r="G809">
        <v>54.21</v>
      </c>
      <c r="H809">
        <v>5637.84</v>
      </c>
    </row>
    <row r="810" spans="1:8" x14ac:dyDescent="0.35">
      <c r="A810" t="s">
        <v>7</v>
      </c>
      <c r="B810" t="s">
        <v>12</v>
      </c>
      <c r="C810" t="s">
        <v>10</v>
      </c>
      <c r="D810">
        <v>183</v>
      </c>
      <c r="E810">
        <v>6</v>
      </c>
      <c r="F810">
        <v>3.28</v>
      </c>
      <c r="G810">
        <v>31.06</v>
      </c>
      <c r="H810">
        <v>5683.98</v>
      </c>
    </row>
    <row r="811" spans="1:8" x14ac:dyDescent="0.35">
      <c r="A811" t="s">
        <v>8</v>
      </c>
      <c r="B811" t="s">
        <v>12</v>
      </c>
      <c r="C811" t="s">
        <v>9</v>
      </c>
      <c r="D811">
        <v>167</v>
      </c>
      <c r="E811">
        <v>13</v>
      </c>
      <c r="F811">
        <v>7.78</v>
      </c>
      <c r="G811">
        <v>62.32</v>
      </c>
      <c r="H811">
        <v>10407.44</v>
      </c>
    </row>
    <row r="812" spans="1:8" x14ac:dyDescent="0.35">
      <c r="A812" t="s">
        <v>6</v>
      </c>
      <c r="B812" t="s">
        <v>12</v>
      </c>
      <c r="C812" t="s">
        <v>9</v>
      </c>
      <c r="D812">
        <v>184</v>
      </c>
      <c r="E812">
        <v>10</v>
      </c>
      <c r="F812">
        <v>5.43</v>
      </c>
      <c r="G812">
        <v>5.78</v>
      </c>
      <c r="H812">
        <v>1063.52</v>
      </c>
    </row>
    <row r="813" spans="1:8" x14ac:dyDescent="0.35">
      <c r="A813" t="s">
        <v>6</v>
      </c>
      <c r="B813" t="s">
        <v>12</v>
      </c>
      <c r="C813" t="s">
        <v>11</v>
      </c>
      <c r="D813">
        <v>107</v>
      </c>
      <c r="E813">
        <v>3</v>
      </c>
      <c r="F813">
        <v>2.8</v>
      </c>
      <c r="G813">
        <v>17.8</v>
      </c>
      <c r="H813">
        <v>1904.6</v>
      </c>
    </row>
    <row r="814" spans="1:8" x14ac:dyDescent="0.35">
      <c r="A814" t="s">
        <v>8</v>
      </c>
      <c r="B814" t="s">
        <v>12</v>
      </c>
      <c r="C814" t="s">
        <v>9</v>
      </c>
      <c r="D814">
        <v>240</v>
      </c>
      <c r="E814">
        <v>5</v>
      </c>
      <c r="F814">
        <v>2.08</v>
      </c>
      <c r="G814">
        <v>16.29</v>
      </c>
      <c r="H814">
        <v>3909.6</v>
      </c>
    </row>
    <row r="815" spans="1:8" x14ac:dyDescent="0.35">
      <c r="A815" t="s">
        <v>7</v>
      </c>
      <c r="B815" t="s">
        <v>12</v>
      </c>
      <c r="C815" t="s">
        <v>9</v>
      </c>
      <c r="D815">
        <v>225</v>
      </c>
      <c r="E815">
        <v>15</v>
      </c>
      <c r="F815">
        <v>6.67</v>
      </c>
      <c r="G815">
        <v>23.27</v>
      </c>
      <c r="H815">
        <v>5235.75</v>
      </c>
    </row>
    <row r="816" spans="1:8" x14ac:dyDescent="0.35">
      <c r="A816" t="s">
        <v>5</v>
      </c>
      <c r="B816" t="s">
        <v>12</v>
      </c>
      <c r="C816" t="s">
        <v>9</v>
      </c>
      <c r="D816">
        <v>178</v>
      </c>
      <c r="E816">
        <v>5</v>
      </c>
      <c r="F816">
        <v>2.81</v>
      </c>
      <c r="G816">
        <v>69.239999999999995</v>
      </c>
      <c r="H816">
        <v>12324.72</v>
      </c>
    </row>
    <row r="817" spans="1:8" x14ac:dyDescent="0.35">
      <c r="A817" t="s">
        <v>7</v>
      </c>
      <c r="B817" t="s">
        <v>12</v>
      </c>
      <c r="C817" t="s">
        <v>10</v>
      </c>
      <c r="D817">
        <v>129</v>
      </c>
      <c r="E817">
        <v>9</v>
      </c>
      <c r="F817">
        <v>6.98</v>
      </c>
      <c r="G817">
        <v>13.52</v>
      </c>
      <c r="H817">
        <v>1744.08</v>
      </c>
    </row>
    <row r="818" spans="1:8" x14ac:dyDescent="0.35">
      <c r="A818" t="s">
        <v>8</v>
      </c>
      <c r="B818" t="s">
        <v>12</v>
      </c>
      <c r="C818" t="s">
        <v>9</v>
      </c>
      <c r="D818">
        <v>110</v>
      </c>
      <c r="E818">
        <v>1</v>
      </c>
      <c r="F818">
        <v>0.91</v>
      </c>
      <c r="G818">
        <v>48.27</v>
      </c>
      <c r="H818">
        <v>5309.7</v>
      </c>
    </row>
    <row r="819" spans="1:8" x14ac:dyDescent="0.35">
      <c r="A819" t="s">
        <v>7</v>
      </c>
      <c r="B819" t="s">
        <v>12</v>
      </c>
      <c r="C819" t="s">
        <v>10</v>
      </c>
      <c r="D819">
        <v>124</v>
      </c>
      <c r="E819">
        <v>10</v>
      </c>
      <c r="F819">
        <v>8.06</v>
      </c>
      <c r="G819">
        <v>69.510000000000005</v>
      </c>
      <c r="H819">
        <v>8619.24</v>
      </c>
    </row>
    <row r="820" spans="1:8" x14ac:dyDescent="0.35">
      <c r="A820" t="s">
        <v>7</v>
      </c>
      <c r="B820" t="s">
        <v>12</v>
      </c>
      <c r="C820" t="s">
        <v>9</v>
      </c>
      <c r="D820">
        <v>182</v>
      </c>
      <c r="E820">
        <v>8</v>
      </c>
      <c r="F820">
        <v>4.4000000000000004</v>
      </c>
      <c r="G820">
        <v>38.4</v>
      </c>
      <c r="H820">
        <v>6988.8</v>
      </c>
    </row>
    <row r="821" spans="1:8" x14ac:dyDescent="0.35">
      <c r="A821" t="s">
        <v>7</v>
      </c>
      <c r="B821" t="s">
        <v>12</v>
      </c>
      <c r="C821" t="s">
        <v>9</v>
      </c>
      <c r="D821">
        <v>252</v>
      </c>
      <c r="E821">
        <v>16</v>
      </c>
      <c r="F821">
        <v>6.35</v>
      </c>
      <c r="G821">
        <v>44.26</v>
      </c>
      <c r="H821">
        <v>11153.52</v>
      </c>
    </row>
    <row r="822" spans="1:8" x14ac:dyDescent="0.35">
      <c r="A822" t="s">
        <v>6</v>
      </c>
      <c r="B822" t="s">
        <v>12</v>
      </c>
      <c r="C822" t="s">
        <v>11</v>
      </c>
      <c r="D822">
        <v>194</v>
      </c>
      <c r="E822">
        <v>7</v>
      </c>
      <c r="F822">
        <v>3.61</v>
      </c>
      <c r="G822">
        <v>54.15</v>
      </c>
      <c r="H822">
        <v>10505.1</v>
      </c>
    </row>
    <row r="823" spans="1:8" x14ac:dyDescent="0.35">
      <c r="A823" t="s">
        <v>6</v>
      </c>
      <c r="B823" t="s">
        <v>12</v>
      </c>
      <c r="C823" t="s">
        <v>11</v>
      </c>
      <c r="D823">
        <v>66</v>
      </c>
      <c r="E823">
        <v>6</v>
      </c>
      <c r="F823">
        <v>9.09</v>
      </c>
      <c r="G823">
        <v>18.68</v>
      </c>
      <c r="H823">
        <v>1232.8800000000001</v>
      </c>
    </row>
    <row r="824" spans="1:8" x14ac:dyDescent="0.35">
      <c r="A824" t="s">
        <v>7</v>
      </c>
      <c r="B824" t="s">
        <v>12</v>
      </c>
      <c r="C824" t="s">
        <v>9</v>
      </c>
      <c r="D824">
        <v>260</v>
      </c>
      <c r="E824">
        <v>20</v>
      </c>
      <c r="F824">
        <v>7.69</v>
      </c>
      <c r="G824">
        <v>51.3</v>
      </c>
      <c r="H824">
        <v>13338</v>
      </c>
    </row>
    <row r="825" spans="1:8" x14ac:dyDescent="0.35">
      <c r="A825" t="s">
        <v>7</v>
      </c>
      <c r="B825" t="s">
        <v>12</v>
      </c>
      <c r="C825" t="s">
        <v>9</v>
      </c>
      <c r="D825">
        <v>185</v>
      </c>
      <c r="E825">
        <v>16</v>
      </c>
      <c r="F825">
        <v>8.65</v>
      </c>
      <c r="G825">
        <v>5.55</v>
      </c>
      <c r="H825">
        <v>1026.75</v>
      </c>
    </row>
    <row r="826" spans="1:8" x14ac:dyDescent="0.35">
      <c r="A826" t="s">
        <v>8</v>
      </c>
      <c r="B826" t="s">
        <v>12</v>
      </c>
      <c r="C826" t="s">
        <v>9</v>
      </c>
      <c r="D826">
        <v>194</v>
      </c>
      <c r="E826">
        <v>12</v>
      </c>
      <c r="F826">
        <v>6.19</v>
      </c>
      <c r="G826">
        <v>22.6</v>
      </c>
      <c r="H826">
        <v>4384.3999999999996</v>
      </c>
    </row>
    <row r="827" spans="1:8" x14ac:dyDescent="0.35">
      <c r="A827" t="s">
        <v>6</v>
      </c>
      <c r="B827" t="s">
        <v>12</v>
      </c>
      <c r="C827" t="s">
        <v>11</v>
      </c>
      <c r="D827">
        <v>229</v>
      </c>
      <c r="E827">
        <v>20</v>
      </c>
      <c r="F827">
        <v>8.73</v>
      </c>
      <c r="G827">
        <v>9.36</v>
      </c>
      <c r="H827">
        <v>2143.44</v>
      </c>
    </row>
    <row r="828" spans="1:8" x14ac:dyDescent="0.35">
      <c r="A828" t="s">
        <v>7</v>
      </c>
      <c r="B828" t="s">
        <v>12</v>
      </c>
      <c r="C828" t="s">
        <v>9</v>
      </c>
      <c r="D828">
        <v>277</v>
      </c>
      <c r="E828">
        <v>27</v>
      </c>
      <c r="F828">
        <v>9.75</v>
      </c>
      <c r="G828">
        <v>36.39</v>
      </c>
      <c r="H828">
        <v>10080.030000000001</v>
      </c>
    </row>
    <row r="829" spans="1:8" x14ac:dyDescent="0.35">
      <c r="A829" t="s">
        <v>5</v>
      </c>
      <c r="B829" t="s">
        <v>12</v>
      </c>
      <c r="C829" t="s">
        <v>9</v>
      </c>
      <c r="D829">
        <v>171</v>
      </c>
      <c r="E829">
        <v>11</v>
      </c>
      <c r="F829">
        <v>6.43</v>
      </c>
      <c r="G829">
        <v>11.92</v>
      </c>
      <c r="H829">
        <v>2038.32</v>
      </c>
    </row>
    <row r="830" spans="1:8" x14ac:dyDescent="0.35">
      <c r="A830" t="s">
        <v>8</v>
      </c>
      <c r="B830" t="s">
        <v>12</v>
      </c>
      <c r="C830" t="s">
        <v>9</v>
      </c>
      <c r="D830">
        <v>148</v>
      </c>
      <c r="E830">
        <v>0</v>
      </c>
      <c r="F830">
        <v>0</v>
      </c>
      <c r="G830">
        <v>22.07</v>
      </c>
      <c r="H830">
        <v>3266.36</v>
      </c>
    </row>
    <row r="831" spans="1:8" x14ac:dyDescent="0.35">
      <c r="A831" t="s">
        <v>7</v>
      </c>
      <c r="B831" t="s">
        <v>12</v>
      </c>
      <c r="C831" t="s">
        <v>9</v>
      </c>
      <c r="D831">
        <v>145</v>
      </c>
      <c r="E831">
        <v>9</v>
      </c>
      <c r="F831">
        <v>6.21</v>
      </c>
      <c r="G831">
        <v>25.94</v>
      </c>
      <c r="H831">
        <v>3761.3</v>
      </c>
    </row>
    <row r="832" spans="1:8" x14ac:dyDescent="0.35">
      <c r="A832" t="s">
        <v>6</v>
      </c>
      <c r="B832" t="s">
        <v>12</v>
      </c>
      <c r="C832" t="s">
        <v>11</v>
      </c>
      <c r="D832">
        <v>191</v>
      </c>
      <c r="E832">
        <v>15</v>
      </c>
      <c r="F832">
        <v>7.85</v>
      </c>
      <c r="G832">
        <v>64.25</v>
      </c>
      <c r="H832">
        <v>12271.75</v>
      </c>
    </row>
    <row r="833" spans="1:8" x14ac:dyDescent="0.35">
      <c r="A833" t="s">
        <v>5</v>
      </c>
      <c r="B833" t="s">
        <v>12</v>
      </c>
      <c r="C833" t="s">
        <v>9</v>
      </c>
      <c r="D833">
        <v>288</v>
      </c>
      <c r="E833">
        <v>23</v>
      </c>
      <c r="F833">
        <v>7.99</v>
      </c>
      <c r="G833">
        <v>63.48</v>
      </c>
      <c r="H833">
        <v>18282.240000000002</v>
      </c>
    </row>
    <row r="834" spans="1:8" x14ac:dyDescent="0.35">
      <c r="A834" t="s">
        <v>8</v>
      </c>
      <c r="B834" t="s">
        <v>12</v>
      </c>
      <c r="C834" t="s">
        <v>9</v>
      </c>
      <c r="D834">
        <v>225</v>
      </c>
      <c r="E834">
        <v>20</v>
      </c>
      <c r="F834">
        <v>8.89</v>
      </c>
      <c r="G834">
        <v>53.15</v>
      </c>
      <c r="H834">
        <v>11958.75</v>
      </c>
    </row>
    <row r="835" spans="1:8" x14ac:dyDescent="0.35">
      <c r="A835" t="s">
        <v>8</v>
      </c>
      <c r="B835" t="s">
        <v>12</v>
      </c>
      <c r="C835" t="s">
        <v>9</v>
      </c>
      <c r="D835">
        <v>141</v>
      </c>
      <c r="E835">
        <v>7</v>
      </c>
      <c r="F835">
        <v>4.96</v>
      </c>
      <c r="G835">
        <v>24.7</v>
      </c>
      <c r="H835">
        <v>3482.7</v>
      </c>
    </row>
    <row r="836" spans="1:8" x14ac:dyDescent="0.35">
      <c r="A836" t="s">
        <v>6</v>
      </c>
      <c r="B836" t="s">
        <v>12</v>
      </c>
      <c r="C836" t="s">
        <v>11</v>
      </c>
      <c r="D836">
        <v>290</v>
      </c>
      <c r="E836">
        <v>14</v>
      </c>
      <c r="F836">
        <v>4.83</v>
      </c>
      <c r="G836">
        <v>42.6</v>
      </c>
      <c r="H836">
        <v>12354</v>
      </c>
    </row>
    <row r="837" spans="1:8" x14ac:dyDescent="0.35">
      <c r="A837" t="s">
        <v>7</v>
      </c>
      <c r="B837" t="s">
        <v>12</v>
      </c>
      <c r="C837" t="s">
        <v>10</v>
      </c>
      <c r="D837">
        <v>195</v>
      </c>
      <c r="E837">
        <v>3</v>
      </c>
      <c r="F837">
        <v>1.54</v>
      </c>
      <c r="G837">
        <v>18.03</v>
      </c>
      <c r="H837">
        <v>3515.85</v>
      </c>
    </row>
    <row r="838" spans="1:8" x14ac:dyDescent="0.35">
      <c r="A838" t="s">
        <v>7</v>
      </c>
      <c r="B838" t="s">
        <v>12</v>
      </c>
      <c r="C838" t="s">
        <v>9</v>
      </c>
      <c r="D838">
        <v>293</v>
      </c>
      <c r="E838">
        <v>4</v>
      </c>
      <c r="F838">
        <v>1.37</v>
      </c>
      <c r="G838">
        <v>40.61</v>
      </c>
      <c r="H838">
        <v>11898.73</v>
      </c>
    </row>
    <row r="839" spans="1:8" x14ac:dyDescent="0.35">
      <c r="A839" t="s">
        <v>8</v>
      </c>
      <c r="B839" t="s">
        <v>12</v>
      </c>
      <c r="C839" t="s">
        <v>9</v>
      </c>
      <c r="D839">
        <v>228</v>
      </c>
      <c r="E839">
        <v>12</v>
      </c>
      <c r="F839">
        <v>5.26</v>
      </c>
      <c r="G839">
        <v>16.73</v>
      </c>
      <c r="H839">
        <v>3814.44</v>
      </c>
    </row>
    <row r="840" spans="1:8" x14ac:dyDescent="0.35">
      <c r="A840" t="s">
        <v>7</v>
      </c>
      <c r="B840" t="s">
        <v>12</v>
      </c>
      <c r="C840" t="s">
        <v>9</v>
      </c>
      <c r="D840">
        <v>124</v>
      </c>
      <c r="E840">
        <v>5</v>
      </c>
      <c r="F840">
        <v>4.03</v>
      </c>
      <c r="G840">
        <v>37.39</v>
      </c>
      <c r="H840">
        <v>4636.3599999999997</v>
      </c>
    </row>
    <row r="841" spans="1:8" x14ac:dyDescent="0.35">
      <c r="A841" t="s">
        <v>6</v>
      </c>
      <c r="B841" t="s">
        <v>12</v>
      </c>
      <c r="C841" t="s">
        <v>11</v>
      </c>
      <c r="D841">
        <v>185</v>
      </c>
      <c r="E841">
        <v>3</v>
      </c>
      <c r="F841">
        <v>1.62</v>
      </c>
      <c r="G841">
        <v>56.27</v>
      </c>
      <c r="H841">
        <v>10409.950000000001</v>
      </c>
    </row>
    <row r="842" spans="1:8" x14ac:dyDescent="0.35">
      <c r="A842" t="s">
        <v>6</v>
      </c>
      <c r="B842" t="s">
        <v>12</v>
      </c>
      <c r="C842" t="s">
        <v>9</v>
      </c>
      <c r="D842">
        <v>52</v>
      </c>
      <c r="E842">
        <v>3</v>
      </c>
      <c r="F842">
        <v>5.77</v>
      </c>
      <c r="G842">
        <v>61.03</v>
      </c>
      <c r="H842">
        <v>3173.56</v>
      </c>
    </row>
    <row r="843" spans="1:8" x14ac:dyDescent="0.35">
      <c r="A843" t="s">
        <v>6</v>
      </c>
      <c r="B843" t="s">
        <v>12</v>
      </c>
      <c r="C843" t="s">
        <v>11</v>
      </c>
      <c r="D843">
        <v>135</v>
      </c>
      <c r="E843">
        <v>8</v>
      </c>
      <c r="F843">
        <v>5.93</v>
      </c>
      <c r="G843">
        <v>31.28</v>
      </c>
      <c r="H843">
        <v>4222.8</v>
      </c>
    </row>
    <row r="844" spans="1:8" x14ac:dyDescent="0.35">
      <c r="A844" t="s">
        <v>5</v>
      </c>
      <c r="B844" t="s">
        <v>12</v>
      </c>
      <c r="C844" t="s">
        <v>9</v>
      </c>
      <c r="D844">
        <v>263</v>
      </c>
      <c r="E844">
        <v>9</v>
      </c>
      <c r="F844">
        <v>3.42</v>
      </c>
      <c r="G844">
        <v>48.53</v>
      </c>
      <c r="H844">
        <v>12763.39</v>
      </c>
    </row>
    <row r="845" spans="1:8" x14ac:dyDescent="0.35">
      <c r="A845" t="s">
        <v>8</v>
      </c>
      <c r="B845" t="s">
        <v>12</v>
      </c>
      <c r="C845" t="s">
        <v>9</v>
      </c>
      <c r="D845">
        <v>151</v>
      </c>
      <c r="E845">
        <v>7</v>
      </c>
      <c r="F845">
        <v>4.6399999999999997</v>
      </c>
      <c r="G845">
        <v>65.319999999999993</v>
      </c>
      <c r="H845">
        <v>9863.32</v>
      </c>
    </row>
    <row r="846" spans="1:8" x14ac:dyDescent="0.35">
      <c r="A846" t="s">
        <v>8</v>
      </c>
      <c r="B846" t="s">
        <v>12</v>
      </c>
      <c r="C846" t="s">
        <v>9</v>
      </c>
      <c r="D846">
        <v>170</v>
      </c>
      <c r="E846">
        <v>16</v>
      </c>
      <c r="F846">
        <v>9.41</v>
      </c>
      <c r="G846">
        <v>6.72</v>
      </c>
      <c r="H846">
        <v>1142.4000000000001</v>
      </c>
    </row>
    <row r="847" spans="1:8" x14ac:dyDescent="0.35">
      <c r="A847" t="s">
        <v>6</v>
      </c>
      <c r="B847" t="s">
        <v>12</v>
      </c>
      <c r="C847" t="s">
        <v>11</v>
      </c>
      <c r="D847">
        <v>51</v>
      </c>
      <c r="E847">
        <v>5</v>
      </c>
      <c r="F847">
        <v>9.8000000000000007</v>
      </c>
      <c r="G847">
        <v>38.61</v>
      </c>
      <c r="H847">
        <v>1969.11</v>
      </c>
    </row>
    <row r="848" spans="1:8" x14ac:dyDescent="0.35">
      <c r="A848" t="s">
        <v>7</v>
      </c>
      <c r="B848" t="s">
        <v>12</v>
      </c>
      <c r="C848" t="s">
        <v>10</v>
      </c>
      <c r="D848">
        <v>202</v>
      </c>
      <c r="E848">
        <v>8</v>
      </c>
      <c r="F848">
        <v>3.96</v>
      </c>
      <c r="G848">
        <v>41.96</v>
      </c>
      <c r="H848">
        <v>8475.92</v>
      </c>
    </row>
    <row r="849" spans="1:8" x14ac:dyDescent="0.35">
      <c r="A849" t="s">
        <v>7</v>
      </c>
      <c r="B849" t="s">
        <v>12</v>
      </c>
      <c r="C849" t="s">
        <v>10</v>
      </c>
      <c r="D849">
        <v>236</v>
      </c>
      <c r="E849">
        <v>12</v>
      </c>
      <c r="F849">
        <v>5.08</v>
      </c>
      <c r="G849">
        <v>48.92</v>
      </c>
      <c r="H849">
        <v>11545.12</v>
      </c>
    </row>
    <row r="850" spans="1:8" x14ac:dyDescent="0.35">
      <c r="A850" t="s">
        <v>7</v>
      </c>
      <c r="B850" t="s">
        <v>12</v>
      </c>
      <c r="C850" t="s">
        <v>10</v>
      </c>
      <c r="D850">
        <v>162</v>
      </c>
      <c r="E850">
        <v>3</v>
      </c>
      <c r="F850">
        <v>1.85</v>
      </c>
      <c r="G850">
        <v>67.430000000000007</v>
      </c>
      <c r="H850">
        <v>10923.66</v>
      </c>
    </row>
    <row r="851" spans="1:8" x14ac:dyDescent="0.35">
      <c r="A851" t="s">
        <v>7</v>
      </c>
      <c r="B851" t="s">
        <v>12</v>
      </c>
      <c r="C851" t="s">
        <v>10</v>
      </c>
      <c r="D851">
        <v>72</v>
      </c>
      <c r="E851">
        <v>5</v>
      </c>
      <c r="F851">
        <v>6.94</v>
      </c>
      <c r="G851">
        <v>5.83</v>
      </c>
      <c r="H851">
        <v>419.76</v>
      </c>
    </row>
    <row r="852" spans="1:8" x14ac:dyDescent="0.35">
      <c r="A852" t="s">
        <v>7</v>
      </c>
      <c r="B852" t="s">
        <v>12</v>
      </c>
      <c r="C852" t="s">
        <v>10</v>
      </c>
      <c r="D852">
        <v>81</v>
      </c>
      <c r="E852">
        <v>5</v>
      </c>
      <c r="F852">
        <v>6.17</v>
      </c>
      <c r="G852">
        <v>23.03</v>
      </c>
      <c r="H852">
        <v>1865.43</v>
      </c>
    </row>
    <row r="853" spans="1:8" x14ac:dyDescent="0.35">
      <c r="A853" t="s">
        <v>6</v>
      </c>
      <c r="B853" t="s">
        <v>12</v>
      </c>
      <c r="C853" t="s">
        <v>9</v>
      </c>
      <c r="D853">
        <v>99</v>
      </c>
      <c r="E853">
        <v>7</v>
      </c>
      <c r="F853">
        <v>7.07</v>
      </c>
      <c r="G853">
        <v>27.07</v>
      </c>
      <c r="H853">
        <v>2679.93</v>
      </c>
    </row>
    <row r="854" spans="1:8" x14ac:dyDescent="0.35">
      <c r="A854" t="s">
        <v>6</v>
      </c>
      <c r="B854" t="s">
        <v>12</v>
      </c>
      <c r="C854" t="s">
        <v>9</v>
      </c>
      <c r="D854">
        <v>228</v>
      </c>
      <c r="E854">
        <v>6</v>
      </c>
      <c r="F854">
        <v>2.63</v>
      </c>
      <c r="G854">
        <v>53.18</v>
      </c>
      <c r="H854">
        <v>12125.04</v>
      </c>
    </row>
    <row r="855" spans="1:8" x14ac:dyDescent="0.35">
      <c r="A855" t="s">
        <v>6</v>
      </c>
      <c r="B855" t="s">
        <v>12</v>
      </c>
      <c r="C855" t="s">
        <v>9</v>
      </c>
      <c r="D855">
        <v>220</v>
      </c>
      <c r="E855">
        <v>1</v>
      </c>
      <c r="F855">
        <v>0.45</v>
      </c>
      <c r="G855">
        <v>6.29</v>
      </c>
      <c r="H855">
        <v>1383.8</v>
      </c>
    </row>
    <row r="856" spans="1:8" x14ac:dyDescent="0.35">
      <c r="A856" t="s">
        <v>7</v>
      </c>
      <c r="B856" t="s">
        <v>12</v>
      </c>
      <c r="C856" t="s">
        <v>9</v>
      </c>
      <c r="D856">
        <v>231</v>
      </c>
      <c r="E856">
        <v>5</v>
      </c>
      <c r="F856">
        <v>2.16</v>
      </c>
      <c r="G856">
        <v>34.24</v>
      </c>
      <c r="H856">
        <v>7909.44</v>
      </c>
    </row>
    <row r="857" spans="1:8" x14ac:dyDescent="0.35">
      <c r="A857" t="s">
        <v>8</v>
      </c>
      <c r="B857" t="s">
        <v>12</v>
      </c>
      <c r="C857" t="s">
        <v>9</v>
      </c>
      <c r="D857">
        <v>217</v>
      </c>
      <c r="E857">
        <v>15</v>
      </c>
      <c r="F857">
        <v>6.91</v>
      </c>
      <c r="G857">
        <v>32.090000000000003</v>
      </c>
      <c r="H857">
        <v>6963.53</v>
      </c>
    </row>
    <row r="858" spans="1:8" x14ac:dyDescent="0.35">
      <c r="A858" t="s">
        <v>8</v>
      </c>
      <c r="B858" t="s">
        <v>12</v>
      </c>
      <c r="C858" t="s">
        <v>9</v>
      </c>
      <c r="D858">
        <v>86</v>
      </c>
      <c r="E858">
        <v>6</v>
      </c>
      <c r="F858">
        <v>6.98</v>
      </c>
      <c r="G858">
        <v>39.71</v>
      </c>
      <c r="H858">
        <v>3415.06</v>
      </c>
    </row>
    <row r="859" spans="1:8" x14ac:dyDescent="0.35">
      <c r="A859" t="s">
        <v>7</v>
      </c>
      <c r="B859" t="s">
        <v>12</v>
      </c>
      <c r="C859" t="s">
        <v>9</v>
      </c>
      <c r="D859">
        <v>222</v>
      </c>
      <c r="E859">
        <v>17</v>
      </c>
      <c r="F859">
        <v>7.66</v>
      </c>
      <c r="G859">
        <v>48.48</v>
      </c>
      <c r="H859">
        <v>10762.56</v>
      </c>
    </row>
    <row r="860" spans="1:8" x14ac:dyDescent="0.35">
      <c r="A860" t="s">
        <v>6</v>
      </c>
      <c r="B860" t="s">
        <v>12</v>
      </c>
      <c r="C860" t="s">
        <v>9</v>
      </c>
      <c r="D860">
        <v>183</v>
      </c>
      <c r="E860">
        <v>3</v>
      </c>
      <c r="F860">
        <v>1.64</v>
      </c>
      <c r="G860">
        <v>60.5</v>
      </c>
      <c r="H860">
        <v>11071.5</v>
      </c>
    </row>
    <row r="861" spans="1:8" x14ac:dyDescent="0.35">
      <c r="A861" t="s">
        <v>6</v>
      </c>
      <c r="B861" t="s">
        <v>12</v>
      </c>
      <c r="C861" t="s">
        <v>9</v>
      </c>
      <c r="D861">
        <v>235</v>
      </c>
      <c r="E861">
        <v>18</v>
      </c>
      <c r="F861">
        <v>7.66</v>
      </c>
      <c r="G861">
        <v>21.74</v>
      </c>
      <c r="H861">
        <v>5108.8999999999996</v>
      </c>
    </row>
    <row r="862" spans="1:8" x14ac:dyDescent="0.35">
      <c r="A862" t="s">
        <v>7</v>
      </c>
      <c r="B862" t="s">
        <v>12</v>
      </c>
      <c r="C862" t="s">
        <v>10</v>
      </c>
      <c r="D862">
        <v>199</v>
      </c>
      <c r="E862">
        <v>7</v>
      </c>
      <c r="F862">
        <v>3.52</v>
      </c>
      <c r="G862">
        <v>33.19</v>
      </c>
      <c r="H862">
        <v>6604.81</v>
      </c>
    </row>
    <row r="863" spans="1:8" x14ac:dyDescent="0.35">
      <c r="A863" t="s">
        <v>6</v>
      </c>
      <c r="B863" t="s">
        <v>12</v>
      </c>
      <c r="C863" t="s">
        <v>9</v>
      </c>
      <c r="D863">
        <v>90</v>
      </c>
      <c r="E863">
        <v>8</v>
      </c>
      <c r="F863">
        <v>8.89</v>
      </c>
      <c r="G863">
        <v>52.45</v>
      </c>
      <c r="H863">
        <v>4720.5</v>
      </c>
    </row>
    <row r="864" spans="1:8" x14ac:dyDescent="0.35">
      <c r="A864" t="s">
        <v>7</v>
      </c>
      <c r="B864" t="s">
        <v>12</v>
      </c>
      <c r="C864" t="s">
        <v>9</v>
      </c>
      <c r="D864">
        <v>82</v>
      </c>
      <c r="E864">
        <v>8</v>
      </c>
      <c r="F864">
        <v>9.76</v>
      </c>
      <c r="G864">
        <v>23.98</v>
      </c>
      <c r="H864">
        <v>1966.36</v>
      </c>
    </row>
    <row r="865" spans="1:8" x14ac:dyDescent="0.35">
      <c r="A865" t="s">
        <v>8</v>
      </c>
      <c r="B865" t="s">
        <v>12</v>
      </c>
      <c r="C865" t="s">
        <v>9</v>
      </c>
      <c r="D865">
        <v>227</v>
      </c>
      <c r="E865">
        <v>17</v>
      </c>
      <c r="F865">
        <v>7.49</v>
      </c>
      <c r="G865">
        <v>21.08</v>
      </c>
      <c r="H865">
        <v>4785.16</v>
      </c>
    </row>
    <row r="866" spans="1:8" x14ac:dyDescent="0.35">
      <c r="A866" t="s">
        <v>6</v>
      </c>
      <c r="B866" t="s">
        <v>12</v>
      </c>
      <c r="C866" t="s">
        <v>11</v>
      </c>
      <c r="D866">
        <v>251</v>
      </c>
      <c r="E866">
        <v>12</v>
      </c>
      <c r="F866">
        <v>4.78</v>
      </c>
      <c r="G866">
        <v>59.11</v>
      </c>
      <c r="H866">
        <v>14836.61</v>
      </c>
    </row>
    <row r="867" spans="1:8" x14ac:dyDescent="0.35">
      <c r="A867" t="s">
        <v>6</v>
      </c>
      <c r="B867" t="s">
        <v>12</v>
      </c>
      <c r="C867" t="s">
        <v>9</v>
      </c>
      <c r="D867">
        <v>203</v>
      </c>
      <c r="E867">
        <v>19</v>
      </c>
      <c r="F867">
        <v>9.36</v>
      </c>
      <c r="G867">
        <v>44.91</v>
      </c>
      <c r="H867">
        <v>9116.73</v>
      </c>
    </row>
    <row r="868" spans="1:8" x14ac:dyDescent="0.35">
      <c r="A868" t="s">
        <v>6</v>
      </c>
      <c r="B868" t="s">
        <v>12</v>
      </c>
      <c r="C868" t="s">
        <v>11</v>
      </c>
      <c r="D868">
        <v>196</v>
      </c>
      <c r="E868">
        <v>11</v>
      </c>
      <c r="F868">
        <v>5.61</v>
      </c>
      <c r="G868">
        <v>28.48</v>
      </c>
      <c r="H868">
        <v>5582.08</v>
      </c>
    </row>
    <row r="869" spans="1:8" x14ac:dyDescent="0.35">
      <c r="A869" t="s">
        <v>7</v>
      </c>
      <c r="B869" t="s">
        <v>12</v>
      </c>
      <c r="C869" t="s">
        <v>10</v>
      </c>
      <c r="D869">
        <v>74</v>
      </c>
      <c r="E869">
        <v>4</v>
      </c>
      <c r="F869">
        <v>5.41</v>
      </c>
      <c r="G869">
        <v>47.57</v>
      </c>
      <c r="H869">
        <v>3520.18</v>
      </c>
    </row>
    <row r="870" spans="1:8" x14ac:dyDescent="0.35">
      <c r="A870" t="s">
        <v>7</v>
      </c>
      <c r="B870" t="s">
        <v>12</v>
      </c>
      <c r="C870" t="s">
        <v>9</v>
      </c>
      <c r="D870">
        <v>150</v>
      </c>
      <c r="E870">
        <v>4</v>
      </c>
      <c r="F870">
        <v>2.67</v>
      </c>
      <c r="G870">
        <v>63.14</v>
      </c>
      <c r="H870">
        <v>9471</v>
      </c>
    </row>
    <row r="871" spans="1:8" x14ac:dyDescent="0.35">
      <c r="A871" t="s">
        <v>6</v>
      </c>
      <c r="B871" t="s">
        <v>12</v>
      </c>
      <c r="C871" t="s">
        <v>9</v>
      </c>
      <c r="D871">
        <v>271</v>
      </c>
      <c r="E871">
        <v>14</v>
      </c>
      <c r="F871">
        <v>5.17</v>
      </c>
      <c r="G871">
        <v>14.94</v>
      </c>
      <c r="H871">
        <v>4048.74</v>
      </c>
    </row>
    <row r="872" spans="1:8" x14ac:dyDescent="0.35">
      <c r="A872" t="s">
        <v>6</v>
      </c>
      <c r="B872" t="s">
        <v>12</v>
      </c>
      <c r="C872" t="s">
        <v>9</v>
      </c>
      <c r="D872">
        <v>185</v>
      </c>
      <c r="E872">
        <v>13</v>
      </c>
      <c r="F872">
        <v>7.03</v>
      </c>
      <c r="G872">
        <v>51.37</v>
      </c>
      <c r="H872">
        <v>9503.4500000000007</v>
      </c>
    </row>
    <row r="873" spans="1:8" x14ac:dyDescent="0.35">
      <c r="A873" t="s">
        <v>5</v>
      </c>
      <c r="B873" t="s">
        <v>12</v>
      </c>
      <c r="C873" t="s">
        <v>9</v>
      </c>
      <c r="D873">
        <v>164</v>
      </c>
      <c r="E873">
        <v>13</v>
      </c>
      <c r="F873">
        <v>7.93</v>
      </c>
      <c r="G873">
        <v>28.19</v>
      </c>
      <c r="H873">
        <v>4623.16</v>
      </c>
    </row>
    <row r="874" spans="1:8" x14ac:dyDescent="0.35">
      <c r="A874" t="s">
        <v>6</v>
      </c>
      <c r="B874" t="s">
        <v>12</v>
      </c>
      <c r="C874" t="s">
        <v>11</v>
      </c>
      <c r="D874">
        <v>79</v>
      </c>
      <c r="E874">
        <v>4</v>
      </c>
      <c r="F874">
        <v>5.0599999999999996</v>
      </c>
      <c r="G874">
        <v>56.68</v>
      </c>
      <c r="H874">
        <v>4477.72</v>
      </c>
    </row>
    <row r="875" spans="1:8" x14ac:dyDescent="0.35">
      <c r="A875" t="s">
        <v>7</v>
      </c>
      <c r="B875" t="s">
        <v>12</v>
      </c>
      <c r="C875" t="s">
        <v>10</v>
      </c>
      <c r="D875">
        <v>129</v>
      </c>
      <c r="E875">
        <v>10</v>
      </c>
      <c r="F875">
        <v>7.75</v>
      </c>
      <c r="G875">
        <v>60.86</v>
      </c>
      <c r="H875">
        <v>7850.94</v>
      </c>
    </row>
    <row r="876" spans="1:8" x14ac:dyDescent="0.35">
      <c r="A876" t="s">
        <v>6</v>
      </c>
      <c r="B876" t="s">
        <v>12</v>
      </c>
      <c r="C876" t="s">
        <v>11</v>
      </c>
      <c r="D876">
        <v>121</v>
      </c>
      <c r="E876">
        <v>6</v>
      </c>
      <c r="F876">
        <v>4.96</v>
      </c>
      <c r="G876">
        <v>16.34</v>
      </c>
      <c r="H876">
        <v>1977.14</v>
      </c>
    </row>
    <row r="877" spans="1:8" x14ac:dyDescent="0.35">
      <c r="A877" t="s">
        <v>5</v>
      </c>
      <c r="B877" t="s">
        <v>12</v>
      </c>
      <c r="C877" t="s">
        <v>9</v>
      </c>
      <c r="D877">
        <v>218</v>
      </c>
      <c r="E877">
        <v>2</v>
      </c>
      <c r="F877">
        <v>0.92</v>
      </c>
      <c r="G877">
        <v>50.64</v>
      </c>
      <c r="H877">
        <v>11039.52</v>
      </c>
    </row>
    <row r="878" spans="1:8" x14ac:dyDescent="0.35">
      <c r="A878" t="s">
        <v>5</v>
      </c>
      <c r="B878" t="s">
        <v>12</v>
      </c>
      <c r="C878" t="s">
        <v>9</v>
      </c>
      <c r="D878">
        <v>155</v>
      </c>
      <c r="E878">
        <v>14</v>
      </c>
      <c r="F878">
        <v>9.0299999999999994</v>
      </c>
      <c r="G878">
        <v>9.09</v>
      </c>
      <c r="H878">
        <v>1408.95</v>
      </c>
    </row>
    <row r="879" spans="1:8" x14ac:dyDescent="0.35">
      <c r="A879" t="s">
        <v>8</v>
      </c>
      <c r="B879" t="s">
        <v>12</v>
      </c>
      <c r="C879" t="s">
        <v>9</v>
      </c>
      <c r="D879">
        <v>267</v>
      </c>
      <c r="E879">
        <v>10</v>
      </c>
      <c r="F879">
        <v>3.75</v>
      </c>
      <c r="G879">
        <v>31.14</v>
      </c>
      <c r="H879">
        <v>8314.3799999999992</v>
      </c>
    </row>
    <row r="880" spans="1:8" x14ac:dyDescent="0.35">
      <c r="A880" t="s">
        <v>7</v>
      </c>
      <c r="B880" t="s">
        <v>12</v>
      </c>
      <c r="C880" t="s">
        <v>10</v>
      </c>
      <c r="D880">
        <v>242</v>
      </c>
      <c r="E880">
        <v>13</v>
      </c>
      <c r="F880">
        <v>5.37</v>
      </c>
      <c r="G880">
        <v>62.45</v>
      </c>
      <c r="H880">
        <v>15112.9</v>
      </c>
    </row>
    <row r="881" spans="1:8" x14ac:dyDescent="0.35">
      <c r="A881" t="s">
        <v>7</v>
      </c>
      <c r="B881" t="s">
        <v>12</v>
      </c>
      <c r="C881" t="s">
        <v>9</v>
      </c>
      <c r="D881">
        <v>174</v>
      </c>
      <c r="E881">
        <v>0</v>
      </c>
      <c r="F881">
        <v>0</v>
      </c>
      <c r="G881">
        <v>54.73</v>
      </c>
      <c r="H881">
        <v>9523.02</v>
      </c>
    </row>
    <row r="882" spans="1:8" x14ac:dyDescent="0.35">
      <c r="A882" t="s">
        <v>7</v>
      </c>
      <c r="B882" t="s">
        <v>12</v>
      </c>
      <c r="C882" t="s">
        <v>10</v>
      </c>
      <c r="D882">
        <v>86</v>
      </c>
      <c r="E882">
        <v>6</v>
      </c>
      <c r="F882">
        <v>6.98</v>
      </c>
      <c r="G882">
        <v>61.24</v>
      </c>
      <c r="H882">
        <v>5266.64</v>
      </c>
    </row>
    <row r="883" spans="1:8" x14ac:dyDescent="0.35">
      <c r="A883" t="s">
        <v>8</v>
      </c>
      <c r="B883" t="s">
        <v>12</v>
      </c>
      <c r="C883" t="s">
        <v>9</v>
      </c>
      <c r="D883">
        <v>289</v>
      </c>
      <c r="E883">
        <v>12</v>
      </c>
      <c r="F883">
        <v>4.1500000000000004</v>
      </c>
      <c r="G883">
        <v>10.42</v>
      </c>
      <c r="H883">
        <v>3011.38</v>
      </c>
    </row>
    <row r="884" spans="1:8" x14ac:dyDescent="0.35">
      <c r="A884" t="s">
        <v>6</v>
      </c>
      <c r="B884" t="s">
        <v>12</v>
      </c>
      <c r="C884" t="s">
        <v>9</v>
      </c>
      <c r="D884">
        <v>71</v>
      </c>
      <c r="E884">
        <v>6</v>
      </c>
      <c r="F884">
        <v>8.4499999999999993</v>
      </c>
      <c r="G884">
        <v>58.04</v>
      </c>
      <c r="H884">
        <v>4120.84</v>
      </c>
    </row>
    <row r="885" spans="1:8" x14ac:dyDescent="0.35">
      <c r="A885" t="s">
        <v>7</v>
      </c>
      <c r="B885" t="s">
        <v>12</v>
      </c>
      <c r="C885" t="s">
        <v>9</v>
      </c>
      <c r="D885">
        <v>94</v>
      </c>
      <c r="E885">
        <v>1</v>
      </c>
      <c r="F885">
        <v>1.06</v>
      </c>
      <c r="G885">
        <v>31.78</v>
      </c>
      <c r="H885">
        <v>2987.32</v>
      </c>
    </row>
    <row r="886" spans="1:8" x14ac:dyDescent="0.35">
      <c r="A886" t="s">
        <v>6</v>
      </c>
      <c r="B886" t="s">
        <v>12</v>
      </c>
      <c r="C886" t="s">
        <v>11</v>
      </c>
      <c r="D886">
        <v>101</v>
      </c>
      <c r="E886">
        <v>4</v>
      </c>
      <c r="F886">
        <v>3.96</v>
      </c>
      <c r="G886">
        <v>38.51</v>
      </c>
      <c r="H886">
        <v>3889.51</v>
      </c>
    </row>
    <row r="887" spans="1:8" x14ac:dyDescent="0.35">
      <c r="A887" t="s">
        <v>6</v>
      </c>
      <c r="B887" t="s">
        <v>12</v>
      </c>
      <c r="C887" t="s">
        <v>11</v>
      </c>
      <c r="D887">
        <v>61</v>
      </c>
      <c r="E887">
        <v>5</v>
      </c>
      <c r="F887">
        <v>8.1999999999999993</v>
      </c>
      <c r="G887">
        <v>18.02</v>
      </c>
      <c r="H887">
        <v>1099.22</v>
      </c>
    </row>
    <row r="888" spans="1:8" x14ac:dyDescent="0.35">
      <c r="A888" t="s">
        <v>8</v>
      </c>
      <c r="B888" t="s">
        <v>12</v>
      </c>
      <c r="C888" t="s">
        <v>9</v>
      </c>
      <c r="D888">
        <v>281</v>
      </c>
      <c r="E888">
        <v>20</v>
      </c>
      <c r="F888">
        <v>7.12</v>
      </c>
      <c r="G888">
        <v>28.41</v>
      </c>
      <c r="H888">
        <v>7983.21</v>
      </c>
    </row>
    <row r="889" spans="1:8" x14ac:dyDescent="0.35">
      <c r="A889" t="s">
        <v>7</v>
      </c>
      <c r="B889" t="s">
        <v>12</v>
      </c>
      <c r="C889" t="s">
        <v>9</v>
      </c>
      <c r="D889">
        <v>84</v>
      </c>
      <c r="E889">
        <v>1</v>
      </c>
      <c r="F889">
        <v>1.19</v>
      </c>
      <c r="G889">
        <v>58.54</v>
      </c>
      <c r="H889">
        <v>4917.3599999999997</v>
      </c>
    </row>
    <row r="890" spans="1:8" x14ac:dyDescent="0.35">
      <c r="A890" t="s">
        <v>8</v>
      </c>
      <c r="B890" t="s">
        <v>12</v>
      </c>
      <c r="C890" t="s">
        <v>9</v>
      </c>
      <c r="D890">
        <v>296</v>
      </c>
      <c r="E890">
        <v>16</v>
      </c>
      <c r="F890">
        <v>5.41</v>
      </c>
      <c r="G890">
        <v>59.52</v>
      </c>
      <c r="H890">
        <v>17617.919999999998</v>
      </c>
    </row>
    <row r="891" spans="1:8" x14ac:dyDescent="0.35">
      <c r="A891" t="s">
        <v>7</v>
      </c>
      <c r="B891" t="s">
        <v>12</v>
      </c>
      <c r="C891" t="s">
        <v>9</v>
      </c>
      <c r="D891">
        <v>85</v>
      </c>
      <c r="E891">
        <v>2</v>
      </c>
      <c r="F891">
        <v>2.35</v>
      </c>
      <c r="G891">
        <v>21.44</v>
      </c>
      <c r="H891">
        <v>1822.4</v>
      </c>
    </row>
    <row r="892" spans="1:8" x14ac:dyDescent="0.35">
      <c r="A892" t="s">
        <v>6</v>
      </c>
      <c r="B892" t="s">
        <v>12</v>
      </c>
      <c r="C892" t="s">
        <v>11</v>
      </c>
      <c r="D892">
        <v>107</v>
      </c>
      <c r="E892">
        <v>0</v>
      </c>
      <c r="F892">
        <v>0</v>
      </c>
      <c r="G892">
        <v>30.33</v>
      </c>
      <c r="H892">
        <v>3245.31</v>
      </c>
    </row>
    <row r="893" spans="1:8" x14ac:dyDescent="0.35">
      <c r="A893" t="s">
        <v>5</v>
      </c>
      <c r="B893" t="s">
        <v>12</v>
      </c>
      <c r="C893" t="s">
        <v>9</v>
      </c>
      <c r="D893">
        <v>160</v>
      </c>
      <c r="E893">
        <v>9</v>
      </c>
      <c r="F893">
        <v>5.62</v>
      </c>
      <c r="G893">
        <v>16.489999999999998</v>
      </c>
      <c r="H893">
        <v>2638.4</v>
      </c>
    </row>
    <row r="894" spans="1:8" x14ac:dyDescent="0.35">
      <c r="A894" t="s">
        <v>8</v>
      </c>
      <c r="B894" t="s">
        <v>12</v>
      </c>
      <c r="C894" t="s">
        <v>9</v>
      </c>
      <c r="D894">
        <v>186</v>
      </c>
      <c r="E894">
        <v>1</v>
      </c>
      <c r="F894">
        <v>0.54</v>
      </c>
      <c r="G894">
        <v>37.119999999999997</v>
      </c>
      <c r="H894">
        <v>6904.32</v>
      </c>
    </row>
    <row r="895" spans="1:8" x14ac:dyDescent="0.35">
      <c r="A895" t="s">
        <v>7</v>
      </c>
      <c r="B895" t="s">
        <v>12</v>
      </c>
      <c r="C895" t="s">
        <v>9</v>
      </c>
      <c r="D895">
        <v>287</v>
      </c>
      <c r="E895">
        <v>17</v>
      </c>
      <c r="F895">
        <v>5.92</v>
      </c>
      <c r="G895">
        <v>36.21</v>
      </c>
      <c r="H895">
        <v>10392.27</v>
      </c>
    </row>
    <row r="896" spans="1:8" x14ac:dyDescent="0.35">
      <c r="A896" t="s">
        <v>7</v>
      </c>
      <c r="B896" t="s">
        <v>12</v>
      </c>
      <c r="C896" t="s">
        <v>9</v>
      </c>
      <c r="D896">
        <v>259</v>
      </c>
      <c r="E896">
        <v>8</v>
      </c>
      <c r="F896">
        <v>3.09</v>
      </c>
      <c r="G896">
        <v>29.41</v>
      </c>
      <c r="H896">
        <v>7617.19</v>
      </c>
    </row>
    <row r="897" spans="1:8" x14ac:dyDescent="0.35">
      <c r="A897" t="s">
        <v>7</v>
      </c>
      <c r="B897" t="s">
        <v>12</v>
      </c>
      <c r="C897" t="s">
        <v>9</v>
      </c>
      <c r="D897">
        <v>242</v>
      </c>
      <c r="E897">
        <v>3</v>
      </c>
      <c r="F897">
        <v>1.24</v>
      </c>
      <c r="G897">
        <v>7.36</v>
      </c>
      <c r="H897">
        <v>1781.12</v>
      </c>
    </row>
    <row r="898" spans="1:8" x14ac:dyDescent="0.35">
      <c r="A898" t="s">
        <v>8</v>
      </c>
      <c r="B898" t="s">
        <v>12</v>
      </c>
      <c r="C898" t="s">
        <v>9</v>
      </c>
      <c r="D898">
        <v>185</v>
      </c>
      <c r="E898">
        <v>0</v>
      </c>
      <c r="F898">
        <v>0</v>
      </c>
      <c r="G898">
        <v>6.77</v>
      </c>
      <c r="H898">
        <v>1252.45</v>
      </c>
    </row>
    <row r="899" spans="1:8" x14ac:dyDescent="0.35">
      <c r="A899" t="s">
        <v>5</v>
      </c>
      <c r="B899" t="s">
        <v>12</v>
      </c>
      <c r="C899" t="s">
        <v>9</v>
      </c>
      <c r="D899">
        <v>126</v>
      </c>
      <c r="E899">
        <v>8</v>
      </c>
      <c r="F899">
        <v>6.35</v>
      </c>
      <c r="G899">
        <v>25.41</v>
      </c>
      <c r="H899">
        <v>3201.66</v>
      </c>
    </row>
    <row r="900" spans="1:8" x14ac:dyDescent="0.35">
      <c r="A900" t="s">
        <v>8</v>
      </c>
      <c r="B900" t="s">
        <v>12</v>
      </c>
      <c r="C900" t="s">
        <v>9</v>
      </c>
      <c r="D900">
        <v>299</v>
      </c>
      <c r="E900">
        <v>29</v>
      </c>
      <c r="F900">
        <v>9.6999999999999993</v>
      </c>
      <c r="G900">
        <v>12.31</v>
      </c>
      <c r="H900">
        <v>3680.69</v>
      </c>
    </row>
    <row r="901" spans="1:8" x14ac:dyDescent="0.35">
      <c r="A901" t="s">
        <v>5</v>
      </c>
      <c r="B901" t="s">
        <v>12</v>
      </c>
      <c r="C901" t="s">
        <v>9</v>
      </c>
      <c r="D901">
        <v>119</v>
      </c>
      <c r="E901">
        <v>3</v>
      </c>
      <c r="F901">
        <v>2.52</v>
      </c>
      <c r="G901">
        <v>11.75</v>
      </c>
      <c r="H901">
        <v>1398.25</v>
      </c>
    </row>
    <row r="902" spans="1:8" x14ac:dyDescent="0.35">
      <c r="A902" t="s">
        <v>7</v>
      </c>
      <c r="B902" t="s">
        <v>12</v>
      </c>
      <c r="C902" t="s">
        <v>10</v>
      </c>
      <c r="D902">
        <v>95</v>
      </c>
      <c r="E902">
        <v>5</v>
      </c>
      <c r="F902">
        <v>5.26</v>
      </c>
      <c r="G902">
        <v>41.96</v>
      </c>
      <c r="H902">
        <v>3986.2</v>
      </c>
    </row>
    <row r="903" spans="1:8" x14ac:dyDescent="0.35">
      <c r="A903" t="s">
        <v>7</v>
      </c>
      <c r="B903" t="s">
        <v>12</v>
      </c>
      <c r="C903" t="s">
        <v>9</v>
      </c>
      <c r="D903">
        <v>86</v>
      </c>
      <c r="E903">
        <v>4</v>
      </c>
      <c r="F903">
        <v>4.6500000000000004</v>
      </c>
      <c r="G903">
        <v>50.23</v>
      </c>
      <c r="H903">
        <v>4319.78</v>
      </c>
    </row>
    <row r="904" spans="1:8" x14ac:dyDescent="0.35">
      <c r="A904" t="s">
        <v>6</v>
      </c>
      <c r="B904" t="s">
        <v>12</v>
      </c>
      <c r="C904" t="s">
        <v>9</v>
      </c>
      <c r="D904">
        <v>189</v>
      </c>
      <c r="E904">
        <v>8</v>
      </c>
      <c r="F904">
        <v>4.2300000000000004</v>
      </c>
      <c r="G904">
        <v>40.79</v>
      </c>
      <c r="H904">
        <v>7709.31</v>
      </c>
    </row>
    <row r="905" spans="1:8" x14ac:dyDescent="0.35">
      <c r="A905" t="s">
        <v>8</v>
      </c>
      <c r="B905" t="s">
        <v>12</v>
      </c>
      <c r="C905" t="s">
        <v>9</v>
      </c>
      <c r="D905">
        <v>287</v>
      </c>
      <c r="E905">
        <v>7</v>
      </c>
      <c r="F905">
        <v>2.44</v>
      </c>
      <c r="G905">
        <v>17.43</v>
      </c>
      <c r="H905">
        <v>5002.41</v>
      </c>
    </row>
    <row r="906" spans="1:8" x14ac:dyDescent="0.35">
      <c r="A906" t="s">
        <v>6</v>
      </c>
      <c r="B906" t="s">
        <v>12</v>
      </c>
      <c r="C906" t="s">
        <v>9</v>
      </c>
      <c r="D906">
        <v>295</v>
      </c>
      <c r="E906">
        <v>2</v>
      </c>
      <c r="F906">
        <v>0.68</v>
      </c>
      <c r="G906">
        <v>7.91</v>
      </c>
      <c r="H906">
        <v>2333.4499999999998</v>
      </c>
    </row>
    <row r="907" spans="1:8" x14ac:dyDescent="0.35">
      <c r="A907" t="s">
        <v>6</v>
      </c>
      <c r="B907" t="s">
        <v>12</v>
      </c>
      <c r="C907" t="s">
        <v>9</v>
      </c>
      <c r="D907">
        <v>207</v>
      </c>
      <c r="E907">
        <v>15</v>
      </c>
      <c r="F907">
        <v>7.25</v>
      </c>
      <c r="G907">
        <v>6.32</v>
      </c>
      <c r="H907">
        <v>1308.24</v>
      </c>
    </row>
    <row r="908" spans="1:8" x14ac:dyDescent="0.35">
      <c r="A908" t="s">
        <v>6</v>
      </c>
      <c r="B908" t="s">
        <v>12</v>
      </c>
      <c r="C908" t="s">
        <v>9</v>
      </c>
      <c r="D908">
        <v>127</v>
      </c>
      <c r="E908">
        <v>11</v>
      </c>
      <c r="F908">
        <v>8.66</v>
      </c>
      <c r="G908">
        <v>6.8</v>
      </c>
      <c r="H908">
        <v>863.6</v>
      </c>
    </row>
    <row r="909" spans="1:8" x14ac:dyDescent="0.35">
      <c r="A909" t="s">
        <v>8</v>
      </c>
      <c r="B909" t="s">
        <v>12</v>
      </c>
      <c r="C909" t="s">
        <v>9</v>
      </c>
      <c r="D909">
        <v>65</v>
      </c>
      <c r="E909">
        <v>2</v>
      </c>
      <c r="F909">
        <v>3.08</v>
      </c>
      <c r="G909">
        <v>11.96</v>
      </c>
      <c r="H909">
        <v>777.4</v>
      </c>
    </row>
    <row r="910" spans="1:8" x14ac:dyDescent="0.35">
      <c r="A910" t="s">
        <v>5</v>
      </c>
      <c r="B910" t="s">
        <v>12</v>
      </c>
      <c r="C910" t="s">
        <v>9</v>
      </c>
      <c r="D910">
        <v>249</v>
      </c>
      <c r="E910">
        <v>6</v>
      </c>
      <c r="F910">
        <v>2.41</v>
      </c>
      <c r="G910">
        <v>17.2</v>
      </c>
      <c r="H910">
        <v>4282.8</v>
      </c>
    </row>
    <row r="911" spans="1:8" x14ac:dyDescent="0.35">
      <c r="A911" t="s">
        <v>6</v>
      </c>
      <c r="B911" t="s">
        <v>12</v>
      </c>
      <c r="C911" t="s">
        <v>11</v>
      </c>
      <c r="D911">
        <v>171</v>
      </c>
      <c r="E911">
        <v>8</v>
      </c>
      <c r="F911">
        <v>4.68</v>
      </c>
      <c r="G911">
        <v>34.1</v>
      </c>
      <c r="H911">
        <v>5831.1</v>
      </c>
    </row>
    <row r="912" spans="1:8" x14ac:dyDescent="0.35">
      <c r="A912" t="s">
        <v>6</v>
      </c>
      <c r="B912" t="s">
        <v>12</v>
      </c>
      <c r="C912" t="s">
        <v>9</v>
      </c>
      <c r="D912">
        <v>147</v>
      </c>
      <c r="E912">
        <v>2</v>
      </c>
      <c r="F912">
        <v>1.36</v>
      </c>
      <c r="G912">
        <v>53.61</v>
      </c>
      <c r="H912">
        <v>7880.67</v>
      </c>
    </row>
    <row r="913" spans="1:8" x14ac:dyDescent="0.35">
      <c r="A913" t="s">
        <v>6</v>
      </c>
      <c r="B913" t="s">
        <v>12</v>
      </c>
      <c r="C913" t="s">
        <v>11</v>
      </c>
      <c r="D913">
        <v>62</v>
      </c>
      <c r="E913">
        <v>1</v>
      </c>
      <c r="F913">
        <v>1.61</v>
      </c>
      <c r="G913">
        <v>61.05</v>
      </c>
      <c r="H913">
        <v>3785.1</v>
      </c>
    </row>
    <row r="914" spans="1:8" x14ac:dyDescent="0.35">
      <c r="A914" t="s">
        <v>6</v>
      </c>
      <c r="B914" t="s">
        <v>12</v>
      </c>
      <c r="C914" t="s">
        <v>9</v>
      </c>
      <c r="D914">
        <v>109</v>
      </c>
      <c r="E914">
        <v>0</v>
      </c>
      <c r="F914">
        <v>0</v>
      </c>
      <c r="G914">
        <v>49.99</v>
      </c>
      <c r="H914">
        <v>5448.91</v>
      </c>
    </row>
    <row r="915" spans="1:8" x14ac:dyDescent="0.35">
      <c r="A915" t="s">
        <v>8</v>
      </c>
      <c r="B915" t="s">
        <v>12</v>
      </c>
      <c r="C915" t="s">
        <v>9</v>
      </c>
      <c r="D915">
        <v>159</v>
      </c>
      <c r="E915">
        <v>11</v>
      </c>
      <c r="F915">
        <v>6.92</v>
      </c>
      <c r="G915">
        <v>57.04</v>
      </c>
      <c r="H915">
        <v>9069.36</v>
      </c>
    </row>
    <row r="916" spans="1:8" x14ac:dyDescent="0.35">
      <c r="A916" t="s">
        <v>6</v>
      </c>
      <c r="B916" t="s">
        <v>12</v>
      </c>
      <c r="C916" t="s">
        <v>11</v>
      </c>
      <c r="D916">
        <v>135</v>
      </c>
      <c r="E916">
        <v>7</v>
      </c>
      <c r="F916">
        <v>5.19</v>
      </c>
      <c r="G916">
        <v>66.209999999999994</v>
      </c>
      <c r="H916">
        <v>8938.35</v>
      </c>
    </row>
    <row r="917" spans="1:8" x14ac:dyDescent="0.35">
      <c r="A917" t="s">
        <v>7</v>
      </c>
      <c r="B917" t="s">
        <v>12</v>
      </c>
      <c r="C917" t="s">
        <v>10</v>
      </c>
      <c r="D917">
        <v>169</v>
      </c>
      <c r="E917">
        <v>13</v>
      </c>
      <c r="F917">
        <v>7.69</v>
      </c>
      <c r="G917">
        <v>69.709999999999994</v>
      </c>
      <c r="H917">
        <v>11780.99</v>
      </c>
    </row>
    <row r="918" spans="1:8" x14ac:dyDescent="0.35">
      <c r="A918" t="s">
        <v>8</v>
      </c>
      <c r="B918" t="s">
        <v>12</v>
      </c>
      <c r="C918" t="s">
        <v>9</v>
      </c>
      <c r="D918">
        <v>204</v>
      </c>
      <c r="E918">
        <v>15</v>
      </c>
      <c r="F918">
        <v>7.35</v>
      </c>
      <c r="G918">
        <v>58.09</v>
      </c>
      <c r="H918">
        <v>11850.36</v>
      </c>
    </row>
    <row r="919" spans="1:8" x14ac:dyDescent="0.35">
      <c r="A919" t="s">
        <v>7</v>
      </c>
      <c r="B919" t="s">
        <v>12</v>
      </c>
      <c r="C919" t="s">
        <v>10</v>
      </c>
      <c r="D919">
        <v>197</v>
      </c>
      <c r="E919">
        <v>15</v>
      </c>
      <c r="F919">
        <v>7.61</v>
      </c>
      <c r="G919">
        <v>58.01</v>
      </c>
      <c r="H919">
        <v>11427.97</v>
      </c>
    </row>
    <row r="920" spans="1:8" x14ac:dyDescent="0.35">
      <c r="A920" t="s">
        <v>5</v>
      </c>
      <c r="B920" t="s">
        <v>12</v>
      </c>
      <c r="C920" t="s">
        <v>9</v>
      </c>
      <c r="D920">
        <v>151</v>
      </c>
      <c r="E920">
        <v>15</v>
      </c>
      <c r="F920">
        <v>9.93</v>
      </c>
      <c r="G920">
        <v>24.23</v>
      </c>
      <c r="H920">
        <v>3658.73</v>
      </c>
    </row>
    <row r="921" spans="1:8" x14ac:dyDescent="0.35">
      <c r="A921" t="s">
        <v>8</v>
      </c>
      <c r="B921" t="s">
        <v>12</v>
      </c>
      <c r="C921" t="s">
        <v>9</v>
      </c>
      <c r="D921">
        <v>158</v>
      </c>
      <c r="E921">
        <v>4</v>
      </c>
      <c r="F921">
        <v>2.5299999999999998</v>
      </c>
      <c r="G921">
        <v>29.16</v>
      </c>
      <c r="H921">
        <v>4607.28</v>
      </c>
    </row>
    <row r="922" spans="1:8" x14ac:dyDescent="0.35">
      <c r="A922" t="s">
        <v>7</v>
      </c>
      <c r="B922" t="s">
        <v>12</v>
      </c>
      <c r="C922" t="s">
        <v>10</v>
      </c>
      <c r="D922">
        <v>264</v>
      </c>
      <c r="E922">
        <v>2</v>
      </c>
      <c r="F922">
        <v>0.76</v>
      </c>
      <c r="G922">
        <v>26.28</v>
      </c>
      <c r="H922">
        <v>6937.92</v>
      </c>
    </row>
    <row r="923" spans="1:8" x14ac:dyDescent="0.35">
      <c r="A923" t="s">
        <v>5</v>
      </c>
      <c r="B923" t="s">
        <v>12</v>
      </c>
      <c r="C923" t="s">
        <v>9</v>
      </c>
      <c r="D923">
        <v>74</v>
      </c>
      <c r="E923">
        <v>6</v>
      </c>
      <c r="F923">
        <v>8.11</v>
      </c>
      <c r="G923">
        <v>51.09</v>
      </c>
      <c r="H923">
        <v>3780.66</v>
      </c>
    </row>
    <row r="924" spans="1:8" x14ac:dyDescent="0.35">
      <c r="A924" t="s">
        <v>7</v>
      </c>
      <c r="B924" t="s">
        <v>12</v>
      </c>
      <c r="C924" t="s">
        <v>10</v>
      </c>
      <c r="D924">
        <v>284</v>
      </c>
      <c r="E924">
        <v>11</v>
      </c>
      <c r="F924">
        <v>3.87</v>
      </c>
      <c r="G924">
        <v>26.09</v>
      </c>
      <c r="H924">
        <v>7409.56</v>
      </c>
    </row>
    <row r="925" spans="1:8" x14ac:dyDescent="0.35">
      <c r="A925" t="s">
        <v>5</v>
      </c>
      <c r="B925" t="s">
        <v>12</v>
      </c>
      <c r="C925" t="s">
        <v>9</v>
      </c>
      <c r="D925">
        <v>150</v>
      </c>
      <c r="E925">
        <v>12</v>
      </c>
      <c r="F925">
        <v>8</v>
      </c>
      <c r="G925">
        <v>53.17</v>
      </c>
      <c r="H925">
        <v>7975.5</v>
      </c>
    </row>
    <row r="926" spans="1:8" x14ac:dyDescent="0.35">
      <c r="A926" t="s">
        <v>7</v>
      </c>
      <c r="B926" t="s">
        <v>12</v>
      </c>
      <c r="C926" t="s">
        <v>10</v>
      </c>
      <c r="D926">
        <v>189</v>
      </c>
      <c r="E926">
        <v>1</v>
      </c>
      <c r="F926">
        <v>0.53</v>
      </c>
      <c r="G926">
        <v>24.18</v>
      </c>
      <c r="H926">
        <v>4570.0200000000004</v>
      </c>
    </row>
    <row r="927" spans="1:8" x14ac:dyDescent="0.35">
      <c r="A927" t="s">
        <v>7</v>
      </c>
      <c r="B927" t="s">
        <v>12</v>
      </c>
      <c r="C927" t="s">
        <v>10</v>
      </c>
      <c r="D927">
        <v>290</v>
      </c>
      <c r="E927">
        <v>28</v>
      </c>
      <c r="F927">
        <v>9.66</v>
      </c>
      <c r="G927">
        <v>37.4</v>
      </c>
      <c r="H927">
        <v>10846</v>
      </c>
    </row>
    <row r="928" spans="1:8" x14ac:dyDescent="0.35">
      <c r="A928" t="s">
        <v>5</v>
      </c>
      <c r="B928" t="s">
        <v>12</v>
      </c>
      <c r="C928" t="s">
        <v>9</v>
      </c>
      <c r="D928">
        <v>105</v>
      </c>
      <c r="E928">
        <v>7</v>
      </c>
      <c r="F928">
        <v>6.67</v>
      </c>
      <c r="G928">
        <v>65.650000000000006</v>
      </c>
      <c r="H928">
        <v>6893.25</v>
      </c>
    </row>
    <row r="929" spans="1:8" x14ac:dyDescent="0.35">
      <c r="A929" t="s">
        <v>5</v>
      </c>
      <c r="B929" t="s">
        <v>12</v>
      </c>
      <c r="C929" t="s">
        <v>9</v>
      </c>
      <c r="D929">
        <v>118</v>
      </c>
      <c r="E929">
        <v>7</v>
      </c>
      <c r="F929">
        <v>5.93</v>
      </c>
      <c r="G929">
        <v>23.33</v>
      </c>
      <c r="H929">
        <v>2752.94</v>
      </c>
    </row>
    <row r="930" spans="1:8" x14ac:dyDescent="0.35">
      <c r="A930" t="s">
        <v>8</v>
      </c>
      <c r="B930" t="s">
        <v>12</v>
      </c>
      <c r="C930" t="s">
        <v>9</v>
      </c>
      <c r="D930">
        <v>197</v>
      </c>
      <c r="E930">
        <v>16</v>
      </c>
      <c r="F930">
        <v>8.1199999999999992</v>
      </c>
      <c r="G930">
        <v>10.97</v>
      </c>
      <c r="H930">
        <v>2161.09</v>
      </c>
    </row>
    <row r="931" spans="1:8" x14ac:dyDescent="0.35">
      <c r="A931" t="s">
        <v>6</v>
      </c>
      <c r="B931" t="s">
        <v>12</v>
      </c>
      <c r="C931" t="s">
        <v>11</v>
      </c>
      <c r="D931">
        <v>51</v>
      </c>
      <c r="E931">
        <v>0</v>
      </c>
      <c r="F931">
        <v>0</v>
      </c>
      <c r="G931">
        <v>6.9</v>
      </c>
      <c r="H931">
        <v>351.9</v>
      </c>
    </row>
    <row r="932" spans="1:8" x14ac:dyDescent="0.35">
      <c r="A932" t="s">
        <v>6</v>
      </c>
      <c r="B932" t="s">
        <v>12</v>
      </c>
      <c r="C932" t="s">
        <v>9</v>
      </c>
      <c r="D932">
        <v>259</v>
      </c>
      <c r="E932">
        <v>5</v>
      </c>
      <c r="F932">
        <v>1.93</v>
      </c>
      <c r="G932">
        <v>56.52</v>
      </c>
      <c r="H932">
        <v>14638.68</v>
      </c>
    </row>
    <row r="933" spans="1:8" x14ac:dyDescent="0.35">
      <c r="A933" t="s">
        <v>8</v>
      </c>
      <c r="B933" t="s">
        <v>12</v>
      </c>
      <c r="C933" t="s">
        <v>9</v>
      </c>
      <c r="D933">
        <v>148</v>
      </c>
      <c r="E933">
        <v>14</v>
      </c>
      <c r="F933">
        <v>9.4600000000000009</v>
      </c>
      <c r="G933">
        <v>52.87</v>
      </c>
      <c r="H933">
        <v>7824.76</v>
      </c>
    </row>
    <row r="934" spans="1:8" x14ac:dyDescent="0.35">
      <c r="A934" t="s">
        <v>6</v>
      </c>
      <c r="B934" t="s">
        <v>12</v>
      </c>
      <c r="C934" t="s">
        <v>9</v>
      </c>
      <c r="D934">
        <v>263</v>
      </c>
      <c r="E934">
        <v>15</v>
      </c>
      <c r="F934">
        <v>5.7</v>
      </c>
      <c r="G934">
        <v>48.1</v>
      </c>
      <c r="H934">
        <v>12650.3</v>
      </c>
    </row>
    <row r="935" spans="1:8" x14ac:dyDescent="0.35">
      <c r="A935" t="s">
        <v>8</v>
      </c>
      <c r="B935" t="s">
        <v>12</v>
      </c>
      <c r="C935" t="s">
        <v>9</v>
      </c>
      <c r="D935">
        <v>116</v>
      </c>
      <c r="E935">
        <v>6</v>
      </c>
      <c r="F935">
        <v>5.17</v>
      </c>
      <c r="G935">
        <v>48.01</v>
      </c>
      <c r="H935">
        <v>5569.16</v>
      </c>
    </row>
    <row r="936" spans="1:8" x14ac:dyDescent="0.35">
      <c r="A936" t="s">
        <v>8</v>
      </c>
      <c r="B936" t="s">
        <v>12</v>
      </c>
      <c r="C936" t="s">
        <v>9</v>
      </c>
      <c r="D936">
        <v>282</v>
      </c>
      <c r="E936">
        <v>1</v>
      </c>
      <c r="F936">
        <v>0.35</v>
      </c>
      <c r="G936">
        <v>20.99</v>
      </c>
      <c r="H936">
        <v>5919.18</v>
      </c>
    </row>
    <row r="937" spans="1:8" x14ac:dyDescent="0.35">
      <c r="A937" t="s">
        <v>7</v>
      </c>
      <c r="B937" t="s">
        <v>12</v>
      </c>
      <c r="C937" t="s">
        <v>9</v>
      </c>
      <c r="D937">
        <v>289</v>
      </c>
      <c r="E937">
        <v>20</v>
      </c>
      <c r="F937">
        <v>6.92</v>
      </c>
      <c r="G937">
        <v>57.32</v>
      </c>
      <c r="H937">
        <v>16565.48</v>
      </c>
    </row>
    <row r="938" spans="1:8" x14ac:dyDescent="0.35">
      <c r="A938" t="s">
        <v>7</v>
      </c>
      <c r="B938" t="s">
        <v>12</v>
      </c>
      <c r="C938" t="s">
        <v>9</v>
      </c>
      <c r="D938">
        <v>280</v>
      </c>
      <c r="E938">
        <v>5</v>
      </c>
      <c r="F938">
        <v>1.79</v>
      </c>
      <c r="G938">
        <v>9.59</v>
      </c>
      <c r="H938">
        <v>2685.2</v>
      </c>
    </row>
    <row r="939" spans="1:8" x14ac:dyDescent="0.35">
      <c r="A939" t="s">
        <v>6</v>
      </c>
      <c r="B939" t="s">
        <v>12</v>
      </c>
      <c r="C939" t="s">
        <v>9</v>
      </c>
      <c r="D939">
        <v>218</v>
      </c>
      <c r="E939">
        <v>3</v>
      </c>
      <c r="F939">
        <v>1.38</v>
      </c>
      <c r="G939">
        <v>56.99</v>
      </c>
      <c r="H939">
        <v>12423.82</v>
      </c>
    </row>
    <row r="940" spans="1:8" x14ac:dyDescent="0.35">
      <c r="A940" t="s">
        <v>5</v>
      </c>
      <c r="B940" t="s">
        <v>12</v>
      </c>
      <c r="C940" t="s">
        <v>9</v>
      </c>
      <c r="D940">
        <v>101</v>
      </c>
      <c r="E940">
        <v>7</v>
      </c>
      <c r="F940">
        <v>6.93</v>
      </c>
      <c r="G940">
        <v>8.52</v>
      </c>
      <c r="H940">
        <v>860.52</v>
      </c>
    </row>
    <row r="941" spans="1:8" x14ac:dyDescent="0.35">
      <c r="A941" t="s">
        <v>5</v>
      </c>
      <c r="B941" t="s">
        <v>12</v>
      </c>
      <c r="C941" t="s">
        <v>9</v>
      </c>
      <c r="D941">
        <v>147</v>
      </c>
      <c r="E941">
        <v>8</v>
      </c>
      <c r="F941">
        <v>5.44</v>
      </c>
      <c r="G941">
        <v>59.52</v>
      </c>
      <c r="H941">
        <v>8749.44</v>
      </c>
    </row>
    <row r="942" spans="1:8" x14ac:dyDescent="0.35">
      <c r="A942" t="s">
        <v>6</v>
      </c>
      <c r="B942" t="s">
        <v>12</v>
      </c>
      <c r="C942" t="s">
        <v>9</v>
      </c>
      <c r="D942">
        <v>288</v>
      </c>
      <c r="E942">
        <v>28</v>
      </c>
      <c r="F942">
        <v>9.7200000000000006</v>
      </c>
      <c r="G942">
        <v>54.03</v>
      </c>
      <c r="H942">
        <v>15560.64</v>
      </c>
    </row>
    <row r="943" spans="1:8" x14ac:dyDescent="0.35">
      <c r="A943" t="s">
        <v>5</v>
      </c>
      <c r="B943" t="s">
        <v>12</v>
      </c>
      <c r="C943" t="s">
        <v>9</v>
      </c>
      <c r="D943">
        <v>107</v>
      </c>
      <c r="E943">
        <v>6</v>
      </c>
      <c r="F943">
        <v>5.61</v>
      </c>
      <c r="G943">
        <v>16.3</v>
      </c>
      <c r="H943">
        <v>1744.1</v>
      </c>
    </row>
    <row r="944" spans="1:8" x14ac:dyDescent="0.35">
      <c r="A944" t="s">
        <v>6</v>
      </c>
      <c r="B944" t="s">
        <v>12</v>
      </c>
      <c r="C944" t="s">
        <v>9</v>
      </c>
      <c r="D944">
        <v>206</v>
      </c>
      <c r="E944">
        <v>18</v>
      </c>
      <c r="F944">
        <v>8.74</v>
      </c>
      <c r="G944">
        <v>41.92</v>
      </c>
      <c r="H944">
        <v>8635.52</v>
      </c>
    </row>
    <row r="945" spans="1:8" x14ac:dyDescent="0.35">
      <c r="A945" t="s">
        <v>5</v>
      </c>
      <c r="B945" t="s">
        <v>12</v>
      </c>
      <c r="C945" t="s">
        <v>9</v>
      </c>
      <c r="D945">
        <v>282</v>
      </c>
      <c r="E945">
        <v>19</v>
      </c>
      <c r="F945">
        <v>6.74</v>
      </c>
      <c r="G945">
        <v>24.23</v>
      </c>
      <c r="H945">
        <v>6832.86</v>
      </c>
    </row>
    <row r="946" spans="1:8" x14ac:dyDescent="0.35">
      <c r="A946" t="s">
        <v>7</v>
      </c>
      <c r="B946" t="s">
        <v>12</v>
      </c>
      <c r="C946" t="s">
        <v>9</v>
      </c>
      <c r="D946">
        <v>157</v>
      </c>
      <c r="E946">
        <v>15</v>
      </c>
      <c r="F946">
        <v>9.5500000000000007</v>
      </c>
      <c r="G946">
        <v>18.66</v>
      </c>
      <c r="H946">
        <v>2929.62</v>
      </c>
    </row>
    <row r="947" spans="1:8" x14ac:dyDescent="0.35">
      <c r="A947" t="s">
        <v>8</v>
      </c>
      <c r="B947" t="s">
        <v>12</v>
      </c>
      <c r="C947" t="s">
        <v>9</v>
      </c>
      <c r="D947">
        <v>98</v>
      </c>
      <c r="E947">
        <v>6</v>
      </c>
      <c r="F947">
        <v>6.12</v>
      </c>
      <c r="G947">
        <v>36.06</v>
      </c>
      <c r="H947">
        <v>3533.88</v>
      </c>
    </row>
    <row r="948" spans="1:8" x14ac:dyDescent="0.35">
      <c r="A948" t="s">
        <v>8</v>
      </c>
      <c r="B948" t="s">
        <v>12</v>
      </c>
      <c r="C948" t="s">
        <v>9</v>
      </c>
      <c r="D948">
        <v>194</v>
      </c>
      <c r="E948">
        <v>11</v>
      </c>
      <c r="F948">
        <v>5.67</v>
      </c>
      <c r="G948">
        <v>38.130000000000003</v>
      </c>
      <c r="H948">
        <v>7397.22</v>
      </c>
    </row>
    <row r="949" spans="1:8" x14ac:dyDescent="0.35">
      <c r="A949" t="s">
        <v>6</v>
      </c>
      <c r="B949" t="s">
        <v>12</v>
      </c>
      <c r="C949" t="s">
        <v>9</v>
      </c>
      <c r="D949">
        <v>151</v>
      </c>
      <c r="E949">
        <v>15</v>
      </c>
      <c r="F949">
        <v>9.93</v>
      </c>
      <c r="G949">
        <v>8.43</v>
      </c>
      <c r="H949">
        <v>1272.93</v>
      </c>
    </row>
    <row r="950" spans="1:8" x14ac:dyDescent="0.35">
      <c r="A950" t="s">
        <v>6</v>
      </c>
      <c r="B950" t="s">
        <v>12</v>
      </c>
      <c r="C950" t="s">
        <v>11</v>
      </c>
      <c r="D950">
        <v>169</v>
      </c>
      <c r="E950">
        <v>0</v>
      </c>
      <c r="F950">
        <v>0</v>
      </c>
      <c r="G950">
        <v>47.65</v>
      </c>
      <c r="H950">
        <v>8052.85</v>
      </c>
    </row>
    <row r="951" spans="1:8" x14ac:dyDescent="0.35">
      <c r="A951" t="s">
        <v>5</v>
      </c>
      <c r="B951" t="s">
        <v>12</v>
      </c>
      <c r="C951" t="s">
        <v>9</v>
      </c>
      <c r="D951">
        <v>89</v>
      </c>
      <c r="E951">
        <v>5</v>
      </c>
      <c r="F951">
        <v>5.62</v>
      </c>
      <c r="G951">
        <v>61.39</v>
      </c>
      <c r="H951">
        <v>5463.71</v>
      </c>
    </row>
    <row r="952" spans="1:8" x14ac:dyDescent="0.35">
      <c r="A952" t="s">
        <v>6</v>
      </c>
      <c r="B952" t="s">
        <v>12</v>
      </c>
      <c r="C952" t="s">
        <v>11</v>
      </c>
      <c r="D952">
        <v>113</v>
      </c>
      <c r="E952">
        <v>11</v>
      </c>
      <c r="F952">
        <v>9.73</v>
      </c>
      <c r="G952">
        <v>55.02</v>
      </c>
      <c r="H952">
        <v>6217.26</v>
      </c>
    </row>
    <row r="953" spans="1:8" x14ac:dyDescent="0.35">
      <c r="A953" t="s">
        <v>6</v>
      </c>
      <c r="B953" t="s">
        <v>12</v>
      </c>
      <c r="C953" t="s">
        <v>9</v>
      </c>
      <c r="D953">
        <v>69</v>
      </c>
      <c r="E953">
        <v>4</v>
      </c>
      <c r="F953">
        <v>5.8</v>
      </c>
      <c r="G953">
        <v>29.66</v>
      </c>
      <c r="H953">
        <v>2046.54</v>
      </c>
    </row>
    <row r="954" spans="1:8" x14ac:dyDescent="0.35">
      <c r="A954" t="s">
        <v>8</v>
      </c>
      <c r="B954" t="s">
        <v>12</v>
      </c>
      <c r="C954" t="s">
        <v>9</v>
      </c>
      <c r="D954">
        <v>178</v>
      </c>
      <c r="E954">
        <v>1</v>
      </c>
      <c r="F954">
        <v>0.56000000000000005</v>
      </c>
      <c r="G954">
        <v>18.54</v>
      </c>
      <c r="H954">
        <v>3300.12</v>
      </c>
    </row>
    <row r="955" spans="1:8" x14ac:dyDescent="0.35">
      <c r="A955" t="s">
        <v>6</v>
      </c>
      <c r="B955" t="s">
        <v>12</v>
      </c>
      <c r="C955" t="s">
        <v>11</v>
      </c>
      <c r="D955">
        <v>146</v>
      </c>
      <c r="E955">
        <v>13</v>
      </c>
      <c r="F955">
        <v>8.9</v>
      </c>
      <c r="G955">
        <v>11.37</v>
      </c>
      <c r="H955">
        <v>1660.02</v>
      </c>
    </row>
    <row r="956" spans="1:8" x14ac:dyDescent="0.35">
      <c r="A956" t="s">
        <v>6</v>
      </c>
      <c r="B956" t="s">
        <v>12</v>
      </c>
      <c r="C956" t="s">
        <v>9</v>
      </c>
      <c r="D956">
        <v>199</v>
      </c>
      <c r="E956">
        <v>3</v>
      </c>
      <c r="F956">
        <v>1.51</v>
      </c>
      <c r="G956">
        <v>8.35</v>
      </c>
      <c r="H956">
        <v>1661.65</v>
      </c>
    </row>
    <row r="957" spans="1:8" x14ac:dyDescent="0.35">
      <c r="A957" t="s">
        <v>7</v>
      </c>
      <c r="B957" t="s">
        <v>12</v>
      </c>
      <c r="C957" t="s">
        <v>10</v>
      </c>
      <c r="D957">
        <v>204</v>
      </c>
      <c r="E957">
        <v>20</v>
      </c>
      <c r="F957">
        <v>9.8000000000000007</v>
      </c>
      <c r="G957">
        <v>7.86</v>
      </c>
      <c r="H957">
        <v>1603.44</v>
      </c>
    </row>
    <row r="958" spans="1:8" x14ac:dyDescent="0.35">
      <c r="A958" t="s">
        <v>8</v>
      </c>
      <c r="B958" t="s">
        <v>12</v>
      </c>
      <c r="C958" t="s">
        <v>9</v>
      </c>
      <c r="D958">
        <v>264</v>
      </c>
      <c r="E958">
        <v>6</v>
      </c>
      <c r="F958">
        <v>2.27</v>
      </c>
      <c r="G958">
        <v>49.74</v>
      </c>
      <c r="H958">
        <v>13131.36</v>
      </c>
    </row>
    <row r="959" spans="1:8" x14ac:dyDescent="0.35">
      <c r="A959" t="s">
        <v>6</v>
      </c>
      <c r="B959" t="s">
        <v>12</v>
      </c>
      <c r="C959" t="s">
        <v>9</v>
      </c>
      <c r="D959">
        <v>293</v>
      </c>
      <c r="E959">
        <v>27</v>
      </c>
      <c r="F959">
        <v>9.2200000000000006</v>
      </c>
      <c r="G959">
        <v>10.54</v>
      </c>
      <c r="H959">
        <v>3088.22</v>
      </c>
    </row>
    <row r="960" spans="1:8" x14ac:dyDescent="0.35">
      <c r="A960" t="s">
        <v>7</v>
      </c>
      <c r="B960" t="s">
        <v>12</v>
      </c>
      <c r="C960" t="s">
        <v>10</v>
      </c>
      <c r="D960">
        <v>128</v>
      </c>
      <c r="E960">
        <v>6</v>
      </c>
      <c r="F960">
        <v>4.6900000000000004</v>
      </c>
      <c r="G960">
        <v>52.05</v>
      </c>
      <c r="H960">
        <v>6662.4</v>
      </c>
    </row>
    <row r="961" spans="1:8" x14ac:dyDescent="0.35">
      <c r="A961" t="s">
        <v>6</v>
      </c>
      <c r="B961" t="s">
        <v>12</v>
      </c>
      <c r="C961" t="s">
        <v>9</v>
      </c>
      <c r="D961">
        <v>105</v>
      </c>
      <c r="E961">
        <v>1</v>
      </c>
      <c r="F961">
        <v>0.95</v>
      </c>
      <c r="G961">
        <v>12.67</v>
      </c>
      <c r="H961">
        <v>1330.35</v>
      </c>
    </row>
    <row r="962" spans="1:8" x14ac:dyDescent="0.35">
      <c r="A962" t="s">
        <v>7</v>
      </c>
      <c r="B962" t="s">
        <v>12</v>
      </c>
      <c r="C962" t="s">
        <v>10</v>
      </c>
      <c r="D962">
        <v>73</v>
      </c>
      <c r="E962">
        <v>2</v>
      </c>
      <c r="F962">
        <v>2.74</v>
      </c>
      <c r="G962">
        <v>29.42</v>
      </c>
      <c r="H962">
        <v>2147.66</v>
      </c>
    </row>
    <row r="963" spans="1:8" x14ac:dyDescent="0.35">
      <c r="A963" t="s">
        <v>7</v>
      </c>
      <c r="B963" t="s">
        <v>12</v>
      </c>
      <c r="C963" t="s">
        <v>9</v>
      </c>
      <c r="D963">
        <v>103</v>
      </c>
      <c r="E963">
        <v>9</v>
      </c>
      <c r="F963">
        <v>8.74</v>
      </c>
      <c r="G963">
        <v>54.92</v>
      </c>
      <c r="H963">
        <v>5656.76</v>
      </c>
    </row>
    <row r="964" spans="1:8" x14ac:dyDescent="0.35">
      <c r="A964" t="s">
        <v>7</v>
      </c>
      <c r="B964" t="s">
        <v>12</v>
      </c>
      <c r="C964" t="s">
        <v>10</v>
      </c>
      <c r="D964">
        <v>244</v>
      </c>
      <c r="E964">
        <v>16</v>
      </c>
      <c r="F964">
        <v>6.56</v>
      </c>
      <c r="G964">
        <v>58.72</v>
      </c>
      <c r="H964">
        <v>14327.68</v>
      </c>
    </row>
    <row r="965" spans="1:8" x14ac:dyDescent="0.35">
      <c r="A965" t="s">
        <v>8</v>
      </c>
      <c r="B965" t="s">
        <v>12</v>
      </c>
      <c r="C965" t="s">
        <v>9</v>
      </c>
      <c r="D965">
        <v>281</v>
      </c>
      <c r="E965">
        <v>19</v>
      </c>
      <c r="F965">
        <v>6.76</v>
      </c>
      <c r="G965">
        <v>61.53</v>
      </c>
      <c r="H965">
        <v>17289.93</v>
      </c>
    </row>
    <row r="966" spans="1:8" x14ac:dyDescent="0.35">
      <c r="A966" t="s">
        <v>6</v>
      </c>
      <c r="B966" t="s">
        <v>12</v>
      </c>
      <c r="C966" t="s">
        <v>11</v>
      </c>
      <c r="D966">
        <v>246</v>
      </c>
      <c r="E966">
        <v>18</v>
      </c>
      <c r="F966">
        <v>7.32</v>
      </c>
      <c r="G966">
        <v>27.08</v>
      </c>
      <c r="H966">
        <v>6661.68</v>
      </c>
    </row>
    <row r="967" spans="1:8" x14ac:dyDescent="0.35">
      <c r="A967" t="s">
        <v>8</v>
      </c>
      <c r="B967" t="s">
        <v>12</v>
      </c>
      <c r="C967" t="s">
        <v>9</v>
      </c>
      <c r="D967">
        <v>120</v>
      </c>
      <c r="E967">
        <v>10</v>
      </c>
      <c r="F967">
        <v>8.33</v>
      </c>
      <c r="G967">
        <v>8.92</v>
      </c>
      <c r="H967">
        <v>1070.4000000000001</v>
      </c>
    </row>
    <row r="968" spans="1:8" x14ac:dyDescent="0.35">
      <c r="A968" t="s">
        <v>6</v>
      </c>
      <c r="B968" t="s">
        <v>12</v>
      </c>
      <c r="C968" t="s">
        <v>9</v>
      </c>
      <c r="D968">
        <v>293</v>
      </c>
      <c r="E968">
        <v>3</v>
      </c>
      <c r="F968">
        <v>1.02</v>
      </c>
      <c r="G968">
        <v>29.26</v>
      </c>
      <c r="H968">
        <v>8573.18</v>
      </c>
    </row>
    <row r="969" spans="1:8" x14ac:dyDescent="0.35">
      <c r="A969" t="s">
        <v>6</v>
      </c>
      <c r="B969" t="s">
        <v>12</v>
      </c>
      <c r="C969" t="s">
        <v>9</v>
      </c>
      <c r="D969">
        <v>128</v>
      </c>
      <c r="E969">
        <v>9</v>
      </c>
      <c r="F969">
        <v>7.03</v>
      </c>
      <c r="G969">
        <v>48.56</v>
      </c>
      <c r="H969">
        <v>6215.68</v>
      </c>
    </row>
    <row r="970" spans="1:8" x14ac:dyDescent="0.35">
      <c r="A970" t="s">
        <v>6</v>
      </c>
      <c r="B970" t="s">
        <v>12</v>
      </c>
      <c r="C970" t="s">
        <v>9</v>
      </c>
      <c r="D970">
        <v>270</v>
      </c>
      <c r="E970">
        <v>19</v>
      </c>
      <c r="F970">
        <v>7.04</v>
      </c>
      <c r="G970">
        <v>48.33</v>
      </c>
      <c r="H970">
        <v>13049.1</v>
      </c>
    </row>
    <row r="971" spans="1:8" x14ac:dyDescent="0.35">
      <c r="A971" t="s">
        <v>8</v>
      </c>
      <c r="B971" t="s">
        <v>12</v>
      </c>
      <c r="C971" t="s">
        <v>9</v>
      </c>
      <c r="D971">
        <v>223</v>
      </c>
      <c r="E971">
        <v>14</v>
      </c>
      <c r="F971">
        <v>6.28</v>
      </c>
      <c r="G971">
        <v>16.61</v>
      </c>
      <c r="H971">
        <v>3704.03</v>
      </c>
    </row>
    <row r="972" spans="1:8" x14ac:dyDescent="0.35">
      <c r="A972" t="s">
        <v>7</v>
      </c>
      <c r="B972" t="s">
        <v>12</v>
      </c>
      <c r="C972" t="s">
        <v>9</v>
      </c>
      <c r="D972">
        <v>203</v>
      </c>
      <c r="E972">
        <v>20</v>
      </c>
      <c r="F972">
        <v>9.85</v>
      </c>
      <c r="G972">
        <v>63.73</v>
      </c>
      <c r="H972">
        <v>12937.19</v>
      </c>
    </row>
    <row r="973" spans="1:8" x14ac:dyDescent="0.35">
      <c r="A973" t="s">
        <v>5</v>
      </c>
      <c r="B973" t="s">
        <v>12</v>
      </c>
      <c r="C973" t="s">
        <v>9</v>
      </c>
      <c r="D973">
        <v>130</v>
      </c>
      <c r="E973">
        <v>0</v>
      </c>
      <c r="F973">
        <v>0</v>
      </c>
      <c r="G973">
        <v>10.43</v>
      </c>
      <c r="H973">
        <v>1355.9</v>
      </c>
    </row>
    <row r="974" spans="1:8" x14ac:dyDescent="0.35">
      <c r="A974" t="s">
        <v>7</v>
      </c>
      <c r="B974" t="s">
        <v>12</v>
      </c>
      <c r="C974" t="s">
        <v>9</v>
      </c>
      <c r="D974">
        <v>107</v>
      </c>
      <c r="E974">
        <v>5</v>
      </c>
      <c r="F974">
        <v>4.67</v>
      </c>
      <c r="G974">
        <v>40.79</v>
      </c>
      <c r="H974">
        <v>4364.53</v>
      </c>
    </row>
    <row r="975" spans="1:8" x14ac:dyDescent="0.35">
      <c r="A975" t="s">
        <v>8</v>
      </c>
      <c r="B975" t="s">
        <v>12</v>
      </c>
      <c r="C975" t="s">
        <v>9</v>
      </c>
      <c r="D975">
        <v>226</v>
      </c>
      <c r="E975">
        <v>6</v>
      </c>
      <c r="F975">
        <v>2.65</v>
      </c>
      <c r="G975">
        <v>69.48</v>
      </c>
      <c r="H975">
        <v>15702.48</v>
      </c>
    </row>
    <row r="976" spans="1:8" x14ac:dyDescent="0.35">
      <c r="A976" t="s">
        <v>6</v>
      </c>
      <c r="B976" t="s">
        <v>12</v>
      </c>
      <c r="C976" t="s">
        <v>9</v>
      </c>
      <c r="D976">
        <v>197</v>
      </c>
      <c r="E976">
        <v>16</v>
      </c>
      <c r="F976">
        <v>8.1199999999999992</v>
      </c>
      <c r="G976">
        <v>8.3000000000000007</v>
      </c>
      <c r="H976">
        <v>1635.1</v>
      </c>
    </row>
    <row r="977" spans="1:8" x14ac:dyDescent="0.35">
      <c r="A977" t="s">
        <v>7</v>
      </c>
      <c r="B977" t="s">
        <v>12</v>
      </c>
      <c r="C977" t="s">
        <v>9</v>
      </c>
      <c r="D977">
        <v>159</v>
      </c>
      <c r="E977">
        <v>9</v>
      </c>
      <c r="F977">
        <v>5.66</v>
      </c>
      <c r="G977">
        <v>59.37</v>
      </c>
      <c r="H977">
        <v>9439.83</v>
      </c>
    </row>
    <row r="978" spans="1:8" x14ac:dyDescent="0.35">
      <c r="A978" t="s">
        <v>5</v>
      </c>
      <c r="B978" t="s">
        <v>12</v>
      </c>
      <c r="C978" t="s">
        <v>9</v>
      </c>
      <c r="D978">
        <v>187</v>
      </c>
      <c r="E978">
        <v>5</v>
      </c>
      <c r="F978">
        <v>2.67</v>
      </c>
      <c r="G978">
        <v>34.06</v>
      </c>
      <c r="H978">
        <v>6369.22</v>
      </c>
    </row>
    <row r="979" spans="1:8" x14ac:dyDescent="0.35">
      <c r="A979" t="s">
        <v>7</v>
      </c>
      <c r="B979" t="s">
        <v>12</v>
      </c>
      <c r="C979" t="s">
        <v>9</v>
      </c>
      <c r="D979">
        <v>196</v>
      </c>
      <c r="E979">
        <v>14</v>
      </c>
      <c r="F979">
        <v>7.14</v>
      </c>
      <c r="G979">
        <v>50.66</v>
      </c>
      <c r="H979">
        <v>9929.36</v>
      </c>
    </row>
    <row r="980" spans="1:8" x14ac:dyDescent="0.35">
      <c r="A980" t="s">
        <v>7</v>
      </c>
      <c r="B980" t="s">
        <v>12</v>
      </c>
      <c r="C980" t="s">
        <v>10</v>
      </c>
      <c r="D980">
        <v>179</v>
      </c>
      <c r="E980">
        <v>15</v>
      </c>
      <c r="F980">
        <v>8.3800000000000008</v>
      </c>
      <c r="G980">
        <v>57.23</v>
      </c>
      <c r="H980">
        <v>10244.17</v>
      </c>
    </row>
    <row r="981" spans="1:8" x14ac:dyDescent="0.35">
      <c r="A981" t="s">
        <v>5</v>
      </c>
      <c r="B981" t="s">
        <v>12</v>
      </c>
      <c r="C981" t="s">
        <v>9</v>
      </c>
      <c r="D981">
        <v>109</v>
      </c>
      <c r="E981">
        <v>0</v>
      </c>
      <c r="F981">
        <v>0</v>
      </c>
      <c r="G981">
        <v>9.7200000000000006</v>
      </c>
      <c r="H981">
        <v>1059.48</v>
      </c>
    </row>
    <row r="982" spans="1:8" x14ac:dyDescent="0.35">
      <c r="A982" t="s">
        <v>6</v>
      </c>
      <c r="B982" t="s">
        <v>12</v>
      </c>
      <c r="C982" t="s">
        <v>11</v>
      </c>
      <c r="D982">
        <v>128</v>
      </c>
      <c r="E982">
        <v>9</v>
      </c>
      <c r="F982">
        <v>7.03</v>
      </c>
      <c r="G982">
        <v>6.91</v>
      </c>
      <c r="H982">
        <v>884.48</v>
      </c>
    </row>
    <row r="983" spans="1:8" x14ac:dyDescent="0.35">
      <c r="A983" t="s">
        <v>8</v>
      </c>
      <c r="B983" t="s">
        <v>12</v>
      </c>
      <c r="C983" t="s">
        <v>9</v>
      </c>
      <c r="D983">
        <v>224</v>
      </c>
      <c r="E983">
        <v>2</v>
      </c>
      <c r="F983">
        <v>0.89</v>
      </c>
      <c r="G983">
        <v>26.04</v>
      </c>
      <c r="H983">
        <v>5832.96</v>
      </c>
    </row>
    <row r="984" spans="1:8" x14ac:dyDescent="0.35">
      <c r="A984" t="s">
        <v>6</v>
      </c>
      <c r="B984" t="s">
        <v>12</v>
      </c>
      <c r="C984" t="s">
        <v>11</v>
      </c>
      <c r="D984">
        <v>281</v>
      </c>
      <c r="E984">
        <v>11</v>
      </c>
      <c r="F984">
        <v>3.91</v>
      </c>
      <c r="G984">
        <v>15.77</v>
      </c>
      <c r="H984">
        <v>4431.37</v>
      </c>
    </row>
    <row r="985" spans="1:8" x14ac:dyDescent="0.35">
      <c r="A985" t="s">
        <v>8</v>
      </c>
      <c r="B985" t="s">
        <v>12</v>
      </c>
      <c r="C985" t="s">
        <v>9</v>
      </c>
      <c r="D985">
        <v>242</v>
      </c>
      <c r="E985">
        <v>18</v>
      </c>
      <c r="F985">
        <v>7.44</v>
      </c>
      <c r="G985">
        <v>13.14</v>
      </c>
      <c r="H985">
        <v>3179.88</v>
      </c>
    </row>
    <row r="986" spans="1:8" x14ac:dyDescent="0.35">
      <c r="A986" t="s">
        <v>7</v>
      </c>
      <c r="B986" t="s">
        <v>12</v>
      </c>
      <c r="C986" t="s">
        <v>9</v>
      </c>
      <c r="D986">
        <v>161</v>
      </c>
      <c r="E986">
        <v>10</v>
      </c>
      <c r="F986">
        <v>6.21</v>
      </c>
      <c r="G986">
        <v>68.38</v>
      </c>
      <c r="H986">
        <v>11009.18</v>
      </c>
    </row>
    <row r="987" spans="1:8" x14ac:dyDescent="0.35">
      <c r="A987" t="s">
        <v>6</v>
      </c>
      <c r="B987" t="s">
        <v>12</v>
      </c>
      <c r="C987" t="s">
        <v>11</v>
      </c>
      <c r="D987">
        <v>119</v>
      </c>
      <c r="E987">
        <v>5</v>
      </c>
      <c r="F987">
        <v>4.2</v>
      </c>
      <c r="G987">
        <v>51.23</v>
      </c>
      <c r="H987">
        <v>6096.37</v>
      </c>
    </row>
    <row r="988" spans="1:8" x14ac:dyDescent="0.35">
      <c r="A988" t="s">
        <v>7</v>
      </c>
      <c r="B988" t="s">
        <v>12</v>
      </c>
      <c r="C988" t="s">
        <v>10</v>
      </c>
      <c r="D988">
        <v>250</v>
      </c>
      <c r="E988">
        <v>15</v>
      </c>
      <c r="F988">
        <v>6</v>
      </c>
      <c r="G988">
        <v>38.93</v>
      </c>
      <c r="H988">
        <v>9732.5</v>
      </c>
    </row>
    <row r="989" spans="1:8" x14ac:dyDescent="0.35">
      <c r="A989" t="s">
        <v>6</v>
      </c>
      <c r="B989" t="s">
        <v>12</v>
      </c>
      <c r="C989" t="s">
        <v>11</v>
      </c>
      <c r="D989">
        <v>123</v>
      </c>
      <c r="E989">
        <v>8</v>
      </c>
      <c r="F989">
        <v>6.5</v>
      </c>
      <c r="G989">
        <v>33.85</v>
      </c>
      <c r="H989">
        <v>4163.55</v>
      </c>
    </row>
    <row r="990" spans="1:8" x14ac:dyDescent="0.35">
      <c r="A990" t="s">
        <v>6</v>
      </c>
      <c r="B990" t="s">
        <v>12</v>
      </c>
      <c r="C990" t="s">
        <v>11</v>
      </c>
      <c r="D990">
        <v>117</v>
      </c>
      <c r="E990">
        <v>5</v>
      </c>
      <c r="F990">
        <v>4.2699999999999996</v>
      </c>
      <c r="G990">
        <v>28.09</v>
      </c>
      <c r="H990">
        <v>3286.53</v>
      </c>
    </row>
    <row r="991" spans="1:8" x14ac:dyDescent="0.35">
      <c r="A991" t="s">
        <v>6</v>
      </c>
      <c r="B991" t="s">
        <v>12</v>
      </c>
      <c r="C991" t="s">
        <v>11</v>
      </c>
      <c r="D991">
        <v>228</v>
      </c>
      <c r="E991">
        <v>11</v>
      </c>
      <c r="F991">
        <v>4.82</v>
      </c>
      <c r="G991">
        <v>8.5299999999999994</v>
      </c>
      <c r="H991">
        <v>1944.84</v>
      </c>
    </row>
    <row r="992" spans="1:8" x14ac:dyDescent="0.35">
      <c r="A992" t="s">
        <v>7</v>
      </c>
      <c r="B992" t="s">
        <v>12</v>
      </c>
      <c r="C992" t="s">
        <v>9</v>
      </c>
      <c r="D992">
        <v>143</v>
      </c>
      <c r="E992">
        <v>8</v>
      </c>
      <c r="F992">
        <v>5.59</v>
      </c>
      <c r="G992">
        <v>14.79</v>
      </c>
      <c r="H992">
        <v>2114.9699999999998</v>
      </c>
    </row>
    <row r="993" spans="1:8" x14ac:dyDescent="0.35">
      <c r="A993" t="s">
        <v>5</v>
      </c>
      <c r="B993" t="s">
        <v>12</v>
      </c>
      <c r="C993" t="s">
        <v>9</v>
      </c>
      <c r="D993">
        <v>270</v>
      </c>
      <c r="E993">
        <v>27</v>
      </c>
      <c r="F993">
        <v>10</v>
      </c>
      <c r="G993">
        <v>56.02</v>
      </c>
      <c r="H993">
        <v>15125.4</v>
      </c>
    </row>
    <row r="994" spans="1:8" x14ac:dyDescent="0.35">
      <c r="A994" t="s">
        <v>6</v>
      </c>
      <c r="B994" t="s">
        <v>12</v>
      </c>
      <c r="C994" t="s">
        <v>9</v>
      </c>
      <c r="D994">
        <v>252</v>
      </c>
      <c r="E994">
        <v>25</v>
      </c>
      <c r="F994">
        <v>9.92</v>
      </c>
      <c r="G994">
        <v>44.56</v>
      </c>
      <c r="H994">
        <v>11229.12</v>
      </c>
    </row>
    <row r="995" spans="1:8" x14ac:dyDescent="0.35">
      <c r="A995" t="s">
        <v>6</v>
      </c>
      <c r="B995" t="s">
        <v>12</v>
      </c>
      <c r="C995" t="s">
        <v>9</v>
      </c>
      <c r="D995">
        <v>98</v>
      </c>
      <c r="E995">
        <v>0</v>
      </c>
      <c r="F995">
        <v>0</v>
      </c>
      <c r="G995">
        <v>59.05</v>
      </c>
      <c r="H995">
        <v>5786.9</v>
      </c>
    </row>
    <row r="996" spans="1:8" x14ac:dyDescent="0.35">
      <c r="A996" t="s">
        <v>8</v>
      </c>
      <c r="B996" t="s">
        <v>12</v>
      </c>
      <c r="C996" t="s">
        <v>9</v>
      </c>
      <c r="D996">
        <v>204</v>
      </c>
      <c r="E996">
        <v>18</v>
      </c>
      <c r="F996">
        <v>8.82</v>
      </c>
      <c r="G996">
        <v>66.900000000000006</v>
      </c>
      <c r="H996">
        <v>13647.6</v>
      </c>
    </row>
    <row r="997" spans="1:8" x14ac:dyDescent="0.35">
      <c r="A997" t="s">
        <v>7</v>
      </c>
      <c r="B997" t="s">
        <v>12</v>
      </c>
      <c r="C997" t="s">
        <v>10</v>
      </c>
      <c r="D997">
        <v>222</v>
      </c>
      <c r="E997">
        <v>6</v>
      </c>
      <c r="F997">
        <v>2.7</v>
      </c>
      <c r="G997">
        <v>9.65</v>
      </c>
      <c r="H997">
        <v>2142.3000000000002</v>
      </c>
    </row>
    <row r="998" spans="1:8" x14ac:dyDescent="0.35">
      <c r="A998" t="s">
        <v>8</v>
      </c>
      <c r="B998" t="s">
        <v>12</v>
      </c>
      <c r="C998" t="s">
        <v>9</v>
      </c>
      <c r="D998">
        <v>181</v>
      </c>
      <c r="E998">
        <v>3</v>
      </c>
      <c r="F998">
        <v>1.66</v>
      </c>
      <c r="G998">
        <v>14.09</v>
      </c>
      <c r="H998">
        <v>2550.29</v>
      </c>
    </row>
    <row r="999" spans="1:8" x14ac:dyDescent="0.35">
      <c r="A999" t="s">
        <v>7</v>
      </c>
      <c r="B999" t="s">
        <v>12</v>
      </c>
      <c r="C999" t="s">
        <v>10</v>
      </c>
      <c r="D999">
        <v>95</v>
      </c>
      <c r="E999">
        <v>5</v>
      </c>
      <c r="F999">
        <v>5.26</v>
      </c>
      <c r="G999">
        <v>56.22</v>
      </c>
      <c r="H999">
        <v>5340.9</v>
      </c>
    </row>
    <row r="1000" spans="1:8" x14ac:dyDescent="0.35">
      <c r="A1000" t="s">
        <v>5</v>
      </c>
      <c r="B1000" t="s">
        <v>12</v>
      </c>
      <c r="C1000" t="s">
        <v>9</v>
      </c>
      <c r="D1000">
        <v>294</v>
      </c>
      <c r="E1000">
        <v>3</v>
      </c>
      <c r="F1000">
        <v>1.02</v>
      </c>
      <c r="G1000">
        <v>15.68</v>
      </c>
      <c r="H1000">
        <v>4609.92</v>
      </c>
    </row>
    <row r="1001" spans="1:8" x14ac:dyDescent="0.35">
      <c r="A1001" t="s">
        <v>6</v>
      </c>
      <c r="B1001" t="s">
        <v>12</v>
      </c>
      <c r="C1001" t="s">
        <v>9</v>
      </c>
      <c r="D1001">
        <v>76</v>
      </c>
      <c r="E1001">
        <v>0</v>
      </c>
      <c r="F1001">
        <v>0</v>
      </c>
      <c r="G1001">
        <v>47.31</v>
      </c>
      <c r="H1001">
        <v>3595.56</v>
      </c>
    </row>
    <row r="1002" spans="1:8" x14ac:dyDescent="0.35">
      <c r="A1002" t="s">
        <v>7</v>
      </c>
      <c r="B1002" t="s">
        <v>12</v>
      </c>
      <c r="C1002" t="s">
        <v>9</v>
      </c>
      <c r="D1002">
        <v>227</v>
      </c>
      <c r="E1002">
        <v>2</v>
      </c>
      <c r="F1002">
        <v>0.88</v>
      </c>
      <c r="G1002">
        <v>18.75</v>
      </c>
      <c r="H1002">
        <v>4256.25</v>
      </c>
    </row>
    <row r="1003" spans="1:8" x14ac:dyDescent="0.35">
      <c r="A1003" t="s">
        <v>8</v>
      </c>
      <c r="B1003" t="s">
        <v>12</v>
      </c>
      <c r="C1003" t="s">
        <v>9</v>
      </c>
      <c r="D1003">
        <v>243</v>
      </c>
      <c r="E1003">
        <v>12</v>
      </c>
      <c r="F1003">
        <v>4.9400000000000004</v>
      </c>
      <c r="G1003">
        <v>21.8</v>
      </c>
      <c r="H1003">
        <v>5297.4</v>
      </c>
    </row>
    <row r="1004" spans="1:8" x14ac:dyDescent="0.35">
      <c r="A1004" t="s">
        <v>6</v>
      </c>
      <c r="B1004" t="s">
        <v>12</v>
      </c>
      <c r="C1004" t="s">
        <v>11</v>
      </c>
      <c r="D1004">
        <v>116</v>
      </c>
      <c r="E1004">
        <v>6</v>
      </c>
      <c r="F1004">
        <v>5.17</v>
      </c>
      <c r="G1004">
        <v>13.54</v>
      </c>
      <c r="H1004">
        <v>1570.64</v>
      </c>
    </row>
    <row r="1005" spans="1:8" x14ac:dyDescent="0.35">
      <c r="A1005" t="s">
        <v>8</v>
      </c>
      <c r="B1005" t="s">
        <v>12</v>
      </c>
      <c r="C1005" t="s">
        <v>9</v>
      </c>
      <c r="D1005">
        <v>239</v>
      </c>
      <c r="E1005">
        <v>21</v>
      </c>
      <c r="F1005">
        <v>8.7899999999999991</v>
      </c>
      <c r="G1005">
        <v>57.23</v>
      </c>
      <c r="H1005">
        <v>13677.97</v>
      </c>
    </row>
    <row r="1006" spans="1:8" x14ac:dyDescent="0.35">
      <c r="A1006" t="s">
        <v>7</v>
      </c>
      <c r="B1006" t="s">
        <v>12</v>
      </c>
      <c r="C1006" t="s">
        <v>9</v>
      </c>
      <c r="D1006">
        <v>55</v>
      </c>
      <c r="E1006">
        <v>1</v>
      </c>
      <c r="F1006">
        <v>1.82</v>
      </c>
      <c r="G1006">
        <v>49.35</v>
      </c>
      <c r="H1006">
        <v>2714.25</v>
      </c>
    </row>
    <row r="1007" spans="1:8" x14ac:dyDescent="0.35">
      <c r="A1007" t="s">
        <v>5</v>
      </c>
      <c r="B1007" t="s">
        <v>12</v>
      </c>
      <c r="C1007" t="s">
        <v>9</v>
      </c>
      <c r="D1007">
        <v>63</v>
      </c>
      <c r="E1007">
        <v>0</v>
      </c>
      <c r="F1007">
        <v>0</v>
      </c>
      <c r="G1007">
        <v>35.22</v>
      </c>
      <c r="H1007">
        <v>2218.86</v>
      </c>
    </row>
    <row r="1008" spans="1:8" x14ac:dyDescent="0.35">
      <c r="A1008" t="s">
        <v>6</v>
      </c>
      <c r="B1008" t="s">
        <v>12</v>
      </c>
      <c r="C1008" t="s">
        <v>11</v>
      </c>
      <c r="D1008">
        <v>106</v>
      </c>
      <c r="E1008">
        <v>5</v>
      </c>
      <c r="F1008">
        <v>4.72</v>
      </c>
      <c r="G1008">
        <v>56.47</v>
      </c>
      <c r="H1008">
        <v>5985.82</v>
      </c>
    </row>
    <row r="1009" spans="1:8" x14ac:dyDescent="0.35">
      <c r="A1009" t="s">
        <v>5</v>
      </c>
      <c r="B1009" t="s">
        <v>12</v>
      </c>
      <c r="C1009" t="s">
        <v>9</v>
      </c>
      <c r="D1009">
        <v>115</v>
      </c>
      <c r="E1009">
        <v>1</v>
      </c>
      <c r="F1009">
        <v>0.87</v>
      </c>
      <c r="G1009">
        <v>43.86</v>
      </c>
      <c r="H1009">
        <v>5043.8999999999996</v>
      </c>
    </row>
    <row r="1010" spans="1:8" x14ac:dyDescent="0.35">
      <c r="A1010" t="s">
        <v>7</v>
      </c>
      <c r="B1010" t="s">
        <v>12</v>
      </c>
      <c r="C1010" t="s">
        <v>9</v>
      </c>
      <c r="D1010">
        <v>143</v>
      </c>
      <c r="E1010">
        <v>13</v>
      </c>
      <c r="F1010">
        <v>9.09</v>
      </c>
      <c r="G1010">
        <v>59.63</v>
      </c>
      <c r="H1010">
        <v>8527.09</v>
      </c>
    </row>
    <row r="1011" spans="1:8" x14ac:dyDescent="0.35">
      <c r="A1011" t="s">
        <v>8</v>
      </c>
      <c r="B1011" t="s">
        <v>12</v>
      </c>
      <c r="C1011" t="s">
        <v>9</v>
      </c>
      <c r="D1011">
        <v>146</v>
      </c>
      <c r="E1011">
        <v>10</v>
      </c>
      <c r="F1011">
        <v>6.85</v>
      </c>
      <c r="G1011">
        <v>30.37</v>
      </c>
      <c r="H1011">
        <v>4434.0200000000004</v>
      </c>
    </row>
    <row r="1012" spans="1:8" x14ac:dyDescent="0.35">
      <c r="A1012" t="s">
        <v>7</v>
      </c>
      <c r="B1012" t="s">
        <v>12</v>
      </c>
      <c r="C1012" t="s">
        <v>9</v>
      </c>
      <c r="D1012">
        <v>217</v>
      </c>
      <c r="E1012">
        <v>13</v>
      </c>
      <c r="F1012">
        <v>5.99</v>
      </c>
      <c r="G1012">
        <v>58.62</v>
      </c>
      <c r="H1012">
        <v>12720.54</v>
      </c>
    </row>
    <row r="1013" spans="1:8" x14ac:dyDescent="0.35">
      <c r="A1013" t="s">
        <v>8</v>
      </c>
      <c r="B1013" t="s">
        <v>12</v>
      </c>
      <c r="C1013" t="s">
        <v>9</v>
      </c>
      <c r="D1013">
        <v>222</v>
      </c>
      <c r="E1013">
        <v>0</v>
      </c>
      <c r="F1013">
        <v>0</v>
      </c>
      <c r="G1013">
        <v>47.59</v>
      </c>
      <c r="H1013">
        <v>10564.98</v>
      </c>
    </row>
    <row r="1014" spans="1:8" x14ac:dyDescent="0.35">
      <c r="A1014" t="s">
        <v>5</v>
      </c>
      <c r="B1014" t="s">
        <v>12</v>
      </c>
      <c r="C1014" t="s">
        <v>9</v>
      </c>
      <c r="D1014">
        <v>207</v>
      </c>
      <c r="E1014">
        <v>8</v>
      </c>
      <c r="F1014">
        <v>3.86</v>
      </c>
      <c r="G1014">
        <v>34.74</v>
      </c>
      <c r="H1014">
        <v>7191.18</v>
      </c>
    </row>
    <row r="1015" spans="1:8" x14ac:dyDescent="0.35">
      <c r="A1015" t="s">
        <v>7</v>
      </c>
      <c r="B1015" t="s">
        <v>12</v>
      </c>
      <c r="C1015" t="s">
        <v>9</v>
      </c>
      <c r="D1015">
        <v>210</v>
      </c>
      <c r="E1015">
        <v>3</v>
      </c>
      <c r="F1015">
        <v>1.43</v>
      </c>
      <c r="G1015">
        <v>38.89</v>
      </c>
      <c r="H1015">
        <v>8166.9</v>
      </c>
    </row>
    <row r="1016" spans="1:8" x14ac:dyDescent="0.35">
      <c r="A1016" t="s">
        <v>6</v>
      </c>
      <c r="B1016" t="s">
        <v>12</v>
      </c>
      <c r="C1016" t="s">
        <v>9</v>
      </c>
      <c r="D1016">
        <v>293</v>
      </c>
      <c r="E1016">
        <v>13</v>
      </c>
      <c r="F1016">
        <v>4.4400000000000004</v>
      </c>
      <c r="G1016">
        <v>63.54</v>
      </c>
      <c r="H1016">
        <v>18617.22</v>
      </c>
    </row>
    <row r="1017" spans="1:8" x14ac:dyDescent="0.35">
      <c r="A1017" t="s">
        <v>6</v>
      </c>
      <c r="B1017" t="s">
        <v>12</v>
      </c>
      <c r="C1017" t="s">
        <v>11</v>
      </c>
      <c r="D1017">
        <v>87</v>
      </c>
      <c r="E1017">
        <v>1</v>
      </c>
      <c r="F1017">
        <v>1.1499999999999999</v>
      </c>
      <c r="G1017">
        <v>58.59</v>
      </c>
      <c r="H1017">
        <v>5097.33</v>
      </c>
    </row>
    <row r="1018" spans="1:8" x14ac:dyDescent="0.35">
      <c r="A1018" t="s">
        <v>6</v>
      </c>
      <c r="B1018" t="s">
        <v>12</v>
      </c>
      <c r="C1018" t="s">
        <v>11</v>
      </c>
      <c r="D1018">
        <v>114</v>
      </c>
      <c r="E1018">
        <v>9</v>
      </c>
      <c r="F1018">
        <v>7.89</v>
      </c>
      <c r="G1018">
        <v>19.8</v>
      </c>
      <c r="H1018">
        <v>2257.1999999999998</v>
      </c>
    </row>
    <row r="1019" spans="1:8" x14ac:dyDescent="0.35">
      <c r="A1019" t="s">
        <v>7</v>
      </c>
      <c r="B1019" t="s">
        <v>12</v>
      </c>
      <c r="C1019" t="s">
        <v>9</v>
      </c>
      <c r="D1019">
        <v>192</v>
      </c>
      <c r="E1019">
        <v>1</v>
      </c>
      <c r="F1019">
        <v>0.52</v>
      </c>
      <c r="G1019">
        <v>36.18</v>
      </c>
      <c r="H1019">
        <v>6946.56</v>
      </c>
    </row>
    <row r="1020" spans="1:8" x14ac:dyDescent="0.35">
      <c r="A1020" t="s">
        <v>8</v>
      </c>
      <c r="B1020" t="s">
        <v>12</v>
      </c>
      <c r="C1020" t="s">
        <v>9</v>
      </c>
      <c r="D1020">
        <v>275</v>
      </c>
      <c r="E1020">
        <v>14</v>
      </c>
      <c r="F1020">
        <v>5.09</v>
      </c>
      <c r="G1020">
        <v>14.34</v>
      </c>
      <c r="H1020">
        <v>3943.5</v>
      </c>
    </row>
    <row r="1021" spans="1:8" x14ac:dyDescent="0.35">
      <c r="A1021" t="s">
        <v>6</v>
      </c>
      <c r="B1021" t="s">
        <v>12</v>
      </c>
      <c r="C1021" t="s">
        <v>9</v>
      </c>
      <c r="D1021">
        <v>300</v>
      </c>
      <c r="E1021">
        <v>20</v>
      </c>
      <c r="F1021">
        <v>6.67</v>
      </c>
      <c r="G1021">
        <v>22.25</v>
      </c>
      <c r="H1021">
        <v>6675</v>
      </c>
    </row>
    <row r="1022" spans="1:8" x14ac:dyDescent="0.35">
      <c r="A1022" t="s">
        <v>7</v>
      </c>
      <c r="B1022" t="s">
        <v>12</v>
      </c>
      <c r="C1022" t="s">
        <v>9</v>
      </c>
      <c r="D1022">
        <v>88</v>
      </c>
      <c r="E1022">
        <v>3</v>
      </c>
      <c r="F1022">
        <v>3.41</v>
      </c>
      <c r="G1022">
        <v>7.06</v>
      </c>
      <c r="H1022">
        <v>621.28</v>
      </c>
    </row>
    <row r="1023" spans="1:8" x14ac:dyDescent="0.35">
      <c r="A1023" t="s">
        <v>5</v>
      </c>
      <c r="B1023" t="s">
        <v>12</v>
      </c>
      <c r="C1023" t="s">
        <v>9</v>
      </c>
      <c r="D1023">
        <v>232</v>
      </c>
      <c r="E1023">
        <v>15</v>
      </c>
      <c r="F1023">
        <v>6.47</v>
      </c>
      <c r="G1023">
        <v>22.03</v>
      </c>
      <c r="H1023">
        <v>5110.96</v>
      </c>
    </row>
    <row r="1024" spans="1:8" x14ac:dyDescent="0.35">
      <c r="A1024" t="s">
        <v>7</v>
      </c>
      <c r="B1024" t="s">
        <v>12</v>
      </c>
      <c r="C1024" t="s">
        <v>10</v>
      </c>
      <c r="D1024">
        <v>69</v>
      </c>
      <c r="E1024">
        <v>6</v>
      </c>
      <c r="F1024">
        <v>8.6999999999999993</v>
      </c>
      <c r="G1024">
        <v>9.48</v>
      </c>
      <c r="H1024">
        <v>654.12</v>
      </c>
    </row>
    <row r="1025" spans="1:8" x14ac:dyDescent="0.35">
      <c r="A1025" t="s">
        <v>7</v>
      </c>
      <c r="B1025" t="s">
        <v>12</v>
      </c>
      <c r="C1025" t="s">
        <v>9</v>
      </c>
      <c r="D1025">
        <v>104</v>
      </c>
      <c r="E1025">
        <v>1</v>
      </c>
      <c r="F1025">
        <v>0.96</v>
      </c>
      <c r="G1025">
        <v>18.7</v>
      </c>
      <c r="H1025">
        <v>1944.8</v>
      </c>
    </row>
    <row r="1026" spans="1:8" x14ac:dyDescent="0.35">
      <c r="A1026" t="s">
        <v>8</v>
      </c>
      <c r="B1026" t="s">
        <v>12</v>
      </c>
      <c r="C1026" t="s">
        <v>9</v>
      </c>
      <c r="D1026">
        <v>237</v>
      </c>
      <c r="E1026">
        <v>3</v>
      </c>
      <c r="F1026">
        <v>1.27</v>
      </c>
      <c r="G1026">
        <v>50.95</v>
      </c>
      <c r="H1026">
        <v>12075.15</v>
      </c>
    </row>
    <row r="1027" spans="1:8" x14ac:dyDescent="0.35">
      <c r="A1027" t="s">
        <v>7</v>
      </c>
      <c r="B1027" t="s">
        <v>12</v>
      </c>
      <c r="C1027" t="s">
        <v>10</v>
      </c>
      <c r="D1027">
        <v>97</v>
      </c>
      <c r="E1027">
        <v>9</v>
      </c>
      <c r="F1027">
        <v>9.2799999999999994</v>
      </c>
      <c r="G1027">
        <v>62.15</v>
      </c>
      <c r="H1027">
        <v>6028.55</v>
      </c>
    </row>
    <row r="1028" spans="1:8" x14ac:dyDescent="0.35">
      <c r="A1028" t="s">
        <v>5</v>
      </c>
      <c r="B1028" t="s">
        <v>12</v>
      </c>
      <c r="C1028" t="s">
        <v>9</v>
      </c>
      <c r="D1028">
        <v>89</v>
      </c>
      <c r="E1028">
        <v>8</v>
      </c>
      <c r="F1028">
        <v>8.99</v>
      </c>
      <c r="G1028">
        <v>29.95</v>
      </c>
      <c r="H1028">
        <v>2665.55</v>
      </c>
    </row>
    <row r="1029" spans="1:8" x14ac:dyDescent="0.35">
      <c r="A1029" t="s">
        <v>6</v>
      </c>
      <c r="B1029" t="s">
        <v>12</v>
      </c>
      <c r="C1029" t="s">
        <v>9</v>
      </c>
      <c r="D1029">
        <v>205</v>
      </c>
      <c r="E1029">
        <v>0</v>
      </c>
      <c r="F1029">
        <v>0</v>
      </c>
      <c r="G1029">
        <v>6.22</v>
      </c>
      <c r="H1029">
        <v>1275.0999999999999</v>
      </c>
    </row>
    <row r="1030" spans="1:8" x14ac:dyDescent="0.35">
      <c r="A1030" t="s">
        <v>6</v>
      </c>
      <c r="B1030" t="s">
        <v>12</v>
      </c>
      <c r="C1030" t="s">
        <v>11</v>
      </c>
      <c r="D1030">
        <v>59</v>
      </c>
      <c r="E1030">
        <v>4</v>
      </c>
      <c r="F1030">
        <v>6.78</v>
      </c>
      <c r="G1030">
        <v>40.51</v>
      </c>
      <c r="H1030">
        <v>2390.09</v>
      </c>
    </row>
    <row r="1031" spans="1:8" x14ac:dyDescent="0.35">
      <c r="A1031" t="s">
        <v>7</v>
      </c>
      <c r="B1031" t="s">
        <v>12</v>
      </c>
      <c r="C1031" t="s">
        <v>10</v>
      </c>
      <c r="D1031">
        <v>86</v>
      </c>
      <c r="E1031">
        <v>5</v>
      </c>
      <c r="F1031">
        <v>5.81</v>
      </c>
      <c r="G1031">
        <v>6.69</v>
      </c>
      <c r="H1031">
        <v>575.34</v>
      </c>
    </row>
    <row r="1032" spans="1:8" x14ac:dyDescent="0.35">
      <c r="A1032" t="s">
        <v>8</v>
      </c>
      <c r="B1032" t="s">
        <v>12</v>
      </c>
      <c r="C1032" t="s">
        <v>9</v>
      </c>
      <c r="D1032">
        <v>179</v>
      </c>
      <c r="E1032">
        <v>14</v>
      </c>
      <c r="F1032">
        <v>7.82</v>
      </c>
      <c r="G1032">
        <v>42.69</v>
      </c>
      <c r="H1032">
        <v>7641.51</v>
      </c>
    </row>
    <row r="1033" spans="1:8" x14ac:dyDescent="0.35">
      <c r="A1033" t="s">
        <v>5</v>
      </c>
      <c r="B1033" t="s">
        <v>12</v>
      </c>
      <c r="C1033" t="s">
        <v>9</v>
      </c>
      <c r="D1033">
        <v>189</v>
      </c>
      <c r="E1033">
        <v>0</v>
      </c>
      <c r="F1033">
        <v>0</v>
      </c>
      <c r="G1033">
        <v>5.32</v>
      </c>
      <c r="H1033">
        <v>1005.48</v>
      </c>
    </row>
    <row r="1034" spans="1:8" x14ac:dyDescent="0.35">
      <c r="A1034" t="s">
        <v>6</v>
      </c>
      <c r="B1034" t="s">
        <v>12</v>
      </c>
      <c r="C1034" t="s">
        <v>9</v>
      </c>
      <c r="D1034">
        <v>143</v>
      </c>
      <c r="E1034">
        <v>11</v>
      </c>
      <c r="F1034">
        <v>7.69</v>
      </c>
      <c r="G1034">
        <v>11.52</v>
      </c>
      <c r="H1034">
        <v>1647.36</v>
      </c>
    </row>
    <row r="1035" spans="1:8" x14ac:dyDescent="0.35">
      <c r="A1035" t="s">
        <v>6</v>
      </c>
      <c r="B1035" t="s">
        <v>12</v>
      </c>
      <c r="C1035" t="s">
        <v>11</v>
      </c>
      <c r="D1035">
        <v>124</v>
      </c>
      <c r="E1035">
        <v>3</v>
      </c>
      <c r="F1035">
        <v>2.42</v>
      </c>
      <c r="G1035">
        <v>27.88</v>
      </c>
      <c r="H1035">
        <v>3457.12</v>
      </c>
    </row>
    <row r="1036" spans="1:8" x14ac:dyDescent="0.35">
      <c r="A1036" t="s">
        <v>6</v>
      </c>
      <c r="B1036" t="s">
        <v>12</v>
      </c>
      <c r="C1036" t="s">
        <v>11</v>
      </c>
      <c r="D1036">
        <v>205</v>
      </c>
      <c r="E1036">
        <v>4</v>
      </c>
      <c r="F1036">
        <v>1.95</v>
      </c>
      <c r="G1036">
        <v>66.64</v>
      </c>
      <c r="H1036">
        <v>13661.2</v>
      </c>
    </row>
    <row r="1037" spans="1:8" x14ac:dyDescent="0.35">
      <c r="A1037" t="s">
        <v>8</v>
      </c>
      <c r="B1037" t="s">
        <v>12</v>
      </c>
      <c r="C1037" t="s">
        <v>9</v>
      </c>
      <c r="D1037">
        <v>167</v>
      </c>
      <c r="E1037">
        <v>9</v>
      </c>
      <c r="F1037">
        <v>5.39</v>
      </c>
      <c r="G1037">
        <v>25.22</v>
      </c>
      <c r="H1037">
        <v>4211.74</v>
      </c>
    </row>
    <row r="1038" spans="1:8" x14ac:dyDescent="0.35">
      <c r="A1038" t="s">
        <v>7</v>
      </c>
      <c r="B1038" t="s">
        <v>12</v>
      </c>
      <c r="C1038" t="s">
        <v>10</v>
      </c>
      <c r="D1038">
        <v>249</v>
      </c>
      <c r="E1038">
        <v>9</v>
      </c>
      <c r="F1038">
        <v>3.61</v>
      </c>
      <c r="G1038">
        <v>51.49</v>
      </c>
      <c r="H1038">
        <v>12821.01</v>
      </c>
    </row>
    <row r="1039" spans="1:8" x14ac:dyDescent="0.35">
      <c r="A1039" t="s">
        <v>6</v>
      </c>
      <c r="B1039" t="s">
        <v>12</v>
      </c>
      <c r="C1039" t="s">
        <v>9</v>
      </c>
      <c r="D1039">
        <v>140</v>
      </c>
      <c r="E1039">
        <v>10</v>
      </c>
      <c r="F1039">
        <v>7.14</v>
      </c>
      <c r="G1039">
        <v>18.2</v>
      </c>
      <c r="H1039">
        <v>2548</v>
      </c>
    </row>
    <row r="1040" spans="1:8" x14ac:dyDescent="0.35">
      <c r="A1040" t="s">
        <v>5</v>
      </c>
      <c r="B1040" t="s">
        <v>12</v>
      </c>
      <c r="C1040" t="s">
        <v>9</v>
      </c>
      <c r="D1040">
        <v>91</v>
      </c>
      <c r="E1040">
        <v>0</v>
      </c>
      <c r="F1040">
        <v>0</v>
      </c>
      <c r="G1040">
        <v>5.48</v>
      </c>
      <c r="H1040">
        <v>498.68</v>
      </c>
    </row>
    <row r="1041" spans="1:8" x14ac:dyDescent="0.35">
      <c r="A1041" t="s">
        <v>5</v>
      </c>
      <c r="B1041" t="s">
        <v>12</v>
      </c>
      <c r="C1041" t="s">
        <v>9</v>
      </c>
      <c r="D1041">
        <v>221</v>
      </c>
      <c r="E1041">
        <v>5</v>
      </c>
      <c r="F1041">
        <v>2.2599999999999998</v>
      </c>
      <c r="G1041">
        <v>26.3</v>
      </c>
      <c r="H1041">
        <v>5812.3</v>
      </c>
    </row>
    <row r="1042" spans="1:8" x14ac:dyDescent="0.35">
      <c r="A1042" t="s">
        <v>8</v>
      </c>
      <c r="B1042" t="s">
        <v>12</v>
      </c>
      <c r="C1042" t="s">
        <v>9</v>
      </c>
      <c r="D1042">
        <v>185</v>
      </c>
      <c r="E1042">
        <v>14</v>
      </c>
      <c r="F1042">
        <v>7.57</v>
      </c>
      <c r="G1042">
        <v>57.46</v>
      </c>
      <c r="H1042">
        <v>10630.1</v>
      </c>
    </row>
    <row r="1043" spans="1:8" x14ac:dyDescent="0.35">
      <c r="A1043" t="s">
        <v>5</v>
      </c>
      <c r="B1043" t="s">
        <v>12</v>
      </c>
      <c r="C1043" t="s">
        <v>9</v>
      </c>
      <c r="D1043">
        <v>270</v>
      </c>
      <c r="E1043">
        <v>19</v>
      </c>
      <c r="F1043">
        <v>7.04</v>
      </c>
      <c r="G1043">
        <v>23.97</v>
      </c>
      <c r="H1043">
        <v>6471.9</v>
      </c>
    </row>
    <row r="1044" spans="1:8" x14ac:dyDescent="0.35">
      <c r="A1044" t="s">
        <v>8</v>
      </c>
      <c r="B1044" t="s">
        <v>12</v>
      </c>
      <c r="C1044" t="s">
        <v>9</v>
      </c>
      <c r="D1044">
        <v>149</v>
      </c>
      <c r="E1044">
        <v>10</v>
      </c>
      <c r="F1044">
        <v>6.71</v>
      </c>
      <c r="G1044">
        <v>38.869999999999997</v>
      </c>
      <c r="H1044">
        <v>5791.63</v>
      </c>
    </row>
    <row r="1045" spans="1:8" x14ac:dyDescent="0.35">
      <c r="A1045" t="s">
        <v>7</v>
      </c>
      <c r="B1045" t="s">
        <v>12</v>
      </c>
      <c r="C1045" t="s">
        <v>9</v>
      </c>
      <c r="D1045">
        <v>221</v>
      </c>
      <c r="E1045">
        <v>4</v>
      </c>
      <c r="F1045">
        <v>1.81</v>
      </c>
      <c r="G1045">
        <v>18.8</v>
      </c>
      <c r="H1045">
        <v>4154.8</v>
      </c>
    </row>
    <row r="1046" spans="1:8" x14ac:dyDescent="0.35">
      <c r="A1046" t="s">
        <v>6</v>
      </c>
      <c r="B1046" t="s">
        <v>12</v>
      </c>
      <c r="C1046" t="s">
        <v>11</v>
      </c>
      <c r="D1046">
        <v>81</v>
      </c>
      <c r="E1046">
        <v>4</v>
      </c>
      <c r="F1046">
        <v>4.9400000000000004</v>
      </c>
      <c r="G1046">
        <v>11.65</v>
      </c>
      <c r="H1046">
        <v>943.65</v>
      </c>
    </row>
    <row r="1047" spans="1:8" x14ac:dyDescent="0.35">
      <c r="A1047" t="s">
        <v>6</v>
      </c>
      <c r="B1047" t="s">
        <v>12</v>
      </c>
      <c r="C1047" t="s">
        <v>9</v>
      </c>
      <c r="D1047">
        <v>239</v>
      </c>
      <c r="E1047">
        <v>8</v>
      </c>
      <c r="F1047">
        <v>3.35</v>
      </c>
      <c r="G1047">
        <v>9.3699999999999992</v>
      </c>
      <c r="H1047">
        <v>2239.4299999999998</v>
      </c>
    </row>
    <row r="1048" spans="1:8" x14ac:dyDescent="0.35">
      <c r="A1048" t="s">
        <v>7</v>
      </c>
      <c r="B1048" t="s">
        <v>12</v>
      </c>
      <c r="C1048" t="s">
        <v>10</v>
      </c>
      <c r="D1048">
        <v>216</v>
      </c>
      <c r="E1048">
        <v>3</v>
      </c>
      <c r="F1048">
        <v>1.39</v>
      </c>
      <c r="G1048">
        <v>58.73</v>
      </c>
      <c r="H1048">
        <v>12685.68</v>
      </c>
    </row>
    <row r="1049" spans="1:8" x14ac:dyDescent="0.35">
      <c r="A1049" t="s">
        <v>7</v>
      </c>
      <c r="B1049" t="s">
        <v>12</v>
      </c>
      <c r="C1049" t="s">
        <v>10</v>
      </c>
      <c r="D1049">
        <v>166</v>
      </c>
      <c r="E1049">
        <v>16</v>
      </c>
      <c r="F1049">
        <v>9.64</v>
      </c>
      <c r="G1049">
        <v>20.16</v>
      </c>
      <c r="H1049">
        <v>3346.56</v>
      </c>
    </row>
    <row r="1050" spans="1:8" x14ac:dyDescent="0.35">
      <c r="A1050" t="s">
        <v>7</v>
      </c>
      <c r="B1050" t="s">
        <v>12</v>
      </c>
      <c r="C1050" t="s">
        <v>9</v>
      </c>
      <c r="D1050">
        <v>78</v>
      </c>
      <c r="E1050">
        <v>3</v>
      </c>
      <c r="F1050">
        <v>3.85</v>
      </c>
      <c r="G1050">
        <v>50.94</v>
      </c>
      <c r="H1050">
        <v>3973.32</v>
      </c>
    </row>
    <row r="1051" spans="1:8" x14ac:dyDescent="0.35">
      <c r="A1051" t="s">
        <v>6</v>
      </c>
      <c r="B1051" t="s">
        <v>12</v>
      </c>
      <c r="C1051" t="s">
        <v>9</v>
      </c>
      <c r="D1051">
        <v>210</v>
      </c>
      <c r="E1051">
        <v>9</v>
      </c>
      <c r="F1051">
        <v>4.29</v>
      </c>
      <c r="G1051">
        <v>25.39</v>
      </c>
      <c r="H1051">
        <v>5331.9</v>
      </c>
    </row>
    <row r="1052" spans="1:8" x14ac:dyDescent="0.35">
      <c r="A1052" t="s">
        <v>5</v>
      </c>
      <c r="B1052" t="s">
        <v>12</v>
      </c>
      <c r="C1052" t="s">
        <v>9</v>
      </c>
      <c r="D1052">
        <v>134</v>
      </c>
      <c r="E1052">
        <v>6</v>
      </c>
      <c r="F1052">
        <v>4.4800000000000004</v>
      </c>
      <c r="G1052">
        <v>24.63</v>
      </c>
      <c r="H1052">
        <v>3300.42</v>
      </c>
    </row>
    <row r="1053" spans="1:8" x14ac:dyDescent="0.35">
      <c r="A1053" t="s">
        <v>7</v>
      </c>
      <c r="B1053" t="s">
        <v>12</v>
      </c>
      <c r="C1053" t="s">
        <v>10</v>
      </c>
      <c r="D1053">
        <v>257</v>
      </c>
      <c r="E1053">
        <v>23</v>
      </c>
      <c r="F1053">
        <v>8.9499999999999993</v>
      </c>
      <c r="G1053">
        <v>9.14</v>
      </c>
      <c r="H1053">
        <v>2348.98</v>
      </c>
    </row>
    <row r="1054" spans="1:8" x14ac:dyDescent="0.35">
      <c r="A1054" t="s">
        <v>7</v>
      </c>
      <c r="B1054" t="s">
        <v>12</v>
      </c>
      <c r="C1054" t="s">
        <v>10</v>
      </c>
      <c r="D1054">
        <v>221</v>
      </c>
      <c r="E1054">
        <v>17</v>
      </c>
      <c r="F1054">
        <v>7.69</v>
      </c>
      <c r="G1054">
        <v>48.62</v>
      </c>
      <c r="H1054">
        <v>10745.02</v>
      </c>
    </row>
    <row r="1055" spans="1:8" x14ac:dyDescent="0.35">
      <c r="A1055" t="s">
        <v>6</v>
      </c>
      <c r="B1055" t="s">
        <v>12</v>
      </c>
      <c r="C1055" t="s">
        <v>9</v>
      </c>
      <c r="D1055">
        <v>236</v>
      </c>
      <c r="E1055">
        <v>20</v>
      </c>
      <c r="F1055">
        <v>8.4700000000000006</v>
      </c>
      <c r="G1055">
        <v>50.8</v>
      </c>
      <c r="H1055">
        <v>11988.8</v>
      </c>
    </row>
    <row r="1056" spans="1:8" x14ac:dyDescent="0.35">
      <c r="A1056" t="s">
        <v>7</v>
      </c>
      <c r="B1056" t="s">
        <v>12</v>
      </c>
      <c r="C1056" t="s">
        <v>9</v>
      </c>
      <c r="D1056">
        <v>245</v>
      </c>
      <c r="E1056">
        <v>6</v>
      </c>
      <c r="F1056">
        <v>2.4500000000000002</v>
      </c>
      <c r="G1056">
        <v>22.16</v>
      </c>
      <c r="H1056">
        <v>5429.2</v>
      </c>
    </row>
    <row r="1057" spans="1:8" x14ac:dyDescent="0.35">
      <c r="A1057" t="s">
        <v>7</v>
      </c>
      <c r="B1057" t="s">
        <v>12</v>
      </c>
      <c r="C1057" t="s">
        <v>10</v>
      </c>
      <c r="D1057">
        <v>93</v>
      </c>
      <c r="E1057">
        <v>1</v>
      </c>
      <c r="F1057">
        <v>1.08</v>
      </c>
      <c r="G1057">
        <v>51.64</v>
      </c>
      <c r="H1057">
        <v>4802.5200000000004</v>
      </c>
    </row>
    <row r="1058" spans="1:8" x14ac:dyDescent="0.35">
      <c r="A1058" t="s">
        <v>8</v>
      </c>
      <c r="B1058" t="s">
        <v>12</v>
      </c>
      <c r="C1058" t="s">
        <v>9</v>
      </c>
      <c r="D1058">
        <v>221</v>
      </c>
      <c r="E1058">
        <v>15</v>
      </c>
      <c r="F1058">
        <v>6.79</v>
      </c>
      <c r="G1058">
        <v>58.92</v>
      </c>
      <c r="H1058">
        <v>13021.32</v>
      </c>
    </row>
    <row r="1059" spans="1:8" x14ac:dyDescent="0.35">
      <c r="A1059" t="s">
        <v>8</v>
      </c>
      <c r="B1059" t="s">
        <v>12</v>
      </c>
      <c r="C1059" t="s">
        <v>9</v>
      </c>
      <c r="D1059">
        <v>76</v>
      </c>
      <c r="E1059">
        <v>7</v>
      </c>
      <c r="F1059">
        <v>9.2100000000000009</v>
      </c>
      <c r="G1059">
        <v>66.459999999999994</v>
      </c>
      <c r="H1059">
        <v>5050.96</v>
      </c>
    </row>
    <row r="1060" spans="1:8" x14ac:dyDescent="0.35">
      <c r="A1060" t="s">
        <v>5</v>
      </c>
      <c r="B1060" t="s">
        <v>12</v>
      </c>
      <c r="C1060" t="s">
        <v>9</v>
      </c>
      <c r="D1060">
        <v>231</v>
      </c>
      <c r="E1060">
        <v>23</v>
      </c>
      <c r="F1060">
        <v>9.9600000000000009</v>
      </c>
      <c r="G1060">
        <v>39.61</v>
      </c>
      <c r="H1060">
        <v>9149.91</v>
      </c>
    </row>
    <row r="1061" spans="1:8" x14ac:dyDescent="0.35">
      <c r="A1061" t="s">
        <v>7</v>
      </c>
      <c r="B1061" t="s">
        <v>12</v>
      </c>
      <c r="C1061" t="s">
        <v>10</v>
      </c>
      <c r="D1061">
        <v>217</v>
      </c>
      <c r="E1061">
        <v>17</v>
      </c>
      <c r="F1061">
        <v>7.83</v>
      </c>
      <c r="G1061">
        <v>31.75</v>
      </c>
      <c r="H1061">
        <v>6889.75</v>
      </c>
    </row>
    <row r="1062" spans="1:8" x14ac:dyDescent="0.35">
      <c r="A1062" t="s">
        <v>6</v>
      </c>
      <c r="B1062" t="s">
        <v>12</v>
      </c>
      <c r="C1062" t="s">
        <v>9</v>
      </c>
      <c r="D1062">
        <v>250</v>
      </c>
      <c r="E1062">
        <v>23</v>
      </c>
      <c r="F1062">
        <v>9.1999999999999993</v>
      </c>
      <c r="G1062">
        <v>25.05</v>
      </c>
      <c r="H1062">
        <v>6262.5</v>
      </c>
    </row>
    <row r="1063" spans="1:8" x14ac:dyDescent="0.35">
      <c r="A1063" t="s">
        <v>6</v>
      </c>
      <c r="B1063" t="s">
        <v>12</v>
      </c>
      <c r="C1063" t="s">
        <v>11</v>
      </c>
      <c r="D1063">
        <v>232</v>
      </c>
      <c r="E1063">
        <v>12</v>
      </c>
      <c r="F1063">
        <v>5.17</v>
      </c>
      <c r="G1063">
        <v>50.65</v>
      </c>
      <c r="H1063">
        <v>11750.8</v>
      </c>
    </row>
    <row r="1064" spans="1:8" x14ac:dyDescent="0.35">
      <c r="A1064" t="s">
        <v>8</v>
      </c>
      <c r="B1064" t="s">
        <v>12</v>
      </c>
      <c r="C1064" t="s">
        <v>9</v>
      </c>
      <c r="D1064">
        <v>73</v>
      </c>
      <c r="E1064">
        <v>6</v>
      </c>
      <c r="F1064">
        <v>8.2200000000000006</v>
      </c>
      <c r="G1064">
        <v>26.95</v>
      </c>
      <c r="H1064">
        <v>1967.35</v>
      </c>
    </row>
    <row r="1065" spans="1:8" x14ac:dyDescent="0.35">
      <c r="A1065" t="s">
        <v>6</v>
      </c>
      <c r="B1065" t="s">
        <v>12</v>
      </c>
      <c r="C1065" t="s">
        <v>11</v>
      </c>
      <c r="D1065">
        <v>195</v>
      </c>
      <c r="E1065">
        <v>9</v>
      </c>
      <c r="F1065">
        <v>4.62</v>
      </c>
      <c r="G1065">
        <v>22.98</v>
      </c>
      <c r="H1065">
        <v>4481.1000000000004</v>
      </c>
    </row>
    <row r="1066" spans="1:8" x14ac:dyDescent="0.35">
      <c r="A1066" t="s">
        <v>6</v>
      </c>
      <c r="B1066" t="s">
        <v>12</v>
      </c>
      <c r="C1066" t="s">
        <v>9</v>
      </c>
      <c r="D1066">
        <v>152</v>
      </c>
      <c r="E1066">
        <v>2</v>
      </c>
      <c r="F1066">
        <v>1.32</v>
      </c>
      <c r="G1066">
        <v>51.6</v>
      </c>
      <c r="H1066">
        <v>7843.2</v>
      </c>
    </row>
    <row r="1067" spans="1:8" x14ac:dyDescent="0.35">
      <c r="A1067" t="s">
        <v>7</v>
      </c>
      <c r="B1067" t="s">
        <v>12</v>
      </c>
      <c r="C1067" t="s">
        <v>10</v>
      </c>
      <c r="D1067">
        <v>145</v>
      </c>
      <c r="E1067">
        <v>9</v>
      </c>
      <c r="F1067">
        <v>6.21</v>
      </c>
      <c r="G1067">
        <v>5.98</v>
      </c>
      <c r="H1067">
        <v>867.1</v>
      </c>
    </row>
    <row r="1068" spans="1:8" x14ac:dyDescent="0.35">
      <c r="A1068" t="s">
        <v>7</v>
      </c>
      <c r="B1068" t="s">
        <v>12</v>
      </c>
      <c r="C1068" t="s">
        <v>9</v>
      </c>
      <c r="D1068">
        <v>247</v>
      </c>
      <c r="E1068">
        <v>15</v>
      </c>
      <c r="F1068">
        <v>6.07</v>
      </c>
      <c r="G1068">
        <v>30.64</v>
      </c>
      <c r="H1068">
        <v>7568.08</v>
      </c>
    </row>
    <row r="1069" spans="1:8" x14ac:dyDescent="0.35">
      <c r="A1069" t="s">
        <v>6</v>
      </c>
      <c r="B1069" t="s">
        <v>12</v>
      </c>
      <c r="C1069" t="s">
        <v>9</v>
      </c>
      <c r="D1069">
        <v>292</v>
      </c>
      <c r="E1069">
        <v>11</v>
      </c>
      <c r="F1069">
        <v>3.77</v>
      </c>
      <c r="G1069">
        <v>49.63</v>
      </c>
      <c r="H1069">
        <v>14491.96</v>
      </c>
    </row>
    <row r="1070" spans="1:8" x14ac:dyDescent="0.35">
      <c r="A1070" t="s">
        <v>6</v>
      </c>
      <c r="B1070" t="s">
        <v>12</v>
      </c>
      <c r="C1070" t="s">
        <v>11</v>
      </c>
      <c r="D1070">
        <v>122</v>
      </c>
      <c r="E1070">
        <v>1</v>
      </c>
      <c r="F1070">
        <v>0.82</v>
      </c>
      <c r="G1070">
        <v>61.82</v>
      </c>
      <c r="H1070">
        <v>7542.04</v>
      </c>
    </row>
    <row r="1071" spans="1:8" x14ac:dyDescent="0.35">
      <c r="A1071" t="s">
        <v>7</v>
      </c>
      <c r="B1071" t="s">
        <v>12</v>
      </c>
      <c r="C1071" t="s">
        <v>10</v>
      </c>
      <c r="D1071">
        <v>103</v>
      </c>
      <c r="E1071">
        <v>8</v>
      </c>
      <c r="F1071">
        <v>7.77</v>
      </c>
      <c r="G1071">
        <v>50.32</v>
      </c>
      <c r="H1071">
        <v>5182.96</v>
      </c>
    </row>
    <row r="1072" spans="1:8" x14ac:dyDescent="0.35">
      <c r="A1072" t="s">
        <v>7</v>
      </c>
      <c r="B1072" t="s">
        <v>12</v>
      </c>
      <c r="C1072" t="s">
        <v>9</v>
      </c>
      <c r="D1072">
        <v>143</v>
      </c>
      <c r="E1072">
        <v>2</v>
      </c>
      <c r="F1072">
        <v>1.4</v>
      </c>
      <c r="G1072">
        <v>21.52</v>
      </c>
      <c r="H1072">
        <v>3077.36</v>
      </c>
    </row>
    <row r="1073" spans="1:8" x14ac:dyDescent="0.35">
      <c r="A1073" t="s">
        <v>6</v>
      </c>
      <c r="B1073" t="s">
        <v>12</v>
      </c>
      <c r="C1073" t="s">
        <v>11</v>
      </c>
      <c r="D1073">
        <v>64</v>
      </c>
      <c r="E1073">
        <v>5</v>
      </c>
      <c r="F1073">
        <v>7.81</v>
      </c>
      <c r="G1073">
        <v>55.54</v>
      </c>
      <c r="H1073">
        <v>3554.56</v>
      </c>
    </row>
    <row r="1074" spans="1:8" x14ac:dyDescent="0.35">
      <c r="A1074" t="s">
        <v>6</v>
      </c>
      <c r="B1074" t="s">
        <v>12</v>
      </c>
      <c r="C1074" t="s">
        <v>11</v>
      </c>
      <c r="D1074">
        <v>128</v>
      </c>
      <c r="E1074">
        <v>2</v>
      </c>
      <c r="F1074">
        <v>1.56</v>
      </c>
      <c r="G1074">
        <v>51.86</v>
      </c>
      <c r="H1074">
        <v>6638.08</v>
      </c>
    </row>
    <row r="1075" spans="1:8" x14ac:dyDescent="0.35">
      <c r="A1075" t="s">
        <v>8</v>
      </c>
      <c r="B1075" t="s">
        <v>12</v>
      </c>
      <c r="C1075" t="s">
        <v>9</v>
      </c>
      <c r="D1075">
        <v>282</v>
      </c>
      <c r="E1075">
        <v>20</v>
      </c>
      <c r="F1075">
        <v>7.09</v>
      </c>
      <c r="G1075">
        <v>31.45</v>
      </c>
      <c r="H1075">
        <v>8868.9</v>
      </c>
    </row>
    <row r="1076" spans="1:8" x14ac:dyDescent="0.35">
      <c r="A1076" t="s">
        <v>7</v>
      </c>
      <c r="B1076" t="s">
        <v>12</v>
      </c>
      <c r="C1076" t="s">
        <v>9</v>
      </c>
      <c r="D1076">
        <v>166</v>
      </c>
      <c r="E1076">
        <v>6</v>
      </c>
      <c r="F1076">
        <v>3.61</v>
      </c>
      <c r="G1076">
        <v>21.08</v>
      </c>
      <c r="H1076">
        <v>3499.28</v>
      </c>
    </row>
    <row r="1077" spans="1:8" x14ac:dyDescent="0.35">
      <c r="A1077" t="s">
        <v>5</v>
      </c>
      <c r="B1077" t="s">
        <v>12</v>
      </c>
      <c r="C1077" t="s">
        <v>9</v>
      </c>
      <c r="D1077">
        <v>225</v>
      </c>
      <c r="E1077">
        <v>6</v>
      </c>
      <c r="F1077">
        <v>2.67</v>
      </c>
      <c r="G1077">
        <v>27.37</v>
      </c>
      <c r="H1077">
        <v>6158.25</v>
      </c>
    </row>
    <row r="1078" spans="1:8" x14ac:dyDescent="0.35">
      <c r="A1078" t="s">
        <v>6</v>
      </c>
      <c r="B1078" t="s">
        <v>12</v>
      </c>
      <c r="C1078" t="s">
        <v>9</v>
      </c>
      <c r="D1078">
        <v>61</v>
      </c>
      <c r="E1078">
        <v>1</v>
      </c>
      <c r="F1078">
        <v>1.64</v>
      </c>
      <c r="G1078">
        <v>21.87</v>
      </c>
      <c r="H1078">
        <v>1334.07</v>
      </c>
    </row>
    <row r="1079" spans="1:8" x14ac:dyDescent="0.35">
      <c r="A1079" t="s">
        <v>8</v>
      </c>
      <c r="B1079" t="s">
        <v>12</v>
      </c>
      <c r="C1079" t="s">
        <v>9</v>
      </c>
      <c r="D1079">
        <v>134</v>
      </c>
      <c r="E1079">
        <v>0</v>
      </c>
      <c r="F1079">
        <v>0</v>
      </c>
      <c r="G1079">
        <v>26.01</v>
      </c>
      <c r="H1079">
        <v>3485.34</v>
      </c>
    </row>
    <row r="1080" spans="1:8" x14ac:dyDescent="0.35">
      <c r="A1080" t="s">
        <v>6</v>
      </c>
      <c r="B1080" t="s">
        <v>12</v>
      </c>
      <c r="C1080" t="s">
        <v>11</v>
      </c>
      <c r="D1080">
        <v>235</v>
      </c>
      <c r="E1080">
        <v>19</v>
      </c>
      <c r="F1080">
        <v>8.09</v>
      </c>
      <c r="G1080">
        <v>18.559999999999999</v>
      </c>
      <c r="H1080">
        <v>4361.6000000000004</v>
      </c>
    </row>
    <row r="1081" spans="1:8" x14ac:dyDescent="0.35">
      <c r="A1081" t="s">
        <v>7</v>
      </c>
      <c r="B1081" t="s">
        <v>12</v>
      </c>
      <c r="C1081" t="s">
        <v>9</v>
      </c>
      <c r="D1081">
        <v>268</v>
      </c>
      <c r="E1081">
        <v>0</v>
      </c>
      <c r="F1081">
        <v>0</v>
      </c>
      <c r="G1081">
        <v>41.13</v>
      </c>
      <c r="H1081">
        <v>11022.84</v>
      </c>
    </row>
    <row r="1082" spans="1:8" x14ac:dyDescent="0.35">
      <c r="A1082" t="s">
        <v>7</v>
      </c>
      <c r="B1082" t="s">
        <v>12</v>
      </c>
      <c r="C1082" t="s">
        <v>9</v>
      </c>
      <c r="D1082">
        <v>285</v>
      </c>
      <c r="E1082">
        <v>17</v>
      </c>
      <c r="F1082">
        <v>5.96</v>
      </c>
      <c r="G1082">
        <v>59.65</v>
      </c>
      <c r="H1082">
        <v>17000.25</v>
      </c>
    </row>
    <row r="1083" spans="1:8" x14ac:dyDescent="0.35">
      <c r="A1083" t="s">
        <v>7</v>
      </c>
      <c r="B1083" t="s">
        <v>12</v>
      </c>
      <c r="C1083" t="s">
        <v>10</v>
      </c>
      <c r="D1083">
        <v>191</v>
      </c>
      <c r="E1083">
        <v>2</v>
      </c>
      <c r="F1083">
        <v>1.05</v>
      </c>
      <c r="G1083">
        <v>42.16</v>
      </c>
      <c r="H1083">
        <v>8052.56</v>
      </c>
    </row>
    <row r="1084" spans="1:8" x14ac:dyDescent="0.35">
      <c r="A1084" t="s">
        <v>6</v>
      </c>
      <c r="B1084" t="s">
        <v>12</v>
      </c>
      <c r="C1084" t="s">
        <v>11</v>
      </c>
      <c r="D1084">
        <v>211</v>
      </c>
      <c r="E1084">
        <v>3</v>
      </c>
      <c r="F1084">
        <v>1.42</v>
      </c>
      <c r="G1084">
        <v>17.47</v>
      </c>
      <c r="H1084">
        <v>3686.17</v>
      </c>
    </row>
    <row r="1085" spans="1:8" x14ac:dyDescent="0.35">
      <c r="A1085" t="s">
        <v>6</v>
      </c>
      <c r="B1085" t="s">
        <v>12</v>
      </c>
      <c r="C1085" t="s">
        <v>9</v>
      </c>
      <c r="D1085">
        <v>250</v>
      </c>
      <c r="E1085">
        <v>19</v>
      </c>
      <c r="F1085">
        <v>7.6</v>
      </c>
      <c r="G1085">
        <v>65.900000000000006</v>
      </c>
      <c r="H1085">
        <v>16475</v>
      </c>
    </row>
    <row r="1086" spans="1:8" x14ac:dyDescent="0.35">
      <c r="A1086" t="s">
        <v>6</v>
      </c>
      <c r="B1086" t="s">
        <v>12</v>
      </c>
      <c r="C1086" t="s">
        <v>11</v>
      </c>
      <c r="D1086">
        <v>96</v>
      </c>
      <c r="E1086">
        <v>1</v>
      </c>
      <c r="F1086">
        <v>1.04</v>
      </c>
      <c r="G1086">
        <v>13.15</v>
      </c>
      <c r="H1086">
        <v>1262.4000000000001</v>
      </c>
    </row>
    <row r="1087" spans="1:8" x14ac:dyDescent="0.35">
      <c r="A1087" t="s">
        <v>5</v>
      </c>
      <c r="B1087" t="s">
        <v>12</v>
      </c>
      <c r="C1087" t="s">
        <v>9</v>
      </c>
      <c r="D1087">
        <v>225</v>
      </c>
      <c r="E1087">
        <v>12</v>
      </c>
      <c r="F1087">
        <v>5.33</v>
      </c>
      <c r="G1087">
        <v>7.97</v>
      </c>
      <c r="H1087">
        <v>1793.25</v>
      </c>
    </row>
    <row r="1088" spans="1:8" x14ac:dyDescent="0.35">
      <c r="A1088" t="s">
        <v>7</v>
      </c>
      <c r="B1088" t="s">
        <v>12</v>
      </c>
      <c r="C1088" t="s">
        <v>9</v>
      </c>
      <c r="D1088">
        <v>207</v>
      </c>
      <c r="E1088">
        <v>14</v>
      </c>
      <c r="F1088">
        <v>6.76</v>
      </c>
      <c r="G1088">
        <v>37.979999999999997</v>
      </c>
      <c r="H1088">
        <v>7861.86</v>
      </c>
    </row>
    <row r="1089" spans="1:8" x14ac:dyDescent="0.35">
      <c r="A1089" t="s">
        <v>7</v>
      </c>
      <c r="B1089" t="s">
        <v>12</v>
      </c>
      <c r="C1089" t="s">
        <v>9</v>
      </c>
      <c r="D1089">
        <v>271</v>
      </c>
      <c r="E1089">
        <v>20</v>
      </c>
      <c r="F1089">
        <v>7.38</v>
      </c>
      <c r="G1089">
        <v>7.99</v>
      </c>
      <c r="H1089">
        <v>2165.29</v>
      </c>
    </row>
    <row r="1090" spans="1:8" x14ac:dyDescent="0.35">
      <c r="A1090" t="s">
        <v>5</v>
      </c>
      <c r="B1090" t="s">
        <v>12</v>
      </c>
      <c r="C1090" t="s">
        <v>9</v>
      </c>
      <c r="D1090">
        <v>221</v>
      </c>
      <c r="E1090">
        <v>3</v>
      </c>
      <c r="F1090">
        <v>1.36</v>
      </c>
      <c r="G1090">
        <v>16.48</v>
      </c>
      <c r="H1090">
        <v>3642.08</v>
      </c>
    </row>
    <row r="1091" spans="1:8" x14ac:dyDescent="0.35">
      <c r="A1091" t="s">
        <v>6</v>
      </c>
      <c r="B1091" t="s">
        <v>12</v>
      </c>
      <c r="C1091" t="s">
        <v>11</v>
      </c>
      <c r="D1091">
        <v>169</v>
      </c>
      <c r="E1091">
        <v>13</v>
      </c>
      <c r="F1091">
        <v>7.69</v>
      </c>
      <c r="G1091">
        <v>51.03</v>
      </c>
      <c r="H1091">
        <v>8624.07</v>
      </c>
    </row>
    <row r="1092" spans="1:8" x14ac:dyDescent="0.35">
      <c r="A1092" t="s">
        <v>7</v>
      </c>
      <c r="B1092" t="s">
        <v>12</v>
      </c>
      <c r="C1092" t="s">
        <v>10</v>
      </c>
      <c r="D1092">
        <v>285</v>
      </c>
      <c r="E1092">
        <v>17</v>
      </c>
      <c r="F1092">
        <v>5.96</v>
      </c>
      <c r="G1092">
        <v>19.05</v>
      </c>
      <c r="H1092">
        <v>5429.25</v>
      </c>
    </row>
    <row r="1093" spans="1:8" x14ac:dyDescent="0.35">
      <c r="A1093" t="s">
        <v>5</v>
      </c>
      <c r="B1093" t="s">
        <v>12</v>
      </c>
      <c r="C1093" t="s">
        <v>9</v>
      </c>
      <c r="D1093">
        <v>236</v>
      </c>
      <c r="E1093">
        <v>2</v>
      </c>
      <c r="F1093">
        <v>0.85</v>
      </c>
      <c r="G1093">
        <v>59.34</v>
      </c>
      <c r="H1093">
        <v>14004.24</v>
      </c>
    </row>
    <row r="1094" spans="1:8" x14ac:dyDescent="0.35">
      <c r="A1094" t="s">
        <v>8</v>
      </c>
      <c r="B1094" t="s">
        <v>12</v>
      </c>
      <c r="C1094" t="s">
        <v>9</v>
      </c>
      <c r="D1094">
        <v>241</v>
      </c>
      <c r="E1094">
        <v>15</v>
      </c>
      <c r="F1094">
        <v>6.22</v>
      </c>
      <c r="G1094">
        <v>69.319999999999993</v>
      </c>
      <c r="H1094">
        <v>16706.12</v>
      </c>
    </row>
    <row r="1095" spans="1:8" x14ac:dyDescent="0.35">
      <c r="A1095" t="s">
        <v>6</v>
      </c>
      <c r="B1095" t="s">
        <v>12</v>
      </c>
      <c r="C1095" t="s">
        <v>9</v>
      </c>
      <c r="D1095">
        <v>108</v>
      </c>
      <c r="E1095">
        <v>9</v>
      </c>
      <c r="F1095">
        <v>8.33</v>
      </c>
      <c r="G1095">
        <v>30.79</v>
      </c>
      <c r="H1095">
        <v>3325.32</v>
      </c>
    </row>
    <row r="1096" spans="1:8" x14ac:dyDescent="0.35">
      <c r="A1096" t="s">
        <v>7</v>
      </c>
      <c r="B1096" t="s">
        <v>12</v>
      </c>
      <c r="C1096" t="s">
        <v>10</v>
      </c>
      <c r="D1096">
        <v>186</v>
      </c>
      <c r="E1096">
        <v>9</v>
      </c>
      <c r="F1096">
        <v>4.84</v>
      </c>
      <c r="G1096">
        <v>20.41</v>
      </c>
      <c r="H1096">
        <v>3796.26</v>
      </c>
    </row>
    <row r="1097" spans="1:8" x14ac:dyDescent="0.35">
      <c r="A1097" t="s">
        <v>6</v>
      </c>
      <c r="B1097" t="s">
        <v>12</v>
      </c>
      <c r="C1097" t="s">
        <v>9</v>
      </c>
      <c r="D1097">
        <v>246</v>
      </c>
      <c r="E1097">
        <v>22</v>
      </c>
      <c r="F1097">
        <v>8.94</v>
      </c>
      <c r="G1097">
        <v>69.66</v>
      </c>
      <c r="H1097">
        <v>17136.36</v>
      </c>
    </row>
    <row r="1098" spans="1:8" x14ac:dyDescent="0.35">
      <c r="A1098" t="s">
        <v>5</v>
      </c>
      <c r="B1098" t="s">
        <v>12</v>
      </c>
      <c r="C1098" t="s">
        <v>9</v>
      </c>
      <c r="D1098">
        <v>224</v>
      </c>
      <c r="E1098">
        <v>2</v>
      </c>
      <c r="F1098">
        <v>0.89</v>
      </c>
      <c r="G1098">
        <v>45.45</v>
      </c>
      <c r="H1098">
        <v>10180.799999999999</v>
      </c>
    </row>
    <row r="1099" spans="1:8" x14ac:dyDescent="0.35">
      <c r="A1099" t="s">
        <v>7</v>
      </c>
      <c r="B1099" t="s">
        <v>12</v>
      </c>
      <c r="C1099" t="s">
        <v>10</v>
      </c>
      <c r="D1099">
        <v>275</v>
      </c>
      <c r="E1099">
        <v>9</v>
      </c>
      <c r="F1099">
        <v>3.27</v>
      </c>
      <c r="G1099">
        <v>17.38</v>
      </c>
      <c r="H1099">
        <v>4779.5</v>
      </c>
    </row>
    <row r="1100" spans="1:8" x14ac:dyDescent="0.35">
      <c r="A1100" t="s">
        <v>7</v>
      </c>
      <c r="B1100" t="s">
        <v>12</v>
      </c>
      <c r="C1100" t="s">
        <v>9</v>
      </c>
      <c r="D1100">
        <v>217</v>
      </c>
      <c r="E1100">
        <v>0</v>
      </c>
      <c r="F1100">
        <v>0</v>
      </c>
      <c r="G1100">
        <v>59.07</v>
      </c>
      <c r="H1100">
        <v>12818.19</v>
      </c>
    </row>
    <row r="1101" spans="1:8" x14ac:dyDescent="0.35">
      <c r="A1101" t="s">
        <v>6</v>
      </c>
      <c r="B1101" t="s">
        <v>12</v>
      </c>
      <c r="C1101" t="s">
        <v>11</v>
      </c>
      <c r="D1101">
        <v>106</v>
      </c>
      <c r="E1101">
        <v>2</v>
      </c>
      <c r="F1101">
        <v>1.89</v>
      </c>
      <c r="G1101">
        <v>50.63</v>
      </c>
      <c r="H1101">
        <v>5366.78</v>
      </c>
    </row>
    <row r="1102" spans="1:8" x14ac:dyDescent="0.35">
      <c r="A1102" t="s">
        <v>7</v>
      </c>
      <c r="B1102" t="s">
        <v>12</v>
      </c>
      <c r="C1102" t="s">
        <v>10</v>
      </c>
      <c r="D1102">
        <v>147</v>
      </c>
      <c r="E1102">
        <v>10</v>
      </c>
      <c r="F1102">
        <v>6.8</v>
      </c>
      <c r="G1102">
        <v>13.6</v>
      </c>
      <c r="H1102">
        <v>1999.2</v>
      </c>
    </row>
    <row r="1103" spans="1:8" x14ac:dyDescent="0.35">
      <c r="A1103" t="s">
        <v>6</v>
      </c>
      <c r="B1103" t="s">
        <v>12</v>
      </c>
      <c r="C1103" t="s">
        <v>11</v>
      </c>
      <c r="D1103">
        <v>233</v>
      </c>
      <c r="E1103">
        <v>7</v>
      </c>
      <c r="F1103">
        <v>3</v>
      </c>
      <c r="G1103">
        <v>17.350000000000001</v>
      </c>
      <c r="H1103">
        <v>4042.55</v>
      </c>
    </row>
    <row r="1104" spans="1:8" x14ac:dyDescent="0.35">
      <c r="A1104" t="s">
        <v>5</v>
      </c>
      <c r="B1104" t="s">
        <v>12</v>
      </c>
      <c r="C1104" t="s">
        <v>9</v>
      </c>
      <c r="D1104">
        <v>276</v>
      </c>
      <c r="E1104">
        <v>7</v>
      </c>
      <c r="F1104">
        <v>2.54</v>
      </c>
      <c r="G1104">
        <v>67.3</v>
      </c>
      <c r="H1104">
        <v>18574.8</v>
      </c>
    </row>
    <row r="1105" spans="1:8" x14ac:dyDescent="0.35">
      <c r="A1105" t="s">
        <v>6</v>
      </c>
      <c r="B1105" t="s">
        <v>12</v>
      </c>
      <c r="C1105" t="s">
        <v>9</v>
      </c>
      <c r="D1105">
        <v>227</v>
      </c>
      <c r="E1105">
        <v>17</v>
      </c>
      <c r="F1105">
        <v>7.49</v>
      </c>
      <c r="G1105">
        <v>16.53</v>
      </c>
      <c r="H1105">
        <v>3752.31</v>
      </c>
    </row>
    <row r="1106" spans="1:8" x14ac:dyDescent="0.35">
      <c r="A1106" t="s">
        <v>6</v>
      </c>
      <c r="B1106" t="s">
        <v>12</v>
      </c>
      <c r="C1106" t="s">
        <v>11</v>
      </c>
      <c r="D1106">
        <v>92</v>
      </c>
      <c r="E1106">
        <v>8</v>
      </c>
      <c r="F1106">
        <v>8.6999999999999993</v>
      </c>
      <c r="G1106">
        <v>61.59</v>
      </c>
      <c r="H1106">
        <v>5666.28</v>
      </c>
    </row>
    <row r="1107" spans="1:8" x14ac:dyDescent="0.35">
      <c r="A1107" t="s">
        <v>6</v>
      </c>
      <c r="B1107" t="s">
        <v>12</v>
      </c>
      <c r="C1107" t="s">
        <v>11</v>
      </c>
      <c r="D1107">
        <v>107</v>
      </c>
      <c r="E1107">
        <v>2</v>
      </c>
      <c r="F1107">
        <v>1.87</v>
      </c>
      <c r="G1107">
        <v>26.32</v>
      </c>
      <c r="H1107">
        <v>2816.24</v>
      </c>
    </row>
    <row r="1108" spans="1:8" x14ac:dyDescent="0.35">
      <c r="A1108" t="s">
        <v>7</v>
      </c>
      <c r="B1108" t="s">
        <v>12</v>
      </c>
      <c r="C1108" t="s">
        <v>10</v>
      </c>
      <c r="D1108">
        <v>90</v>
      </c>
      <c r="E1108">
        <v>7</v>
      </c>
      <c r="F1108">
        <v>7.78</v>
      </c>
      <c r="G1108">
        <v>57.52</v>
      </c>
      <c r="H1108">
        <v>5176.8</v>
      </c>
    </row>
    <row r="1109" spans="1:8" x14ac:dyDescent="0.35">
      <c r="A1109" t="s">
        <v>5</v>
      </c>
      <c r="B1109" t="s">
        <v>12</v>
      </c>
      <c r="C1109" t="s">
        <v>9</v>
      </c>
      <c r="D1109">
        <v>166</v>
      </c>
      <c r="E1109">
        <v>15</v>
      </c>
      <c r="F1109">
        <v>9.0399999999999991</v>
      </c>
      <c r="G1109">
        <v>55.79</v>
      </c>
      <c r="H1109">
        <v>9261.14</v>
      </c>
    </row>
    <row r="1110" spans="1:8" x14ac:dyDescent="0.35">
      <c r="A1110" t="s">
        <v>6</v>
      </c>
      <c r="B1110" t="s">
        <v>12</v>
      </c>
      <c r="C1110" t="s">
        <v>11</v>
      </c>
      <c r="D1110">
        <v>85</v>
      </c>
      <c r="E1110">
        <v>4</v>
      </c>
      <c r="F1110">
        <v>4.71</v>
      </c>
      <c r="G1110">
        <v>9.16</v>
      </c>
      <c r="H1110">
        <v>778.6</v>
      </c>
    </row>
    <row r="1111" spans="1:8" x14ac:dyDescent="0.35">
      <c r="A1111" t="s">
        <v>8</v>
      </c>
      <c r="B1111" t="s">
        <v>12</v>
      </c>
      <c r="C1111" t="s">
        <v>9</v>
      </c>
      <c r="D1111">
        <v>278</v>
      </c>
      <c r="E1111">
        <v>21</v>
      </c>
      <c r="F1111">
        <v>7.55</v>
      </c>
      <c r="G1111">
        <v>29.18</v>
      </c>
      <c r="H1111">
        <v>8112.04</v>
      </c>
    </row>
    <row r="1112" spans="1:8" x14ac:dyDescent="0.35">
      <c r="A1112" t="s">
        <v>7</v>
      </c>
      <c r="B1112" t="s">
        <v>12</v>
      </c>
      <c r="C1112" t="s">
        <v>10</v>
      </c>
      <c r="D1112">
        <v>174</v>
      </c>
      <c r="E1112">
        <v>3</v>
      </c>
      <c r="F1112">
        <v>1.72</v>
      </c>
      <c r="G1112">
        <v>17.149999999999999</v>
      </c>
      <c r="H1112">
        <v>2984.1</v>
      </c>
    </row>
    <row r="1113" spans="1:8" x14ac:dyDescent="0.35">
      <c r="A1113" t="s">
        <v>8</v>
      </c>
      <c r="B1113" t="s">
        <v>12</v>
      </c>
      <c r="C1113" t="s">
        <v>9</v>
      </c>
      <c r="D1113">
        <v>199</v>
      </c>
      <c r="E1113">
        <v>7</v>
      </c>
      <c r="F1113">
        <v>3.52</v>
      </c>
      <c r="G1113">
        <v>69.37</v>
      </c>
      <c r="H1113">
        <v>13804.63</v>
      </c>
    </row>
    <row r="1114" spans="1:8" x14ac:dyDescent="0.35">
      <c r="A1114" t="s">
        <v>5</v>
      </c>
      <c r="B1114" t="s">
        <v>12</v>
      </c>
      <c r="C1114" t="s">
        <v>9</v>
      </c>
      <c r="D1114">
        <v>189</v>
      </c>
      <c r="E1114">
        <v>14</v>
      </c>
      <c r="F1114">
        <v>7.41</v>
      </c>
      <c r="G1114">
        <v>18.89</v>
      </c>
      <c r="H1114">
        <v>3570.21</v>
      </c>
    </row>
    <row r="1115" spans="1:8" x14ac:dyDescent="0.35">
      <c r="A1115" t="s">
        <v>8</v>
      </c>
      <c r="B1115" t="s">
        <v>12</v>
      </c>
      <c r="C1115" t="s">
        <v>9</v>
      </c>
      <c r="D1115">
        <v>117</v>
      </c>
      <c r="E1115">
        <v>6</v>
      </c>
      <c r="F1115">
        <v>5.13</v>
      </c>
      <c r="G1115">
        <v>56.64</v>
      </c>
      <c r="H1115">
        <v>6626.88</v>
      </c>
    </row>
    <row r="1116" spans="1:8" x14ac:dyDescent="0.35">
      <c r="A1116" t="s">
        <v>6</v>
      </c>
      <c r="B1116" t="s">
        <v>12</v>
      </c>
      <c r="C1116" t="s">
        <v>11</v>
      </c>
      <c r="D1116">
        <v>235</v>
      </c>
      <c r="E1116">
        <v>2</v>
      </c>
      <c r="F1116">
        <v>0.85</v>
      </c>
      <c r="G1116">
        <v>51.54</v>
      </c>
      <c r="H1116">
        <v>12111.9</v>
      </c>
    </row>
    <row r="1117" spans="1:8" x14ac:dyDescent="0.35">
      <c r="A1117" t="s">
        <v>6</v>
      </c>
      <c r="B1117" t="s">
        <v>12</v>
      </c>
      <c r="C1117" t="s">
        <v>9</v>
      </c>
      <c r="D1117">
        <v>278</v>
      </c>
      <c r="E1117">
        <v>25</v>
      </c>
      <c r="F1117">
        <v>8.99</v>
      </c>
      <c r="G1117">
        <v>30.33</v>
      </c>
      <c r="H1117">
        <v>8431.74</v>
      </c>
    </row>
    <row r="1118" spans="1:8" x14ac:dyDescent="0.35">
      <c r="A1118" t="s">
        <v>7</v>
      </c>
      <c r="B1118" t="s">
        <v>12</v>
      </c>
      <c r="C1118" t="s">
        <v>9</v>
      </c>
      <c r="D1118">
        <v>235</v>
      </c>
      <c r="E1118">
        <v>3</v>
      </c>
      <c r="F1118">
        <v>1.28</v>
      </c>
      <c r="G1118">
        <v>29.01</v>
      </c>
      <c r="H1118">
        <v>6817.35</v>
      </c>
    </row>
    <row r="1119" spans="1:8" x14ac:dyDescent="0.35">
      <c r="A1119" t="s">
        <v>6</v>
      </c>
      <c r="B1119" t="s">
        <v>12</v>
      </c>
      <c r="C1119" t="s">
        <v>9</v>
      </c>
      <c r="D1119">
        <v>72</v>
      </c>
      <c r="E1119">
        <v>7</v>
      </c>
      <c r="F1119">
        <v>9.7200000000000006</v>
      </c>
      <c r="G1119">
        <v>26.27</v>
      </c>
      <c r="H1119">
        <v>1891.44</v>
      </c>
    </row>
    <row r="1120" spans="1:8" x14ac:dyDescent="0.35">
      <c r="A1120" t="s">
        <v>6</v>
      </c>
      <c r="B1120" t="s">
        <v>12</v>
      </c>
      <c r="C1120" t="s">
        <v>9</v>
      </c>
      <c r="D1120">
        <v>179</v>
      </c>
      <c r="E1120">
        <v>0</v>
      </c>
      <c r="F1120">
        <v>0</v>
      </c>
      <c r="G1120">
        <v>22.09</v>
      </c>
      <c r="H1120">
        <v>3954.11</v>
      </c>
    </row>
    <row r="1121" spans="1:8" x14ac:dyDescent="0.35">
      <c r="A1121" t="s">
        <v>5</v>
      </c>
      <c r="B1121" t="s">
        <v>12</v>
      </c>
      <c r="C1121" t="s">
        <v>9</v>
      </c>
      <c r="D1121">
        <v>292</v>
      </c>
      <c r="E1121">
        <v>21</v>
      </c>
      <c r="F1121">
        <v>7.19</v>
      </c>
      <c r="G1121">
        <v>9.09</v>
      </c>
      <c r="H1121">
        <v>2654.28</v>
      </c>
    </row>
    <row r="1122" spans="1:8" x14ac:dyDescent="0.35">
      <c r="A1122" t="s">
        <v>6</v>
      </c>
      <c r="B1122" t="s">
        <v>12</v>
      </c>
      <c r="C1122" t="s">
        <v>9</v>
      </c>
      <c r="D1122">
        <v>287</v>
      </c>
      <c r="E1122">
        <v>4</v>
      </c>
      <c r="F1122">
        <v>1.39</v>
      </c>
      <c r="G1122">
        <v>29.73</v>
      </c>
      <c r="H1122">
        <v>8532.51</v>
      </c>
    </row>
    <row r="1123" spans="1:8" x14ac:dyDescent="0.35">
      <c r="A1123" t="s">
        <v>8</v>
      </c>
      <c r="B1123" t="s">
        <v>12</v>
      </c>
      <c r="C1123" t="s">
        <v>9</v>
      </c>
      <c r="D1123">
        <v>90</v>
      </c>
      <c r="E1123">
        <v>7</v>
      </c>
      <c r="F1123">
        <v>7.78</v>
      </c>
      <c r="G1123">
        <v>46.22</v>
      </c>
      <c r="H1123">
        <v>4159.8</v>
      </c>
    </row>
    <row r="1124" spans="1:8" x14ac:dyDescent="0.35">
      <c r="A1124" t="s">
        <v>7</v>
      </c>
      <c r="B1124" t="s">
        <v>12</v>
      </c>
      <c r="C1124" t="s">
        <v>9</v>
      </c>
      <c r="D1124">
        <v>165</v>
      </c>
      <c r="E1124">
        <v>6</v>
      </c>
      <c r="F1124">
        <v>3.64</v>
      </c>
      <c r="G1124">
        <v>26.82</v>
      </c>
      <c r="H1124">
        <v>4425.3</v>
      </c>
    </row>
    <row r="1125" spans="1:8" x14ac:dyDescent="0.35">
      <c r="A1125" t="s">
        <v>6</v>
      </c>
      <c r="B1125" t="s">
        <v>12</v>
      </c>
      <c r="C1125" t="s">
        <v>9</v>
      </c>
      <c r="D1125">
        <v>109</v>
      </c>
      <c r="E1125">
        <v>0</v>
      </c>
      <c r="F1125">
        <v>0</v>
      </c>
      <c r="G1125">
        <v>29.99</v>
      </c>
      <c r="H1125">
        <v>3268.91</v>
      </c>
    </row>
    <row r="1126" spans="1:8" x14ac:dyDescent="0.35">
      <c r="A1126" t="s">
        <v>5</v>
      </c>
      <c r="B1126" t="s">
        <v>12</v>
      </c>
      <c r="C1126" t="s">
        <v>9</v>
      </c>
      <c r="D1126">
        <v>79</v>
      </c>
      <c r="E1126">
        <v>5</v>
      </c>
      <c r="F1126">
        <v>6.33</v>
      </c>
      <c r="G1126">
        <v>35.28</v>
      </c>
      <c r="H1126">
        <v>2787.12</v>
      </c>
    </row>
    <row r="1127" spans="1:8" x14ac:dyDescent="0.35">
      <c r="A1127" t="s">
        <v>5</v>
      </c>
      <c r="B1127" t="s">
        <v>12</v>
      </c>
      <c r="C1127" t="s">
        <v>9</v>
      </c>
      <c r="D1127">
        <v>296</v>
      </c>
      <c r="E1127">
        <v>9</v>
      </c>
      <c r="F1127">
        <v>3.04</v>
      </c>
      <c r="G1127">
        <v>12.56</v>
      </c>
      <c r="H1127">
        <v>3717.76</v>
      </c>
    </row>
    <row r="1128" spans="1:8" x14ac:dyDescent="0.35">
      <c r="A1128" t="s">
        <v>8</v>
      </c>
      <c r="B1128" t="s">
        <v>12</v>
      </c>
      <c r="C1128" t="s">
        <v>9</v>
      </c>
      <c r="D1128">
        <v>111</v>
      </c>
      <c r="E1128">
        <v>0</v>
      </c>
      <c r="F1128">
        <v>0</v>
      </c>
      <c r="G1128">
        <v>40.47</v>
      </c>
      <c r="H1128">
        <v>4492.17</v>
      </c>
    </row>
    <row r="1129" spans="1:8" x14ac:dyDescent="0.35">
      <c r="A1129" t="s">
        <v>8</v>
      </c>
      <c r="B1129" t="s">
        <v>12</v>
      </c>
      <c r="C1129" t="s">
        <v>9</v>
      </c>
      <c r="D1129">
        <v>288</v>
      </c>
      <c r="E1129">
        <v>28</v>
      </c>
      <c r="F1129">
        <v>9.7200000000000006</v>
      </c>
      <c r="G1129">
        <v>41.73</v>
      </c>
      <c r="H1129">
        <v>12018.24</v>
      </c>
    </row>
    <row r="1130" spans="1:8" x14ac:dyDescent="0.35">
      <c r="A1130" t="s">
        <v>7</v>
      </c>
      <c r="B1130" t="s">
        <v>12</v>
      </c>
      <c r="C1130" t="s">
        <v>10</v>
      </c>
      <c r="D1130">
        <v>225</v>
      </c>
      <c r="E1130">
        <v>10</v>
      </c>
      <c r="F1130">
        <v>4.4400000000000004</v>
      </c>
      <c r="G1130">
        <v>22.88</v>
      </c>
      <c r="H1130">
        <v>5148</v>
      </c>
    </row>
    <row r="1131" spans="1:8" x14ac:dyDescent="0.35">
      <c r="A1131" t="s">
        <v>6</v>
      </c>
      <c r="B1131" t="s">
        <v>12</v>
      </c>
      <c r="C1131" t="s">
        <v>9</v>
      </c>
      <c r="D1131">
        <v>270</v>
      </c>
      <c r="E1131">
        <v>27</v>
      </c>
      <c r="F1131">
        <v>10</v>
      </c>
      <c r="G1131">
        <v>21.66</v>
      </c>
      <c r="H1131">
        <v>5848.2</v>
      </c>
    </row>
    <row r="1132" spans="1:8" x14ac:dyDescent="0.35">
      <c r="A1132" t="s">
        <v>5</v>
      </c>
      <c r="B1132" t="s">
        <v>12</v>
      </c>
      <c r="C1132" t="s">
        <v>9</v>
      </c>
      <c r="D1132">
        <v>177</v>
      </c>
      <c r="E1132">
        <v>14</v>
      </c>
      <c r="F1132">
        <v>7.91</v>
      </c>
      <c r="G1132">
        <v>40.799999999999997</v>
      </c>
      <c r="H1132">
        <v>7221.6</v>
      </c>
    </row>
    <row r="1133" spans="1:8" x14ac:dyDescent="0.35">
      <c r="A1133" t="s">
        <v>7</v>
      </c>
      <c r="B1133" t="s">
        <v>12</v>
      </c>
      <c r="C1133" t="s">
        <v>9</v>
      </c>
      <c r="D1133">
        <v>128</v>
      </c>
      <c r="E1133">
        <v>11</v>
      </c>
      <c r="F1133">
        <v>8.59</v>
      </c>
      <c r="G1133">
        <v>57.72</v>
      </c>
      <c r="H1133">
        <v>7388.16</v>
      </c>
    </row>
    <row r="1134" spans="1:8" x14ac:dyDescent="0.35">
      <c r="A1134" t="s">
        <v>7</v>
      </c>
      <c r="B1134" t="s">
        <v>12</v>
      </c>
      <c r="C1134" t="s">
        <v>9</v>
      </c>
      <c r="D1134">
        <v>124</v>
      </c>
      <c r="E1134">
        <v>12</v>
      </c>
      <c r="F1134">
        <v>9.68</v>
      </c>
      <c r="G1134">
        <v>55.83</v>
      </c>
      <c r="H1134">
        <v>6922.92</v>
      </c>
    </row>
    <row r="1135" spans="1:8" x14ac:dyDescent="0.35">
      <c r="A1135" t="s">
        <v>8</v>
      </c>
      <c r="B1135" t="s">
        <v>12</v>
      </c>
      <c r="C1135" t="s">
        <v>9</v>
      </c>
      <c r="D1135">
        <v>242</v>
      </c>
      <c r="E1135">
        <v>21</v>
      </c>
      <c r="F1135">
        <v>8.68</v>
      </c>
      <c r="G1135">
        <v>57.12</v>
      </c>
      <c r="H1135">
        <v>13823.04</v>
      </c>
    </row>
    <row r="1136" spans="1:8" x14ac:dyDescent="0.35">
      <c r="A1136" t="s">
        <v>7</v>
      </c>
      <c r="B1136" t="s">
        <v>12</v>
      </c>
      <c r="C1136" t="s">
        <v>9</v>
      </c>
      <c r="D1136">
        <v>170</v>
      </c>
      <c r="E1136">
        <v>11</v>
      </c>
      <c r="F1136">
        <v>6.47</v>
      </c>
      <c r="G1136">
        <v>36.35</v>
      </c>
      <c r="H1136">
        <v>6179.5</v>
      </c>
    </row>
    <row r="1137" spans="1:8" x14ac:dyDescent="0.35">
      <c r="A1137" t="s">
        <v>7</v>
      </c>
      <c r="B1137" t="s">
        <v>12</v>
      </c>
      <c r="C1137" t="s">
        <v>10</v>
      </c>
      <c r="D1137">
        <v>122</v>
      </c>
      <c r="E1137">
        <v>0</v>
      </c>
      <c r="F1137">
        <v>0</v>
      </c>
      <c r="G1137">
        <v>65.540000000000006</v>
      </c>
      <c r="H1137">
        <v>7995.88</v>
      </c>
    </row>
    <row r="1138" spans="1:8" x14ac:dyDescent="0.35">
      <c r="A1138" t="s">
        <v>8</v>
      </c>
      <c r="B1138" t="s">
        <v>12</v>
      </c>
      <c r="C1138" t="s">
        <v>9</v>
      </c>
      <c r="D1138">
        <v>285</v>
      </c>
      <c r="E1138">
        <v>8</v>
      </c>
      <c r="F1138">
        <v>2.81</v>
      </c>
      <c r="G1138">
        <v>21.84</v>
      </c>
      <c r="H1138">
        <v>6224.4</v>
      </c>
    </row>
    <row r="1139" spans="1:8" x14ac:dyDescent="0.35">
      <c r="A1139" t="s">
        <v>5</v>
      </c>
      <c r="B1139" t="s">
        <v>12</v>
      </c>
      <c r="C1139" t="s">
        <v>9</v>
      </c>
      <c r="D1139">
        <v>175</v>
      </c>
      <c r="E1139">
        <v>1</v>
      </c>
      <c r="F1139">
        <v>0.56999999999999995</v>
      </c>
      <c r="G1139">
        <v>19.510000000000002</v>
      </c>
      <c r="H1139">
        <v>3414.25</v>
      </c>
    </row>
    <row r="1140" spans="1:8" x14ac:dyDescent="0.35">
      <c r="A1140" t="s">
        <v>7</v>
      </c>
      <c r="B1140" t="s">
        <v>12</v>
      </c>
      <c r="C1140" t="s">
        <v>10</v>
      </c>
      <c r="D1140">
        <v>67</v>
      </c>
      <c r="E1140">
        <v>5</v>
      </c>
      <c r="F1140">
        <v>7.46</v>
      </c>
      <c r="G1140">
        <v>5.46</v>
      </c>
      <c r="H1140">
        <v>365.82</v>
      </c>
    </row>
    <row r="1141" spans="1:8" x14ac:dyDescent="0.35">
      <c r="A1141" t="s">
        <v>7</v>
      </c>
      <c r="B1141" t="s">
        <v>12</v>
      </c>
      <c r="C1141" t="s">
        <v>9</v>
      </c>
      <c r="D1141">
        <v>219</v>
      </c>
      <c r="E1141">
        <v>3</v>
      </c>
      <c r="F1141">
        <v>1.37</v>
      </c>
      <c r="G1141">
        <v>33.25</v>
      </c>
      <c r="H1141">
        <v>7281.75</v>
      </c>
    </row>
    <row r="1142" spans="1:8" x14ac:dyDescent="0.35">
      <c r="A1142" t="s">
        <v>6</v>
      </c>
      <c r="B1142" t="s">
        <v>12</v>
      </c>
      <c r="C1142" t="s">
        <v>11</v>
      </c>
      <c r="D1142">
        <v>122</v>
      </c>
      <c r="E1142">
        <v>0</v>
      </c>
      <c r="F1142">
        <v>0</v>
      </c>
      <c r="G1142">
        <v>32.299999999999997</v>
      </c>
      <c r="H1142">
        <v>3940.6</v>
      </c>
    </row>
    <row r="1143" spans="1:8" x14ac:dyDescent="0.35">
      <c r="A1143" t="s">
        <v>7</v>
      </c>
      <c r="B1143" t="s">
        <v>12</v>
      </c>
      <c r="C1143" t="s">
        <v>10</v>
      </c>
      <c r="D1143">
        <v>192</v>
      </c>
      <c r="E1143">
        <v>8</v>
      </c>
      <c r="F1143">
        <v>4.17</v>
      </c>
      <c r="G1143">
        <v>64.42</v>
      </c>
      <c r="H1143">
        <v>12368.64</v>
      </c>
    </row>
    <row r="1144" spans="1:8" x14ac:dyDescent="0.35">
      <c r="A1144" t="s">
        <v>7</v>
      </c>
      <c r="B1144" t="s">
        <v>12</v>
      </c>
      <c r="C1144" t="s">
        <v>10</v>
      </c>
      <c r="D1144">
        <v>167</v>
      </c>
      <c r="E1144">
        <v>15</v>
      </c>
      <c r="F1144">
        <v>8.98</v>
      </c>
      <c r="G1144">
        <v>6.53</v>
      </c>
      <c r="H1144">
        <v>1090.51</v>
      </c>
    </row>
    <row r="1145" spans="1:8" x14ac:dyDescent="0.35">
      <c r="A1145" t="s">
        <v>6</v>
      </c>
      <c r="B1145" t="s">
        <v>12</v>
      </c>
      <c r="C1145" t="s">
        <v>11</v>
      </c>
      <c r="D1145">
        <v>91</v>
      </c>
      <c r="E1145">
        <v>6</v>
      </c>
      <c r="F1145">
        <v>6.59</v>
      </c>
      <c r="G1145">
        <v>58.47</v>
      </c>
      <c r="H1145">
        <v>5320.77</v>
      </c>
    </row>
    <row r="1146" spans="1:8" x14ac:dyDescent="0.35">
      <c r="A1146" t="s">
        <v>5</v>
      </c>
      <c r="B1146" t="s">
        <v>12</v>
      </c>
      <c r="C1146" t="s">
        <v>9</v>
      </c>
      <c r="D1146">
        <v>123</v>
      </c>
      <c r="E1146">
        <v>0</v>
      </c>
      <c r="F1146">
        <v>0</v>
      </c>
      <c r="G1146">
        <v>9.3800000000000008</v>
      </c>
      <c r="H1146">
        <v>1153.74</v>
      </c>
    </row>
    <row r="1147" spans="1:8" x14ac:dyDescent="0.35">
      <c r="A1147" t="s">
        <v>8</v>
      </c>
      <c r="B1147" t="s">
        <v>12</v>
      </c>
      <c r="C1147" t="s">
        <v>9</v>
      </c>
      <c r="D1147">
        <v>125</v>
      </c>
      <c r="E1147">
        <v>8</v>
      </c>
      <c r="F1147">
        <v>6.4</v>
      </c>
      <c r="G1147">
        <v>31.31</v>
      </c>
      <c r="H1147">
        <v>3913.75</v>
      </c>
    </row>
    <row r="1148" spans="1:8" x14ac:dyDescent="0.35">
      <c r="A1148" t="s">
        <v>6</v>
      </c>
      <c r="B1148" t="s">
        <v>12</v>
      </c>
      <c r="C1148" t="s">
        <v>9</v>
      </c>
      <c r="D1148">
        <v>78</v>
      </c>
      <c r="E1148">
        <v>3</v>
      </c>
      <c r="F1148">
        <v>3.85</v>
      </c>
      <c r="G1148">
        <v>54.51</v>
      </c>
      <c r="H1148">
        <v>4251.78</v>
      </c>
    </row>
    <row r="1149" spans="1:8" x14ac:dyDescent="0.35">
      <c r="A1149" t="s">
        <v>5</v>
      </c>
      <c r="B1149" t="s">
        <v>12</v>
      </c>
      <c r="C1149" t="s">
        <v>9</v>
      </c>
      <c r="D1149">
        <v>292</v>
      </c>
      <c r="E1149">
        <v>6</v>
      </c>
      <c r="F1149">
        <v>2.0499999999999998</v>
      </c>
      <c r="G1149">
        <v>51</v>
      </c>
      <c r="H1149">
        <v>14892</v>
      </c>
    </row>
    <row r="1150" spans="1:8" x14ac:dyDescent="0.35">
      <c r="A1150" t="s">
        <v>6</v>
      </c>
      <c r="B1150" t="s">
        <v>12</v>
      </c>
      <c r="C1150" t="s">
        <v>9</v>
      </c>
      <c r="D1150">
        <v>280</v>
      </c>
      <c r="E1150">
        <v>23</v>
      </c>
      <c r="F1150">
        <v>8.2100000000000009</v>
      </c>
      <c r="G1150">
        <v>25.42</v>
      </c>
      <c r="H1150">
        <v>7117.6</v>
      </c>
    </row>
    <row r="1151" spans="1:8" x14ac:dyDescent="0.35">
      <c r="A1151" t="s">
        <v>6</v>
      </c>
      <c r="B1151" t="s">
        <v>12</v>
      </c>
      <c r="C1151" t="s">
        <v>9</v>
      </c>
      <c r="D1151">
        <v>117</v>
      </c>
      <c r="E1151">
        <v>8</v>
      </c>
      <c r="F1151">
        <v>6.84</v>
      </c>
      <c r="G1151">
        <v>30.04</v>
      </c>
      <c r="H1151">
        <v>3514.68</v>
      </c>
    </row>
    <row r="1152" spans="1:8" x14ac:dyDescent="0.35">
      <c r="A1152" t="s">
        <v>6</v>
      </c>
      <c r="B1152" t="s">
        <v>12</v>
      </c>
      <c r="C1152" t="s">
        <v>9</v>
      </c>
      <c r="D1152">
        <v>179</v>
      </c>
      <c r="E1152">
        <v>3</v>
      </c>
      <c r="F1152">
        <v>1.68</v>
      </c>
      <c r="G1152">
        <v>21.26</v>
      </c>
      <c r="H1152">
        <v>3805.54</v>
      </c>
    </row>
    <row r="1153" spans="1:8" x14ac:dyDescent="0.35">
      <c r="A1153" t="s">
        <v>5</v>
      </c>
      <c r="B1153" t="s">
        <v>12</v>
      </c>
      <c r="C1153" t="s">
        <v>9</v>
      </c>
      <c r="D1153">
        <v>225</v>
      </c>
      <c r="E1153">
        <v>4</v>
      </c>
      <c r="F1153">
        <v>1.78</v>
      </c>
      <c r="G1153">
        <v>22.97</v>
      </c>
      <c r="H1153">
        <v>5168.25</v>
      </c>
    </row>
    <row r="1154" spans="1:8" x14ac:dyDescent="0.35">
      <c r="A1154" t="s">
        <v>7</v>
      </c>
      <c r="B1154" t="s">
        <v>12</v>
      </c>
      <c r="C1154" t="s">
        <v>9</v>
      </c>
      <c r="D1154">
        <v>285</v>
      </c>
      <c r="E1154">
        <v>11</v>
      </c>
      <c r="F1154">
        <v>3.86</v>
      </c>
      <c r="G1154">
        <v>7.8</v>
      </c>
      <c r="H1154">
        <v>2223</v>
      </c>
    </row>
    <row r="1155" spans="1:8" x14ac:dyDescent="0.35">
      <c r="A1155" t="s">
        <v>7</v>
      </c>
      <c r="B1155" t="s">
        <v>12</v>
      </c>
      <c r="C1155" t="s">
        <v>10</v>
      </c>
      <c r="D1155">
        <v>51</v>
      </c>
      <c r="E1155">
        <v>4</v>
      </c>
      <c r="F1155">
        <v>7.84</v>
      </c>
      <c r="G1155">
        <v>34.729999999999997</v>
      </c>
      <c r="H1155">
        <v>1771.23</v>
      </c>
    </row>
    <row r="1156" spans="1:8" x14ac:dyDescent="0.35">
      <c r="A1156" t="s">
        <v>5</v>
      </c>
      <c r="B1156" t="s">
        <v>12</v>
      </c>
      <c r="C1156" t="s">
        <v>9</v>
      </c>
      <c r="D1156">
        <v>286</v>
      </c>
      <c r="E1156">
        <v>5</v>
      </c>
      <c r="F1156">
        <v>1.75</v>
      </c>
      <c r="G1156">
        <v>8.74</v>
      </c>
      <c r="H1156">
        <v>2499.64</v>
      </c>
    </row>
    <row r="1157" spans="1:8" x14ac:dyDescent="0.35">
      <c r="A1157" t="s">
        <v>7</v>
      </c>
      <c r="B1157" t="s">
        <v>12</v>
      </c>
      <c r="C1157" t="s">
        <v>9</v>
      </c>
      <c r="D1157">
        <v>203</v>
      </c>
      <c r="E1157">
        <v>20</v>
      </c>
      <c r="F1157">
        <v>9.85</v>
      </c>
      <c r="G1157">
        <v>64.819999999999993</v>
      </c>
      <c r="H1157">
        <v>13158.46</v>
      </c>
    </row>
    <row r="1158" spans="1:8" x14ac:dyDescent="0.35">
      <c r="A1158" t="s">
        <v>8</v>
      </c>
      <c r="B1158" t="s">
        <v>12</v>
      </c>
      <c r="C1158" t="s">
        <v>9</v>
      </c>
      <c r="D1158">
        <v>217</v>
      </c>
      <c r="E1158">
        <v>11</v>
      </c>
      <c r="F1158">
        <v>5.07</v>
      </c>
      <c r="G1158">
        <v>68.97</v>
      </c>
      <c r="H1158">
        <v>14966.49</v>
      </c>
    </row>
    <row r="1159" spans="1:8" x14ac:dyDescent="0.35">
      <c r="A1159" t="s">
        <v>7</v>
      </c>
      <c r="B1159" t="s">
        <v>12</v>
      </c>
      <c r="C1159" t="s">
        <v>10</v>
      </c>
      <c r="D1159">
        <v>54</v>
      </c>
      <c r="E1159">
        <v>2</v>
      </c>
      <c r="F1159">
        <v>3.7</v>
      </c>
      <c r="G1159">
        <v>25.7</v>
      </c>
      <c r="H1159">
        <v>1387.8</v>
      </c>
    </row>
    <row r="1160" spans="1:8" x14ac:dyDescent="0.35">
      <c r="A1160" t="s">
        <v>7</v>
      </c>
      <c r="B1160" t="s">
        <v>12</v>
      </c>
      <c r="C1160" t="s">
        <v>10</v>
      </c>
      <c r="D1160">
        <v>57</v>
      </c>
      <c r="E1160">
        <v>5</v>
      </c>
      <c r="F1160">
        <v>8.77</v>
      </c>
      <c r="G1160">
        <v>24.29</v>
      </c>
      <c r="H1160">
        <v>1384.53</v>
      </c>
    </row>
    <row r="1161" spans="1:8" x14ac:dyDescent="0.35">
      <c r="A1161" t="s">
        <v>6</v>
      </c>
      <c r="B1161" t="s">
        <v>12</v>
      </c>
      <c r="C1161" t="s">
        <v>9</v>
      </c>
      <c r="D1161">
        <v>229</v>
      </c>
      <c r="E1161">
        <v>6</v>
      </c>
      <c r="F1161">
        <v>2.62</v>
      </c>
      <c r="G1161">
        <v>56.28</v>
      </c>
      <c r="H1161">
        <v>12888.12</v>
      </c>
    </row>
    <row r="1162" spans="1:8" x14ac:dyDescent="0.35">
      <c r="A1162" t="s">
        <v>7</v>
      </c>
      <c r="B1162" t="s">
        <v>12</v>
      </c>
      <c r="C1162" t="s">
        <v>10</v>
      </c>
      <c r="D1162">
        <v>178</v>
      </c>
      <c r="E1162">
        <v>0</v>
      </c>
      <c r="F1162">
        <v>0</v>
      </c>
      <c r="G1162">
        <v>28.84</v>
      </c>
      <c r="H1162">
        <v>5133.5200000000004</v>
      </c>
    </row>
    <row r="1163" spans="1:8" x14ac:dyDescent="0.35">
      <c r="A1163" t="s">
        <v>7</v>
      </c>
      <c r="B1163" t="s">
        <v>12</v>
      </c>
      <c r="C1163" t="s">
        <v>9</v>
      </c>
      <c r="D1163">
        <v>116</v>
      </c>
      <c r="E1163">
        <v>5</v>
      </c>
      <c r="F1163">
        <v>4.3099999999999996</v>
      </c>
      <c r="G1163">
        <v>6.48</v>
      </c>
      <c r="H1163">
        <v>751.68</v>
      </c>
    </row>
    <row r="1164" spans="1:8" x14ac:dyDescent="0.35">
      <c r="A1164" t="s">
        <v>6</v>
      </c>
      <c r="B1164" t="s">
        <v>12</v>
      </c>
      <c r="C1164" t="s">
        <v>9</v>
      </c>
      <c r="D1164">
        <v>225</v>
      </c>
      <c r="E1164">
        <v>5</v>
      </c>
      <c r="F1164">
        <v>2.2200000000000002</v>
      </c>
      <c r="G1164">
        <v>34.94</v>
      </c>
      <c r="H1164">
        <v>7861.5</v>
      </c>
    </row>
    <row r="1165" spans="1:8" x14ac:dyDescent="0.35">
      <c r="A1165" t="s">
        <v>8</v>
      </c>
      <c r="B1165" t="s">
        <v>12</v>
      </c>
      <c r="C1165" t="s">
        <v>9</v>
      </c>
      <c r="D1165">
        <v>249</v>
      </c>
      <c r="E1165">
        <v>8</v>
      </c>
      <c r="F1165">
        <v>3.21</v>
      </c>
      <c r="G1165">
        <v>58.91</v>
      </c>
      <c r="H1165">
        <v>14668.59</v>
      </c>
    </row>
    <row r="1166" spans="1:8" x14ac:dyDescent="0.35">
      <c r="A1166" t="s">
        <v>6</v>
      </c>
      <c r="B1166" t="s">
        <v>12</v>
      </c>
      <c r="C1166" t="s">
        <v>9</v>
      </c>
      <c r="D1166">
        <v>104</v>
      </c>
      <c r="E1166">
        <v>8</v>
      </c>
      <c r="F1166">
        <v>7.69</v>
      </c>
      <c r="G1166">
        <v>45.19</v>
      </c>
      <c r="H1166">
        <v>4699.76</v>
      </c>
    </row>
    <row r="1167" spans="1:8" x14ac:dyDescent="0.35">
      <c r="A1167" t="s">
        <v>7</v>
      </c>
      <c r="B1167" t="s">
        <v>12</v>
      </c>
      <c r="C1167" t="s">
        <v>10</v>
      </c>
      <c r="D1167">
        <v>51</v>
      </c>
      <c r="E1167">
        <v>5</v>
      </c>
      <c r="F1167">
        <v>9.8000000000000007</v>
      </c>
      <c r="G1167">
        <v>39.04</v>
      </c>
      <c r="H1167">
        <v>1991.04</v>
      </c>
    </row>
    <row r="1168" spans="1:8" x14ac:dyDescent="0.35">
      <c r="A1168" t="s">
        <v>6</v>
      </c>
      <c r="B1168" t="s">
        <v>12</v>
      </c>
      <c r="C1168" t="s">
        <v>11</v>
      </c>
      <c r="D1168">
        <v>150</v>
      </c>
      <c r="E1168">
        <v>15</v>
      </c>
      <c r="F1168">
        <v>10</v>
      </c>
      <c r="G1168">
        <v>12.07</v>
      </c>
      <c r="H1168">
        <v>1810.5</v>
      </c>
    </row>
    <row r="1169" spans="1:8" x14ac:dyDescent="0.35">
      <c r="A1169" t="s">
        <v>7</v>
      </c>
      <c r="B1169" t="s">
        <v>12</v>
      </c>
      <c r="C1169" t="s">
        <v>10</v>
      </c>
      <c r="D1169">
        <v>238</v>
      </c>
      <c r="E1169">
        <v>21</v>
      </c>
      <c r="F1169">
        <v>8.82</v>
      </c>
      <c r="G1169">
        <v>64.11</v>
      </c>
      <c r="H1169">
        <v>15258.18</v>
      </c>
    </row>
    <row r="1170" spans="1:8" x14ac:dyDescent="0.35">
      <c r="A1170" t="s">
        <v>5</v>
      </c>
      <c r="B1170" t="s">
        <v>12</v>
      </c>
      <c r="C1170" t="s">
        <v>9</v>
      </c>
      <c r="D1170">
        <v>130</v>
      </c>
      <c r="E1170">
        <v>7</v>
      </c>
      <c r="F1170">
        <v>5.38</v>
      </c>
      <c r="G1170">
        <v>29.85</v>
      </c>
      <c r="H1170">
        <v>3880.5</v>
      </c>
    </row>
    <row r="1171" spans="1:8" x14ac:dyDescent="0.35">
      <c r="A1171" t="s">
        <v>8</v>
      </c>
      <c r="B1171" t="s">
        <v>12</v>
      </c>
      <c r="C1171" t="s">
        <v>9</v>
      </c>
      <c r="D1171">
        <v>235</v>
      </c>
      <c r="E1171">
        <v>11</v>
      </c>
      <c r="F1171">
        <v>4.68</v>
      </c>
      <c r="G1171">
        <v>42.99</v>
      </c>
      <c r="H1171">
        <v>10102.65</v>
      </c>
    </row>
    <row r="1172" spans="1:8" x14ac:dyDescent="0.35">
      <c r="A1172" t="s">
        <v>8</v>
      </c>
      <c r="B1172" t="s">
        <v>12</v>
      </c>
      <c r="C1172" t="s">
        <v>9</v>
      </c>
      <c r="D1172">
        <v>247</v>
      </c>
      <c r="E1172">
        <v>3</v>
      </c>
      <c r="F1172">
        <v>1.21</v>
      </c>
      <c r="G1172">
        <v>62.39</v>
      </c>
      <c r="H1172">
        <v>15410.33</v>
      </c>
    </row>
    <row r="1173" spans="1:8" x14ac:dyDescent="0.35">
      <c r="A1173" t="s">
        <v>8</v>
      </c>
      <c r="B1173" t="s">
        <v>12</v>
      </c>
      <c r="C1173" t="s">
        <v>9</v>
      </c>
      <c r="D1173">
        <v>251</v>
      </c>
      <c r="E1173">
        <v>11</v>
      </c>
      <c r="F1173">
        <v>4.38</v>
      </c>
      <c r="G1173">
        <v>67.010000000000005</v>
      </c>
      <c r="H1173">
        <v>16819.509999999998</v>
      </c>
    </row>
    <row r="1174" spans="1:8" x14ac:dyDescent="0.35">
      <c r="A1174" t="s">
        <v>7</v>
      </c>
      <c r="B1174" t="s">
        <v>12</v>
      </c>
      <c r="C1174" t="s">
        <v>9</v>
      </c>
      <c r="D1174">
        <v>110</v>
      </c>
      <c r="E1174">
        <v>1</v>
      </c>
      <c r="F1174">
        <v>0.91</v>
      </c>
      <c r="G1174">
        <v>16.190000000000001</v>
      </c>
      <c r="H1174">
        <v>1780.9</v>
      </c>
    </row>
    <row r="1175" spans="1:8" x14ac:dyDescent="0.35">
      <c r="A1175" t="s">
        <v>5</v>
      </c>
      <c r="B1175" t="s">
        <v>12</v>
      </c>
      <c r="C1175" t="s">
        <v>9</v>
      </c>
      <c r="D1175">
        <v>289</v>
      </c>
      <c r="E1175">
        <v>16</v>
      </c>
      <c r="F1175">
        <v>5.54</v>
      </c>
      <c r="G1175">
        <v>67.61</v>
      </c>
      <c r="H1175">
        <v>19539.29</v>
      </c>
    </row>
    <row r="1176" spans="1:8" x14ac:dyDescent="0.35">
      <c r="A1176" t="s">
        <v>7</v>
      </c>
      <c r="B1176" t="s">
        <v>12</v>
      </c>
      <c r="C1176" t="s">
        <v>9</v>
      </c>
      <c r="D1176">
        <v>115</v>
      </c>
      <c r="E1176">
        <v>9</v>
      </c>
      <c r="F1176">
        <v>7.83</v>
      </c>
      <c r="G1176">
        <v>61.77</v>
      </c>
      <c r="H1176">
        <v>7103.55</v>
      </c>
    </row>
    <row r="1177" spans="1:8" x14ac:dyDescent="0.35">
      <c r="A1177" t="s">
        <v>5</v>
      </c>
      <c r="B1177" t="s">
        <v>12</v>
      </c>
      <c r="C1177" t="s">
        <v>9</v>
      </c>
      <c r="D1177">
        <v>60</v>
      </c>
      <c r="E1177">
        <v>4</v>
      </c>
      <c r="F1177">
        <v>6.67</v>
      </c>
      <c r="G1177">
        <v>35.19</v>
      </c>
      <c r="H1177">
        <v>2111.4</v>
      </c>
    </row>
    <row r="1178" spans="1:8" x14ac:dyDescent="0.35">
      <c r="A1178" t="s">
        <v>7</v>
      </c>
      <c r="B1178" t="s">
        <v>12</v>
      </c>
      <c r="C1178" t="s">
        <v>10</v>
      </c>
      <c r="D1178">
        <v>175</v>
      </c>
      <c r="E1178">
        <v>0</v>
      </c>
      <c r="F1178">
        <v>0</v>
      </c>
      <c r="G1178">
        <v>28.96</v>
      </c>
      <c r="H1178">
        <v>5068</v>
      </c>
    </row>
    <row r="1179" spans="1:8" x14ac:dyDescent="0.35">
      <c r="A1179" t="s">
        <v>6</v>
      </c>
      <c r="B1179" t="s">
        <v>12</v>
      </c>
      <c r="C1179" t="s">
        <v>9</v>
      </c>
      <c r="D1179">
        <v>95</v>
      </c>
      <c r="E1179">
        <v>3</v>
      </c>
      <c r="F1179">
        <v>3.16</v>
      </c>
      <c r="G1179">
        <v>65.36</v>
      </c>
      <c r="H1179">
        <v>6209.2</v>
      </c>
    </row>
    <row r="1180" spans="1:8" x14ac:dyDescent="0.35">
      <c r="A1180" t="s">
        <v>8</v>
      </c>
      <c r="B1180" t="s">
        <v>12</v>
      </c>
      <c r="C1180" t="s">
        <v>9</v>
      </c>
      <c r="D1180">
        <v>201</v>
      </c>
      <c r="E1180">
        <v>11</v>
      </c>
      <c r="F1180">
        <v>5.47</v>
      </c>
      <c r="G1180">
        <v>44.05</v>
      </c>
      <c r="H1180">
        <v>8854.0499999999993</v>
      </c>
    </row>
    <row r="1181" spans="1:8" x14ac:dyDescent="0.35">
      <c r="A1181" t="s">
        <v>5</v>
      </c>
      <c r="B1181" t="s">
        <v>12</v>
      </c>
      <c r="C1181" t="s">
        <v>9</v>
      </c>
      <c r="D1181">
        <v>59</v>
      </c>
      <c r="E1181">
        <v>0</v>
      </c>
      <c r="F1181">
        <v>0</v>
      </c>
      <c r="G1181">
        <v>32.04</v>
      </c>
      <c r="H1181">
        <v>1890.36</v>
      </c>
    </row>
    <row r="1182" spans="1:8" x14ac:dyDescent="0.35">
      <c r="A1182" t="s">
        <v>8</v>
      </c>
      <c r="B1182" t="s">
        <v>12</v>
      </c>
      <c r="C1182" t="s">
        <v>9</v>
      </c>
      <c r="D1182">
        <v>177</v>
      </c>
      <c r="E1182">
        <v>16</v>
      </c>
      <c r="F1182">
        <v>9.0399999999999991</v>
      </c>
      <c r="G1182">
        <v>34.840000000000003</v>
      </c>
      <c r="H1182">
        <v>6166.68</v>
      </c>
    </row>
    <row r="1183" spans="1:8" x14ac:dyDescent="0.35">
      <c r="A1183" t="s">
        <v>7</v>
      </c>
      <c r="B1183" t="s">
        <v>12</v>
      </c>
      <c r="C1183" t="s">
        <v>10</v>
      </c>
      <c r="D1183">
        <v>266</v>
      </c>
      <c r="E1183">
        <v>20</v>
      </c>
      <c r="F1183">
        <v>7.52</v>
      </c>
      <c r="G1183">
        <v>19.07</v>
      </c>
      <c r="H1183">
        <v>5072.62</v>
      </c>
    </row>
    <row r="1184" spans="1:8" x14ac:dyDescent="0.35">
      <c r="A1184" t="s">
        <v>5</v>
      </c>
      <c r="B1184" t="s">
        <v>12</v>
      </c>
      <c r="C1184" t="s">
        <v>9</v>
      </c>
      <c r="D1184">
        <v>171</v>
      </c>
      <c r="E1184">
        <v>17</v>
      </c>
      <c r="F1184">
        <v>9.94</v>
      </c>
      <c r="G1184">
        <v>62.23</v>
      </c>
      <c r="H1184">
        <v>10641.33</v>
      </c>
    </row>
    <row r="1185" spans="1:8" x14ac:dyDescent="0.35">
      <c r="A1185" t="s">
        <v>8</v>
      </c>
      <c r="B1185" t="s">
        <v>12</v>
      </c>
      <c r="C1185" t="s">
        <v>9</v>
      </c>
      <c r="D1185">
        <v>177</v>
      </c>
      <c r="E1185">
        <v>14</v>
      </c>
      <c r="F1185">
        <v>7.91</v>
      </c>
      <c r="G1185">
        <v>49.14</v>
      </c>
      <c r="H1185">
        <v>8697.7800000000007</v>
      </c>
    </row>
    <row r="1186" spans="1:8" x14ac:dyDescent="0.35">
      <c r="A1186" t="s">
        <v>6</v>
      </c>
      <c r="B1186" t="s">
        <v>12</v>
      </c>
      <c r="C1186" t="s">
        <v>11</v>
      </c>
      <c r="D1186">
        <v>152</v>
      </c>
      <c r="E1186">
        <v>9</v>
      </c>
      <c r="F1186">
        <v>5.92</v>
      </c>
      <c r="G1186">
        <v>44.47</v>
      </c>
      <c r="H1186">
        <v>6759.44</v>
      </c>
    </row>
    <row r="1187" spans="1:8" x14ac:dyDescent="0.35">
      <c r="A1187" t="s">
        <v>7</v>
      </c>
      <c r="B1187" t="s">
        <v>12</v>
      </c>
      <c r="C1187" t="s">
        <v>9</v>
      </c>
      <c r="D1187">
        <v>284</v>
      </c>
      <c r="E1187">
        <v>21</v>
      </c>
      <c r="F1187">
        <v>7.39</v>
      </c>
      <c r="G1187">
        <v>69.7</v>
      </c>
      <c r="H1187">
        <v>19794.8</v>
      </c>
    </row>
    <row r="1188" spans="1:8" x14ac:dyDescent="0.35">
      <c r="A1188" t="s">
        <v>5</v>
      </c>
      <c r="B1188" t="s">
        <v>12</v>
      </c>
      <c r="C1188" t="s">
        <v>9</v>
      </c>
      <c r="D1188">
        <v>92</v>
      </c>
      <c r="E1188">
        <v>9</v>
      </c>
      <c r="F1188">
        <v>9.7799999999999994</v>
      </c>
      <c r="G1188">
        <v>12.85</v>
      </c>
      <c r="H1188">
        <v>1182.2</v>
      </c>
    </row>
    <row r="1189" spans="1:8" x14ac:dyDescent="0.35">
      <c r="A1189" t="s">
        <v>7</v>
      </c>
      <c r="B1189" t="s">
        <v>12</v>
      </c>
      <c r="C1189" t="s">
        <v>10</v>
      </c>
      <c r="D1189">
        <v>110</v>
      </c>
      <c r="E1189">
        <v>2</v>
      </c>
      <c r="F1189">
        <v>1.82</v>
      </c>
      <c r="G1189">
        <v>36.35</v>
      </c>
      <c r="H1189">
        <v>3998.5</v>
      </c>
    </row>
    <row r="1190" spans="1:8" x14ac:dyDescent="0.35">
      <c r="A1190" t="s">
        <v>7</v>
      </c>
      <c r="B1190" t="s">
        <v>12</v>
      </c>
      <c r="C1190" t="s">
        <v>10</v>
      </c>
      <c r="D1190">
        <v>134</v>
      </c>
      <c r="E1190">
        <v>5</v>
      </c>
      <c r="F1190">
        <v>3.73</v>
      </c>
      <c r="G1190">
        <v>5.05</v>
      </c>
      <c r="H1190">
        <v>676.7</v>
      </c>
    </row>
    <row r="1191" spans="1:8" x14ac:dyDescent="0.35">
      <c r="A1191" t="s">
        <v>6</v>
      </c>
      <c r="B1191" t="s">
        <v>12</v>
      </c>
      <c r="C1191" t="s">
        <v>11</v>
      </c>
      <c r="D1191">
        <v>174</v>
      </c>
      <c r="E1191">
        <v>5</v>
      </c>
      <c r="F1191">
        <v>2.87</v>
      </c>
      <c r="G1191">
        <v>58.86</v>
      </c>
      <c r="H1191">
        <v>10241.64</v>
      </c>
    </row>
    <row r="1192" spans="1:8" x14ac:dyDescent="0.35">
      <c r="A1192" t="s">
        <v>5</v>
      </c>
      <c r="B1192" t="s">
        <v>12</v>
      </c>
      <c r="C1192" t="s">
        <v>9</v>
      </c>
      <c r="D1192">
        <v>111</v>
      </c>
      <c r="E1192">
        <v>6</v>
      </c>
      <c r="F1192">
        <v>5.41</v>
      </c>
      <c r="G1192">
        <v>17.239999999999998</v>
      </c>
      <c r="H1192">
        <v>1913.64</v>
      </c>
    </row>
    <row r="1193" spans="1:8" x14ac:dyDescent="0.35">
      <c r="A1193" t="s">
        <v>7</v>
      </c>
      <c r="B1193" t="s">
        <v>12</v>
      </c>
      <c r="C1193" t="s">
        <v>9</v>
      </c>
      <c r="D1193">
        <v>210</v>
      </c>
      <c r="E1193">
        <v>6</v>
      </c>
      <c r="F1193">
        <v>2.86</v>
      </c>
      <c r="G1193">
        <v>7.77</v>
      </c>
      <c r="H1193">
        <v>1631.7</v>
      </c>
    </row>
    <row r="1194" spans="1:8" x14ac:dyDescent="0.35">
      <c r="A1194" t="s">
        <v>7</v>
      </c>
      <c r="B1194" t="s">
        <v>12</v>
      </c>
      <c r="C1194" t="s">
        <v>10</v>
      </c>
      <c r="D1194">
        <v>165</v>
      </c>
      <c r="E1194">
        <v>4</v>
      </c>
      <c r="F1194">
        <v>2.42</v>
      </c>
      <c r="G1194">
        <v>21.76</v>
      </c>
      <c r="H1194">
        <v>3590.4</v>
      </c>
    </row>
    <row r="1195" spans="1:8" x14ac:dyDescent="0.35">
      <c r="A1195" t="s">
        <v>5</v>
      </c>
      <c r="B1195" t="s">
        <v>12</v>
      </c>
      <c r="C1195" t="s">
        <v>9</v>
      </c>
      <c r="D1195">
        <v>162</v>
      </c>
      <c r="E1195">
        <v>9</v>
      </c>
      <c r="F1195">
        <v>5.56</v>
      </c>
      <c r="G1195">
        <v>67.510000000000005</v>
      </c>
      <c r="H1195">
        <v>10936.62</v>
      </c>
    </row>
    <row r="1196" spans="1:8" x14ac:dyDescent="0.35">
      <c r="A1196" t="s">
        <v>7</v>
      </c>
      <c r="B1196" t="s">
        <v>12</v>
      </c>
      <c r="C1196" t="s">
        <v>10</v>
      </c>
      <c r="D1196">
        <v>253</v>
      </c>
      <c r="E1196">
        <v>21</v>
      </c>
      <c r="F1196">
        <v>8.3000000000000007</v>
      </c>
      <c r="G1196">
        <v>37.159999999999997</v>
      </c>
      <c r="H1196">
        <v>9401.48</v>
      </c>
    </row>
    <row r="1197" spans="1:8" x14ac:dyDescent="0.35">
      <c r="A1197" t="s">
        <v>8</v>
      </c>
      <c r="B1197" t="s">
        <v>12</v>
      </c>
      <c r="C1197" t="s">
        <v>9</v>
      </c>
      <c r="D1197">
        <v>226</v>
      </c>
      <c r="E1197">
        <v>15</v>
      </c>
      <c r="F1197">
        <v>6.64</v>
      </c>
      <c r="G1197">
        <v>19.5</v>
      </c>
      <c r="H1197">
        <v>4407</v>
      </c>
    </row>
    <row r="1198" spans="1:8" x14ac:dyDescent="0.35">
      <c r="A1198" t="s">
        <v>7</v>
      </c>
      <c r="B1198" t="s">
        <v>12</v>
      </c>
      <c r="C1198" t="s">
        <v>10</v>
      </c>
      <c r="D1198">
        <v>155</v>
      </c>
      <c r="E1198">
        <v>0</v>
      </c>
      <c r="F1198">
        <v>0</v>
      </c>
      <c r="G1198">
        <v>64.739999999999995</v>
      </c>
      <c r="H1198">
        <v>10034.700000000001</v>
      </c>
    </row>
    <row r="1199" spans="1:8" x14ac:dyDescent="0.35">
      <c r="A1199" t="s">
        <v>8</v>
      </c>
      <c r="B1199" t="s">
        <v>12</v>
      </c>
      <c r="C1199" t="s">
        <v>9</v>
      </c>
      <c r="D1199">
        <v>150</v>
      </c>
      <c r="E1199">
        <v>6</v>
      </c>
      <c r="F1199">
        <v>4</v>
      </c>
      <c r="G1199">
        <v>38.65</v>
      </c>
      <c r="H1199">
        <v>5797.5</v>
      </c>
    </row>
    <row r="1200" spans="1:8" x14ac:dyDescent="0.35">
      <c r="A1200" t="s">
        <v>7</v>
      </c>
      <c r="B1200" t="s">
        <v>12</v>
      </c>
      <c r="C1200" t="s">
        <v>9</v>
      </c>
      <c r="D1200">
        <v>243</v>
      </c>
      <c r="E1200">
        <v>23</v>
      </c>
      <c r="F1200">
        <v>9.4700000000000006</v>
      </c>
      <c r="G1200">
        <v>55.86</v>
      </c>
      <c r="H1200">
        <v>13573.98</v>
      </c>
    </row>
    <row r="1201" spans="1:8" x14ac:dyDescent="0.35">
      <c r="A1201" t="s">
        <v>7</v>
      </c>
      <c r="B1201" t="s">
        <v>12</v>
      </c>
      <c r="C1201" t="s">
        <v>10</v>
      </c>
      <c r="D1201">
        <v>123</v>
      </c>
      <c r="E1201">
        <v>6</v>
      </c>
      <c r="F1201">
        <v>4.88</v>
      </c>
      <c r="G1201">
        <v>16.8</v>
      </c>
      <c r="H1201">
        <v>2066.4</v>
      </c>
    </row>
    <row r="1202" spans="1:8" x14ac:dyDescent="0.35">
      <c r="A1202" t="s">
        <v>5</v>
      </c>
      <c r="B1202" t="s">
        <v>12</v>
      </c>
      <c r="C1202" t="s">
        <v>9</v>
      </c>
      <c r="D1202">
        <v>150</v>
      </c>
      <c r="E1202">
        <v>1</v>
      </c>
      <c r="F1202">
        <v>0.67</v>
      </c>
      <c r="G1202">
        <v>16</v>
      </c>
      <c r="H1202">
        <v>2400</v>
      </c>
    </row>
    <row r="1203" spans="1:8" x14ac:dyDescent="0.35">
      <c r="A1203" t="s">
        <v>5</v>
      </c>
      <c r="B1203" t="s">
        <v>12</v>
      </c>
      <c r="C1203" t="s">
        <v>9</v>
      </c>
      <c r="D1203">
        <v>154</v>
      </c>
      <c r="E1203">
        <v>15</v>
      </c>
      <c r="F1203">
        <v>9.74</v>
      </c>
      <c r="G1203">
        <v>22.14</v>
      </c>
      <c r="H1203">
        <v>3409.56</v>
      </c>
    </row>
    <row r="1204" spans="1:8" x14ac:dyDescent="0.35">
      <c r="A1204" t="s">
        <v>6</v>
      </c>
      <c r="B1204" t="s">
        <v>12</v>
      </c>
      <c r="C1204" t="s">
        <v>11</v>
      </c>
      <c r="D1204">
        <v>173</v>
      </c>
      <c r="E1204">
        <v>1</v>
      </c>
      <c r="F1204">
        <v>0.57999999999999996</v>
      </c>
      <c r="G1204">
        <v>46.83</v>
      </c>
      <c r="H1204">
        <v>8101.59</v>
      </c>
    </row>
    <row r="1205" spans="1:8" x14ac:dyDescent="0.35">
      <c r="A1205" t="s">
        <v>7</v>
      </c>
      <c r="B1205" t="s">
        <v>12</v>
      </c>
      <c r="C1205" t="s">
        <v>9</v>
      </c>
      <c r="D1205">
        <v>179</v>
      </c>
      <c r="E1205">
        <v>3</v>
      </c>
      <c r="F1205">
        <v>1.68</v>
      </c>
      <c r="G1205">
        <v>17.190000000000001</v>
      </c>
      <c r="H1205">
        <v>3077.01</v>
      </c>
    </row>
    <row r="1206" spans="1:8" x14ac:dyDescent="0.35">
      <c r="A1206" t="s">
        <v>8</v>
      </c>
      <c r="B1206" t="s">
        <v>12</v>
      </c>
      <c r="C1206" t="s">
        <v>9</v>
      </c>
      <c r="D1206">
        <v>67</v>
      </c>
      <c r="E1206">
        <v>1</v>
      </c>
      <c r="F1206">
        <v>1.49</v>
      </c>
      <c r="G1206">
        <v>55.42</v>
      </c>
      <c r="H1206">
        <v>3713.14</v>
      </c>
    </row>
    <row r="1207" spans="1:8" x14ac:dyDescent="0.35">
      <c r="A1207" t="s">
        <v>8</v>
      </c>
      <c r="B1207" t="s">
        <v>12</v>
      </c>
      <c r="C1207" t="s">
        <v>9</v>
      </c>
      <c r="D1207">
        <v>113</v>
      </c>
      <c r="E1207">
        <v>2</v>
      </c>
      <c r="F1207">
        <v>1.77</v>
      </c>
      <c r="G1207">
        <v>18.079999999999998</v>
      </c>
      <c r="H1207">
        <v>2043.04</v>
      </c>
    </row>
    <row r="1208" spans="1:8" x14ac:dyDescent="0.35">
      <c r="A1208" t="s">
        <v>7</v>
      </c>
      <c r="B1208" t="s">
        <v>12</v>
      </c>
      <c r="C1208" t="s">
        <v>10</v>
      </c>
      <c r="D1208">
        <v>185</v>
      </c>
      <c r="E1208">
        <v>2</v>
      </c>
      <c r="F1208">
        <v>1.08</v>
      </c>
      <c r="G1208">
        <v>19.739999999999998</v>
      </c>
      <c r="H1208">
        <v>3651.9</v>
      </c>
    </row>
    <row r="1209" spans="1:8" x14ac:dyDescent="0.35">
      <c r="A1209" t="s">
        <v>6</v>
      </c>
      <c r="B1209" t="s">
        <v>12</v>
      </c>
      <c r="C1209" t="s">
        <v>9</v>
      </c>
      <c r="D1209">
        <v>109</v>
      </c>
      <c r="E1209">
        <v>5</v>
      </c>
      <c r="F1209">
        <v>4.59</v>
      </c>
      <c r="G1209">
        <v>14.13</v>
      </c>
      <c r="H1209">
        <v>1540.17</v>
      </c>
    </row>
    <row r="1210" spans="1:8" x14ac:dyDescent="0.35">
      <c r="A1210" t="s">
        <v>7</v>
      </c>
      <c r="B1210" t="s">
        <v>12</v>
      </c>
      <c r="C1210" t="s">
        <v>9</v>
      </c>
      <c r="D1210">
        <v>144</v>
      </c>
      <c r="E1210">
        <v>2</v>
      </c>
      <c r="F1210">
        <v>1.39</v>
      </c>
      <c r="G1210">
        <v>25.37</v>
      </c>
      <c r="H1210">
        <v>3653.28</v>
      </c>
    </row>
    <row r="1211" spans="1:8" x14ac:dyDescent="0.35">
      <c r="A1211" t="s">
        <v>5</v>
      </c>
      <c r="B1211" t="s">
        <v>12</v>
      </c>
      <c r="C1211" t="s">
        <v>9</v>
      </c>
      <c r="D1211">
        <v>128</v>
      </c>
      <c r="E1211">
        <v>11</v>
      </c>
      <c r="F1211">
        <v>8.59</v>
      </c>
      <c r="G1211">
        <v>36.33</v>
      </c>
      <c r="H1211">
        <v>4650.24</v>
      </c>
    </row>
    <row r="1212" spans="1:8" x14ac:dyDescent="0.35">
      <c r="A1212" t="s">
        <v>7</v>
      </c>
      <c r="B1212" t="s">
        <v>12</v>
      </c>
      <c r="C1212" t="s">
        <v>10</v>
      </c>
      <c r="D1212">
        <v>235</v>
      </c>
      <c r="E1212">
        <v>11</v>
      </c>
      <c r="F1212">
        <v>4.68</v>
      </c>
      <c r="G1212">
        <v>47.72</v>
      </c>
      <c r="H1212">
        <v>11214.2</v>
      </c>
    </row>
    <row r="1213" spans="1:8" x14ac:dyDescent="0.35">
      <c r="A1213" t="s">
        <v>5</v>
      </c>
      <c r="B1213" t="s">
        <v>12</v>
      </c>
      <c r="C1213" t="s">
        <v>9</v>
      </c>
      <c r="D1213">
        <v>293</v>
      </c>
      <c r="E1213">
        <v>26</v>
      </c>
      <c r="F1213">
        <v>8.8699999999999992</v>
      </c>
      <c r="G1213">
        <v>20.63</v>
      </c>
      <c r="H1213">
        <v>6044.59</v>
      </c>
    </row>
    <row r="1214" spans="1:8" x14ac:dyDescent="0.35">
      <c r="A1214" t="s">
        <v>7</v>
      </c>
      <c r="B1214" t="s">
        <v>12</v>
      </c>
      <c r="C1214" t="s">
        <v>10</v>
      </c>
      <c r="D1214">
        <v>220</v>
      </c>
      <c r="E1214">
        <v>1</v>
      </c>
      <c r="F1214">
        <v>0.45</v>
      </c>
      <c r="G1214">
        <v>64.27</v>
      </c>
      <c r="H1214">
        <v>14139.4</v>
      </c>
    </row>
    <row r="1215" spans="1:8" x14ac:dyDescent="0.35">
      <c r="A1215" t="s">
        <v>8</v>
      </c>
      <c r="B1215" t="s">
        <v>12</v>
      </c>
      <c r="C1215" t="s">
        <v>9</v>
      </c>
      <c r="D1215">
        <v>201</v>
      </c>
      <c r="E1215">
        <v>4</v>
      </c>
      <c r="F1215">
        <v>1.99</v>
      </c>
      <c r="G1215">
        <v>11.13</v>
      </c>
      <c r="H1215">
        <v>2237.13</v>
      </c>
    </row>
    <row r="1216" spans="1:8" x14ac:dyDescent="0.35">
      <c r="A1216" t="s">
        <v>7</v>
      </c>
      <c r="B1216" t="s">
        <v>12</v>
      </c>
      <c r="C1216" t="s">
        <v>9</v>
      </c>
      <c r="D1216">
        <v>240</v>
      </c>
      <c r="E1216">
        <v>23</v>
      </c>
      <c r="F1216">
        <v>9.58</v>
      </c>
      <c r="G1216">
        <v>55.4</v>
      </c>
      <c r="H1216">
        <v>13296</v>
      </c>
    </row>
    <row r="1217" spans="1:8" x14ac:dyDescent="0.35">
      <c r="A1217" t="s">
        <v>7</v>
      </c>
      <c r="B1217" t="s">
        <v>12</v>
      </c>
      <c r="C1217" t="s">
        <v>9</v>
      </c>
      <c r="D1217">
        <v>183</v>
      </c>
      <c r="E1217">
        <v>4</v>
      </c>
      <c r="F1217">
        <v>2.19</v>
      </c>
      <c r="G1217">
        <v>18.03</v>
      </c>
      <c r="H1217">
        <v>3299.49</v>
      </c>
    </row>
    <row r="1218" spans="1:8" x14ac:dyDescent="0.35">
      <c r="A1218" t="s">
        <v>5</v>
      </c>
      <c r="B1218" t="s">
        <v>12</v>
      </c>
      <c r="C1218" t="s">
        <v>9</v>
      </c>
      <c r="D1218">
        <v>253</v>
      </c>
      <c r="E1218">
        <v>23</v>
      </c>
      <c r="F1218">
        <v>9.09</v>
      </c>
      <c r="G1218">
        <v>11.93</v>
      </c>
      <c r="H1218">
        <v>3018.29</v>
      </c>
    </row>
    <row r="1219" spans="1:8" x14ac:dyDescent="0.35">
      <c r="A1219" t="s">
        <v>5</v>
      </c>
      <c r="B1219" t="s">
        <v>12</v>
      </c>
      <c r="C1219" t="s">
        <v>9</v>
      </c>
      <c r="D1219">
        <v>86</v>
      </c>
      <c r="E1219">
        <v>4</v>
      </c>
      <c r="F1219">
        <v>4.6500000000000004</v>
      </c>
      <c r="G1219">
        <v>63.37</v>
      </c>
      <c r="H1219">
        <v>5449.82</v>
      </c>
    </row>
    <row r="1220" spans="1:8" x14ac:dyDescent="0.35">
      <c r="A1220" t="s">
        <v>7</v>
      </c>
      <c r="B1220" t="s">
        <v>12</v>
      </c>
      <c r="C1220" t="s">
        <v>10</v>
      </c>
      <c r="D1220">
        <v>209</v>
      </c>
      <c r="E1220">
        <v>2</v>
      </c>
      <c r="F1220">
        <v>0.96</v>
      </c>
      <c r="G1220">
        <v>31.02</v>
      </c>
      <c r="H1220">
        <v>6483.18</v>
      </c>
    </row>
    <row r="1221" spans="1:8" x14ac:dyDescent="0.35">
      <c r="A1221" t="s">
        <v>5</v>
      </c>
      <c r="B1221" t="s">
        <v>12</v>
      </c>
      <c r="C1221" t="s">
        <v>9</v>
      </c>
      <c r="D1221">
        <v>110</v>
      </c>
      <c r="E1221">
        <v>10</v>
      </c>
      <c r="F1221">
        <v>9.09</v>
      </c>
      <c r="G1221">
        <v>23.39</v>
      </c>
      <c r="H1221">
        <v>2572.9</v>
      </c>
    </row>
    <row r="1222" spans="1:8" x14ac:dyDescent="0.35">
      <c r="A1222" t="s">
        <v>6</v>
      </c>
      <c r="B1222" t="s">
        <v>12</v>
      </c>
      <c r="C1222" t="s">
        <v>9</v>
      </c>
      <c r="D1222">
        <v>239</v>
      </c>
      <c r="E1222">
        <v>22</v>
      </c>
      <c r="F1222">
        <v>9.2100000000000009</v>
      </c>
      <c r="G1222">
        <v>12.04</v>
      </c>
      <c r="H1222">
        <v>2877.56</v>
      </c>
    </row>
    <row r="1223" spans="1:8" x14ac:dyDescent="0.35">
      <c r="A1223" t="s">
        <v>6</v>
      </c>
      <c r="B1223" t="s">
        <v>12</v>
      </c>
      <c r="C1223" t="s">
        <v>11</v>
      </c>
      <c r="D1223">
        <v>80</v>
      </c>
      <c r="E1223">
        <v>1</v>
      </c>
      <c r="F1223">
        <v>1.25</v>
      </c>
      <c r="G1223">
        <v>21.1</v>
      </c>
      <c r="H1223">
        <v>1688</v>
      </c>
    </row>
    <row r="1224" spans="1:8" x14ac:dyDescent="0.35">
      <c r="A1224" t="s">
        <v>7</v>
      </c>
      <c r="B1224" t="s">
        <v>12</v>
      </c>
      <c r="C1224" t="s">
        <v>9</v>
      </c>
      <c r="D1224">
        <v>178</v>
      </c>
      <c r="E1224">
        <v>1</v>
      </c>
      <c r="F1224">
        <v>0.56000000000000005</v>
      </c>
      <c r="G1224">
        <v>21.79</v>
      </c>
      <c r="H1224">
        <v>3878.62</v>
      </c>
    </row>
    <row r="1225" spans="1:8" x14ac:dyDescent="0.35">
      <c r="A1225" t="s">
        <v>8</v>
      </c>
      <c r="B1225" t="s">
        <v>12</v>
      </c>
      <c r="C1225" t="s">
        <v>9</v>
      </c>
      <c r="D1225">
        <v>114</v>
      </c>
      <c r="E1225">
        <v>9</v>
      </c>
      <c r="F1225">
        <v>7.89</v>
      </c>
      <c r="G1225">
        <v>21.53</v>
      </c>
      <c r="H1225">
        <v>2454.42</v>
      </c>
    </row>
    <row r="1226" spans="1:8" x14ac:dyDescent="0.35">
      <c r="A1226" t="s">
        <v>7</v>
      </c>
      <c r="B1226" t="s">
        <v>12</v>
      </c>
      <c r="C1226" t="s">
        <v>10</v>
      </c>
      <c r="D1226">
        <v>202</v>
      </c>
      <c r="E1226">
        <v>18</v>
      </c>
      <c r="F1226">
        <v>8.91</v>
      </c>
      <c r="G1226">
        <v>60.98</v>
      </c>
      <c r="H1226">
        <v>12317.96</v>
      </c>
    </row>
    <row r="1227" spans="1:8" x14ac:dyDescent="0.35">
      <c r="A1227" t="s">
        <v>8</v>
      </c>
      <c r="B1227" t="s">
        <v>12</v>
      </c>
      <c r="C1227" t="s">
        <v>9</v>
      </c>
      <c r="D1227">
        <v>190</v>
      </c>
      <c r="E1227">
        <v>2</v>
      </c>
      <c r="F1227">
        <v>1.05</v>
      </c>
      <c r="G1227">
        <v>54.34</v>
      </c>
      <c r="H1227">
        <v>10324.6</v>
      </c>
    </row>
    <row r="1228" spans="1:8" x14ac:dyDescent="0.35">
      <c r="A1228" t="s">
        <v>6</v>
      </c>
      <c r="B1228" t="s">
        <v>12</v>
      </c>
      <c r="C1228" t="s">
        <v>9</v>
      </c>
      <c r="D1228">
        <v>221</v>
      </c>
      <c r="E1228">
        <v>19</v>
      </c>
      <c r="F1228">
        <v>8.6</v>
      </c>
      <c r="G1228">
        <v>20.350000000000001</v>
      </c>
      <c r="H1228">
        <v>4497.3500000000004</v>
      </c>
    </row>
    <row r="1229" spans="1:8" x14ac:dyDescent="0.35">
      <c r="A1229" t="s">
        <v>7</v>
      </c>
      <c r="B1229" t="s">
        <v>12</v>
      </c>
      <c r="C1229" t="s">
        <v>10</v>
      </c>
      <c r="D1229">
        <v>239</v>
      </c>
      <c r="E1229">
        <v>5</v>
      </c>
      <c r="F1229">
        <v>2.09</v>
      </c>
      <c r="G1229">
        <v>23.47</v>
      </c>
      <c r="H1229">
        <v>5609.33</v>
      </c>
    </row>
    <row r="1230" spans="1:8" x14ac:dyDescent="0.35">
      <c r="A1230" t="s">
        <v>5</v>
      </c>
      <c r="B1230" t="s">
        <v>12</v>
      </c>
      <c r="C1230" t="s">
        <v>9</v>
      </c>
      <c r="D1230">
        <v>86</v>
      </c>
      <c r="E1230">
        <v>6</v>
      </c>
      <c r="F1230">
        <v>6.98</v>
      </c>
      <c r="G1230">
        <v>16.559999999999999</v>
      </c>
      <c r="H1230">
        <v>1424.16</v>
      </c>
    </row>
    <row r="1231" spans="1:8" x14ac:dyDescent="0.35">
      <c r="A1231" t="s">
        <v>7</v>
      </c>
      <c r="B1231" t="s">
        <v>12</v>
      </c>
      <c r="C1231" t="s">
        <v>9</v>
      </c>
      <c r="D1231">
        <v>270</v>
      </c>
      <c r="E1231">
        <v>9</v>
      </c>
      <c r="F1231">
        <v>3.33</v>
      </c>
      <c r="G1231">
        <v>57.09</v>
      </c>
      <c r="H1231">
        <v>15414.3</v>
      </c>
    </row>
    <row r="1232" spans="1:8" x14ac:dyDescent="0.35">
      <c r="A1232" t="s">
        <v>7</v>
      </c>
      <c r="B1232" t="s">
        <v>12</v>
      </c>
      <c r="C1232" t="s">
        <v>9</v>
      </c>
      <c r="D1232">
        <v>204</v>
      </c>
      <c r="E1232">
        <v>15</v>
      </c>
      <c r="F1232">
        <v>7.35</v>
      </c>
      <c r="G1232">
        <v>39.22</v>
      </c>
      <c r="H1232">
        <v>8000.88</v>
      </c>
    </row>
    <row r="1233" spans="1:8" x14ac:dyDescent="0.35">
      <c r="A1233" t="s">
        <v>7</v>
      </c>
      <c r="B1233" t="s">
        <v>12</v>
      </c>
      <c r="C1233" t="s">
        <v>9</v>
      </c>
      <c r="D1233">
        <v>169</v>
      </c>
      <c r="E1233">
        <v>1</v>
      </c>
      <c r="F1233">
        <v>0.59</v>
      </c>
      <c r="G1233">
        <v>68.77</v>
      </c>
      <c r="H1233">
        <v>11622.13</v>
      </c>
    </row>
    <row r="1234" spans="1:8" x14ac:dyDescent="0.35">
      <c r="A1234" t="s">
        <v>6</v>
      </c>
      <c r="B1234" t="s">
        <v>12</v>
      </c>
      <c r="C1234" t="s">
        <v>11</v>
      </c>
      <c r="D1234">
        <v>276</v>
      </c>
      <c r="E1234">
        <v>3</v>
      </c>
      <c r="F1234">
        <v>1.0900000000000001</v>
      </c>
      <c r="G1234">
        <v>69.010000000000005</v>
      </c>
      <c r="H1234">
        <v>19046.759999999998</v>
      </c>
    </row>
    <row r="1235" spans="1:8" x14ac:dyDescent="0.35">
      <c r="A1235" t="s">
        <v>6</v>
      </c>
      <c r="B1235" t="s">
        <v>12</v>
      </c>
      <c r="C1235" t="s">
        <v>11</v>
      </c>
      <c r="D1235">
        <v>151</v>
      </c>
      <c r="E1235">
        <v>12</v>
      </c>
      <c r="F1235">
        <v>7.95</v>
      </c>
      <c r="G1235">
        <v>42.51</v>
      </c>
      <c r="H1235">
        <v>6419.01</v>
      </c>
    </row>
    <row r="1236" spans="1:8" x14ac:dyDescent="0.35">
      <c r="A1236" t="s">
        <v>7</v>
      </c>
      <c r="B1236" t="s">
        <v>12</v>
      </c>
      <c r="C1236" t="s">
        <v>9</v>
      </c>
      <c r="D1236">
        <v>210</v>
      </c>
      <c r="E1236">
        <v>2</v>
      </c>
      <c r="F1236">
        <v>0.95</v>
      </c>
      <c r="G1236">
        <v>5.76</v>
      </c>
      <c r="H1236">
        <v>1209.5999999999999</v>
      </c>
    </row>
    <row r="1237" spans="1:8" x14ac:dyDescent="0.35">
      <c r="A1237" t="s">
        <v>6</v>
      </c>
      <c r="B1237" t="s">
        <v>12</v>
      </c>
      <c r="C1237" t="s">
        <v>9</v>
      </c>
      <c r="D1237">
        <v>92</v>
      </c>
      <c r="E1237">
        <v>8</v>
      </c>
      <c r="F1237">
        <v>8.6999999999999993</v>
      </c>
      <c r="G1237">
        <v>12.61</v>
      </c>
      <c r="H1237">
        <v>1160.1199999999999</v>
      </c>
    </row>
    <row r="1238" spans="1:8" x14ac:dyDescent="0.35">
      <c r="A1238" t="s">
        <v>7</v>
      </c>
      <c r="B1238" t="s">
        <v>12</v>
      </c>
      <c r="C1238" t="s">
        <v>9</v>
      </c>
      <c r="D1238">
        <v>221</v>
      </c>
      <c r="E1238">
        <v>22</v>
      </c>
      <c r="F1238">
        <v>9.9499999999999993</v>
      </c>
      <c r="G1238">
        <v>22.6</v>
      </c>
      <c r="H1238">
        <v>4994.6000000000004</v>
      </c>
    </row>
    <row r="1239" spans="1:8" x14ac:dyDescent="0.35">
      <c r="A1239" t="s">
        <v>8</v>
      </c>
      <c r="B1239" t="s">
        <v>12</v>
      </c>
      <c r="C1239" t="s">
        <v>9</v>
      </c>
      <c r="D1239">
        <v>173</v>
      </c>
      <c r="E1239">
        <v>9</v>
      </c>
      <c r="F1239">
        <v>5.2</v>
      </c>
      <c r="G1239">
        <v>46.92</v>
      </c>
      <c r="H1239">
        <v>8117.16</v>
      </c>
    </row>
    <row r="1240" spans="1:8" x14ac:dyDescent="0.35">
      <c r="A1240" t="s">
        <v>7</v>
      </c>
      <c r="B1240" t="s">
        <v>12</v>
      </c>
      <c r="C1240" t="s">
        <v>9</v>
      </c>
      <c r="D1240">
        <v>255</v>
      </c>
      <c r="E1240">
        <v>5</v>
      </c>
      <c r="F1240">
        <v>1.96</v>
      </c>
      <c r="G1240">
        <v>54.41</v>
      </c>
      <c r="H1240">
        <v>13874.55</v>
      </c>
    </row>
    <row r="1241" spans="1:8" x14ac:dyDescent="0.35">
      <c r="A1241" t="s">
        <v>7</v>
      </c>
      <c r="B1241" t="s">
        <v>12</v>
      </c>
      <c r="C1241" t="s">
        <v>10</v>
      </c>
      <c r="D1241">
        <v>298</v>
      </c>
      <c r="E1241">
        <v>23</v>
      </c>
      <c r="F1241">
        <v>7.72</v>
      </c>
      <c r="G1241">
        <v>61.14</v>
      </c>
      <c r="H1241">
        <v>18219.72</v>
      </c>
    </row>
    <row r="1242" spans="1:8" x14ac:dyDescent="0.35">
      <c r="A1242" t="s">
        <v>6</v>
      </c>
      <c r="B1242" t="s">
        <v>12</v>
      </c>
      <c r="C1242" t="s">
        <v>11</v>
      </c>
      <c r="D1242">
        <v>226</v>
      </c>
      <c r="E1242">
        <v>12</v>
      </c>
      <c r="F1242">
        <v>5.31</v>
      </c>
      <c r="G1242">
        <v>29.33</v>
      </c>
      <c r="H1242">
        <v>6628.58</v>
      </c>
    </row>
    <row r="1243" spans="1:8" x14ac:dyDescent="0.35">
      <c r="A1243" t="s">
        <v>5</v>
      </c>
      <c r="B1243" t="s">
        <v>12</v>
      </c>
      <c r="C1243" t="s">
        <v>9</v>
      </c>
      <c r="D1243">
        <v>243</v>
      </c>
      <c r="E1243">
        <v>8</v>
      </c>
      <c r="F1243">
        <v>3.29</v>
      </c>
      <c r="G1243">
        <v>52.09</v>
      </c>
      <c r="H1243">
        <v>12657.87</v>
      </c>
    </row>
    <row r="1244" spans="1:8" x14ac:dyDescent="0.35">
      <c r="A1244" t="s">
        <v>8</v>
      </c>
      <c r="B1244" t="s">
        <v>12</v>
      </c>
      <c r="C1244" t="s">
        <v>9</v>
      </c>
      <c r="D1244">
        <v>146</v>
      </c>
      <c r="E1244">
        <v>6</v>
      </c>
      <c r="F1244">
        <v>4.1100000000000003</v>
      </c>
      <c r="G1244">
        <v>6.99</v>
      </c>
      <c r="H1244">
        <v>1020.54</v>
      </c>
    </row>
    <row r="1245" spans="1:8" x14ac:dyDescent="0.35">
      <c r="A1245" t="s">
        <v>5</v>
      </c>
      <c r="B1245" t="s">
        <v>12</v>
      </c>
      <c r="C1245" t="s">
        <v>9</v>
      </c>
      <c r="D1245">
        <v>124</v>
      </c>
      <c r="E1245">
        <v>10</v>
      </c>
      <c r="F1245">
        <v>8.06</v>
      </c>
      <c r="G1245">
        <v>46.36</v>
      </c>
      <c r="H1245">
        <v>5748.64</v>
      </c>
    </row>
    <row r="1246" spans="1:8" x14ac:dyDescent="0.35">
      <c r="A1246" t="s">
        <v>5</v>
      </c>
      <c r="B1246" t="s">
        <v>12</v>
      </c>
      <c r="C1246" t="s">
        <v>9</v>
      </c>
      <c r="D1246">
        <v>74</v>
      </c>
      <c r="E1246">
        <v>0</v>
      </c>
      <c r="F1246">
        <v>0</v>
      </c>
      <c r="G1246">
        <v>62.94</v>
      </c>
      <c r="H1246">
        <v>4657.5600000000004</v>
      </c>
    </row>
    <row r="1247" spans="1:8" x14ac:dyDescent="0.35">
      <c r="A1247" t="s">
        <v>6</v>
      </c>
      <c r="B1247" t="s">
        <v>12</v>
      </c>
      <c r="C1247" t="s">
        <v>11</v>
      </c>
      <c r="D1247">
        <v>92</v>
      </c>
      <c r="E1247">
        <v>9</v>
      </c>
      <c r="F1247">
        <v>9.7799999999999994</v>
      </c>
      <c r="G1247">
        <v>60.01</v>
      </c>
      <c r="H1247">
        <v>5520.92</v>
      </c>
    </row>
    <row r="1248" spans="1:8" x14ac:dyDescent="0.35">
      <c r="A1248" t="s">
        <v>8</v>
      </c>
      <c r="B1248" t="s">
        <v>12</v>
      </c>
      <c r="C1248" t="s">
        <v>9</v>
      </c>
      <c r="D1248">
        <v>295</v>
      </c>
      <c r="E1248">
        <v>24</v>
      </c>
      <c r="F1248">
        <v>8.14</v>
      </c>
      <c r="G1248">
        <v>55.84</v>
      </c>
      <c r="H1248">
        <v>16472.8</v>
      </c>
    </row>
    <row r="1249" spans="1:8" x14ac:dyDescent="0.35">
      <c r="A1249" t="s">
        <v>8</v>
      </c>
      <c r="B1249" t="s">
        <v>12</v>
      </c>
      <c r="C1249" t="s">
        <v>9</v>
      </c>
      <c r="D1249">
        <v>241</v>
      </c>
      <c r="E1249">
        <v>2</v>
      </c>
      <c r="F1249">
        <v>0.83</v>
      </c>
      <c r="G1249">
        <v>11.82</v>
      </c>
      <c r="H1249">
        <v>2848.62</v>
      </c>
    </row>
    <row r="1250" spans="1:8" x14ac:dyDescent="0.35">
      <c r="A1250" t="s">
        <v>6</v>
      </c>
      <c r="B1250" t="s">
        <v>12</v>
      </c>
      <c r="C1250" t="s">
        <v>11</v>
      </c>
      <c r="D1250">
        <v>53</v>
      </c>
      <c r="E1250">
        <v>4</v>
      </c>
      <c r="F1250">
        <v>7.55</v>
      </c>
      <c r="G1250">
        <v>69.319999999999993</v>
      </c>
      <c r="H1250">
        <v>3673.96</v>
      </c>
    </row>
    <row r="1251" spans="1:8" x14ac:dyDescent="0.35">
      <c r="A1251" t="s">
        <v>7</v>
      </c>
      <c r="B1251" t="s">
        <v>12</v>
      </c>
      <c r="C1251" t="s">
        <v>9</v>
      </c>
      <c r="D1251">
        <v>146</v>
      </c>
      <c r="E1251">
        <v>4</v>
      </c>
      <c r="F1251">
        <v>2.74</v>
      </c>
      <c r="G1251">
        <v>42.25</v>
      </c>
      <c r="H1251">
        <v>6168.5</v>
      </c>
    </row>
    <row r="1252" spans="1:8" x14ac:dyDescent="0.35">
      <c r="A1252" t="s">
        <v>8</v>
      </c>
      <c r="B1252" t="s">
        <v>12</v>
      </c>
      <c r="C1252" t="s">
        <v>9</v>
      </c>
      <c r="D1252">
        <v>81</v>
      </c>
      <c r="E1252">
        <v>8</v>
      </c>
      <c r="F1252">
        <v>9.8800000000000008</v>
      </c>
      <c r="G1252">
        <v>43.84</v>
      </c>
      <c r="H1252">
        <v>3551.04</v>
      </c>
    </row>
    <row r="1253" spans="1:8" x14ac:dyDescent="0.35">
      <c r="A1253" t="s">
        <v>7</v>
      </c>
      <c r="B1253" t="s">
        <v>12</v>
      </c>
      <c r="C1253" t="s">
        <v>9</v>
      </c>
      <c r="D1253">
        <v>54</v>
      </c>
      <c r="E1253">
        <v>5</v>
      </c>
      <c r="F1253">
        <v>9.26</v>
      </c>
      <c r="G1253">
        <v>48.21</v>
      </c>
      <c r="H1253">
        <v>2603.34</v>
      </c>
    </row>
    <row r="1254" spans="1:8" x14ac:dyDescent="0.35">
      <c r="A1254" t="s">
        <v>8</v>
      </c>
      <c r="B1254" t="s">
        <v>12</v>
      </c>
      <c r="C1254" t="s">
        <v>9</v>
      </c>
      <c r="D1254">
        <v>251</v>
      </c>
      <c r="E1254">
        <v>11</v>
      </c>
      <c r="F1254">
        <v>4.38</v>
      </c>
      <c r="G1254">
        <v>36.44</v>
      </c>
      <c r="H1254">
        <v>9146.44</v>
      </c>
    </row>
    <row r="1255" spans="1:8" x14ac:dyDescent="0.35">
      <c r="A1255" t="s">
        <v>6</v>
      </c>
      <c r="B1255" t="s">
        <v>12</v>
      </c>
      <c r="C1255" t="s">
        <v>9</v>
      </c>
      <c r="D1255">
        <v>159</v>
      </c>
      <c r="E1255">
        <v>7</v>
      </c>
      <c r="F1255">
        <v>4.4000000000000004</v>
      </c>
      <c r="G1255">
        <v>53.1</v>
      </c>
      <c r="H1255">
        <v>8442.9</v>
      </c>
    </row>
    <row r="1256" spans="1:8" x14ac:dyDescent="0.35">
      <c r="A1256" t="s">
        <v>7</v>
      </c>
      <c r="B1256" t="s">
        <v>12</v>
      </c>
      <c r="C1256" t="s">
        <v>10</v>
      </c>
      <c r="D1256">
        <v>235</v>
      </c>
      <c r="E1256">
        <v>20</v>
      </c>
      <c r="F1256">
        <v>8.51</v>
      </c>
      <c r="G1256">
        <v>68.55</v>
      </c>
      <c r="H1256">
        <v>16109.25</v>
      </c>
    </row>
    <row r="1257" spans="1:8" x14ac:dyDescent="0.35">
      <c r="A1257" t="s">
        <v>7</v>
      </c>
      <c r="B1257" t="s">
        <v>12</v>
      </c>
      <c r="C1257" t="s">
        <v>10</v>
      </c>
      <c r="D1257">
        <v>228</v>
      </c>
      <c r="E1257">
        <v>16</v>
      </c>
      <c r="F1257">
        <v>7.02</v>
      </c>
      <c r="G1257">
        <v>28.76</v>
      </c>
      <c r="H1257">
        <v>6557.28</v>
      </c>
    </row>
    <row r="1258" spans="1:8" x14ac:dyDescent="0.35">
      <c r="A1258" t="s">
        <v>5</v>
      </c>
      <c r="B1258" t="s">
        <v>12</v>
      </c>
      <c r="C1258" t="s">
        <v>9</v>
      </c>
      <c r="D1258">
        <v>250</v>
      </c>
      <c r="E1258">
        <v>12</v>
      </c>
      <c r="F1258">
        <v>4.8</v>
      </c>
      <c r="G1258">
        <v>66.06</v>
      </c>
      <c r="H1258">
        <v>16515</v>
      </c>
    </row>
    <row r="1259" spans="1:8" x14ac:dyDescent="0.35">
      <c r="A1259" t="s">
        <v>7</v>
      </c>
      <c r="B1259" t="s">
        <v>12</v>
      </c>
      <c r="C1259" t="s">
        <v>10</v>
      </c>
      <c r="D1259">
        <v>217</v>
      </c>
      <c r="E1259">
        <v>20</v>
      </c>
      <c r="F1259">
        <v>9.2200000000000006</v>
      </c>
      <c r="G1259">
        <v>53.28</v>
      </c>
      <c r="H1259">
        <v>11561.76</v>
      </c>
    </row>
    <row r="1260" spans="1:8" x14ac:dyDescent="0.35">
      <c r="A1260" t="s">
        <v>6</v>
      </c>
      <c r="B1260" t="s">
        <v>12</v>
      </c>
      <c r="C1260" t="s">
        <v>9</v>
      </c>
      <c r="D1260">
        <v>262</v>
      </c>
      <c r="E1260">
        <v>5</v>
      </c>
      <c r="F1260">
        <v>1.91</v>
      </c>
      <c r="G1260">
        <v>10.61</v>
      </c>
      <c r="H1260">
        <v>2779.82</v>
      </c>
    </row>
    <row r="1261" spans="1:8" x14ac:dyDescent="0.35">
      <c r="A1261" t="s">
        <v>8</v>
      </c>
      <c r="B1261" t="s">
        <v>12</v>
      </c>
      <c r="C1261" t="s">
        <v>9</v>
      </c>
      <c r="D1261">
        <v>170</v>
      </c>
      <c r="E1261">
        <v>13</v>
      </c>
      <c r="F1261">
        <v>7.65</v>
      </c>
      <c r="G1261">
        <v>66.81</v>
      </c>
      <c r="H1261">
        <v>11357.7</v>
      </c>
    </row>
    <row r="1262" spans="1:8" x14ac:dyDescent="0.35">
      <c r="A1262" t="s">
        <v>6</v>
      </c>
      <c r="B1262" t="s">
        <v>12</v>
      </c>
      <c r="C1262" t="s">
        <v>9</v>
      </c>
      <c r="D1262">
        <v>192</v>
      </c>
      <c r="E1262">
        <v>15</v>
      </c>
      <c r="F1262">
        <v>7.81</v>
      </c>
      <c r="G1262">
        <v>60.83</v>
      </c>
      <c r="H1262">
        <v>11679.36</v>
      </c>
    </row>
    <row r="1263" spans="1:8" x14ac:dyDescent="0.35">
      <c r="A1263" t="s">
        <v>6</v>
      </c>
      <c r="B1263" t="s">
        <v>12</v>
      </c>
      <c r="C1263" t="s">
        <v>9</v>
      </c>
      <c r="D1263">
        <v>70</v>
      </c>
      <c r="E1263">
        <v>5</v>
      </c>
      <c r="F1263">
        <v>7.14</v>
      </c>
      <c r="G1263">
        <v>20.350000000000001</v>
      </c>
      <c r="H1263">
        <v>1424.5</v>
      </c>
    </row>
    <row r="1264" spans="1:8" x14ac:dyDescent="0.35">
      <c r="A1264" t="s">
        <v>5</v>
      </c>
      <c r="B1264" t="s">
        <v>12</v>
      </c>
      <c r="C1264" t="s">
        <v>9</v>
      </c>
      <c r="D1264">
        <v>154</v>
      </c>
      <c r="E1264">
        <v>4</v>
      </c>
      <c r="F1264">
        <v>2.6</v>
      </c>
      <c r="G1264">
        <v>21.34</v>
      </c>
      <c r="H1264">
        <v>3286.36</v>
      </c>
    </row>
    <row r="1265" spans="1:8" x14ac:dyDescent="0.35">
      <c r="A1265" t="s">
        <v>7</v>
      </c>
      <c r="B1265" t="s">
        <v>12</v>
      </c>
      <c r="C1265" t="s">
        <v>9</v>
      </c>
      <c r="D1265">
        <v>225</v>
      </c>
      <c r="E1265">
        <v>15</v>
      </c>
      <c r="F1265">
        <v>6.67</v>
      </c>
      <c r="G1265">
        <v>21.21</v>
      </c>
      <c r="H1265">
        <v>4772.25</v>
      </c>
    </row>
    <row r="1266" spans="1:8" x14ac:dyDescent="0.35">
      <c r="A1266" t="s">
        <v>6</v>
      </c>
      <c r="B1266" t="s">
        <v>12</v>
      </c>
      <c r="C1266" t="s">
        <v>9</v>
      </c>
      <c r="D1266">
        <v>65</v>
      </c>
      <c r="E1266">
        <v>3</v>
      </c>
      <c r="F1266">
        <v>4.62</v>
      </c>
      <c r="G1266">
        <v>45.03</v>
      </c>
      <c r="H1266">
        <v>2926.95</v>
      </c>
    </row>
    <row r="1267" spans="1:8" x14ac:dyDescent="0.35">
      <c r="A1267" t="s">
        <v>7</v>
      </c>
      <c r="B1267" t="s">
        <v>12</v>
      </c>
      <c r="C1267" t="s">
        <v>9</v>
      </c>
      <c r="D1267">
        <v>139</v>
      </c>
      <c r="E1267">
        <v>3</v>
      </c>
      <c r="F1267">
        <v>2.16</v>
      </c>
      <c r="G1267">
        <v>14.62</v>
      </c>
      <c r="H1267">
        <v>2032.18</v>
      </c>
    </row>
    <row r="1268" spans="1:8" x14ac:dyDescent="0.35">
      <c r="A1268" t="s">
        <v>7</v>
      </c>
      <c r="B1268" t="s">
        <v>12</v>
      </c>
      <c r="C1268" t="s">
        <v>10</v>
      </c>
      <c r="D1268">
        <v>200</v>
      </c>
      <c r="E1268">
        <v>7</v>
      </c>
      <c r="F1268">
        <v>3.5</v>
      </c>
      <c r="G1268">
        <v>8.74</v>
      </c>
      <c r="H1268">
        <v>1748</v>
      </c>
    </row>
    <row r="1269" spans="1:8" x14ac:dyDescent="0.35">
      <c r="A1269" t="s">
        <v>5</v>
      </c>
      <c r="B1269" t="s">
        <v>12</v>
      </c>
      <c r="C1269" t="s">
        <v>9</v>
      </c>
      <c r="D1269">
        <v>94</v>
      </c>
      <c r="E1269">
        <v>0</v>
      </c>
      <c r="F1269">
        <v>0</v>
      </c>
      <c r="G1269">
        <v>14.6</v>
      </c>
      <c r="H1269">
        <v>1372.4</v>
      </c>
    </row>
    <row r="1270" spans="1:8" x14ac:dyDescent="0.35">
      <c r="A1270" t="s">
        <v>6</v>
      </c>
      <c r="B1270" t="s">
        <v>12</v>
      </c>
      <c r="C1270" t="s">
        <v>9</v>
      </c>
      <c r="D1270">
        <v>228</v>
      </c>
      <c r="E1270">
        <v>14</v>
      </c>
      <c r="F1270">
        <v>6.14</v>
      </c>
      <c r="G1270">
        <v>44.7</v>
      </c>
      <c r="H1270">
        <v>10191.6</v>
      </c>
    </row>
    <row r="1271" spans="1:8" x14ac:dyDescent="0.35">
      <c r="A1271" t="s">
        <v>7</v>
      </c>
      <c r="B1271" t="s">
        <v>12</v>
      </c>
      <c r="C1271" t="s">
        <v>9</v>
      </c>
      <c r="D1271">
        <v>184</v>
      </c>
      <c r="E1271">
        <v>11</v>
      </c>
      <c r="F1271">
        <v>5.98</v>
      </c>
      <c r="G1271">
        <v>29.92</v>
      </c>
      <c r="H1271">
        <v>5505.28</v>
      </c>
    </row>
    <row r="1272" spans="1:8" x14ac:dyDescent="0.35">
      <c r="A1272" t="s">
        <v>5</v>
      </c>
      <c r="B1272" t="s">
        <v>12</v>
      </c>
      <c r="C1272" t="s">
        <v>9</v>
      </c>
      <c r="D1272">
        <v>223</v>
      </c>
      <c r="E1272">
        <v>14</v>
      </c>
      <c r="F1272">
        <v>6.28</v>
      </c>
      <c r="G1272">
        <v>25.9</v>
      </c>
      <c r="H1272">
        <v>5775.7</v>
      </c>
    </row>
    <row r="1273" spans="1:8" x14ac:dyDescent="0.35">
      <c r="A1273" t="s">
        <v>7</v>
      </c>
      <c r="B1273" t="s">
        <v>12</v>
      </c>
      <c r="C1273" t="s">
        <v>10</v>
      </c>
      <c r="D1273">
        <v>275</v>
      </c>
      <c r="E1273">
        <v>17</v>
      </c>
      <c r="F1273">
        <v>6.18</v>
      </c>
      <c r="G1273">
        <v>22.87</v>
      </c>
      <c r="H1273">
        <v>6289.25</v>
      </c>
    </row>
    <row r="1274" spans="1:8" x14ac:dyDescent="0.35">
      <c r="A1274" t="s">
        <v>6</v>
      </c>
      <c r="B1274" t="s">
        <v>12</v>
      </c>
      <c r="C1274" t="s">
        <v>9</v>
      </c>
      <c r="D1274">
        <v>126</v>
      </c>
      <c r="E1274">
        <v>5</v>
      </c>
      <c r="F1274">
        <v>3.97</v>
      </c>
      <c r="G1274">
        <v>66.97</v>
      </c>
      <c r="H1274">
        <v>8438.2199999999993</v>
      </c>
    </row>
    <row r="1275" spans="1:8" x14ac:dyDescent="0.35">
      <c r="A1275" t="s">
        <v>6</v>
      </c>
      <c r="B1275" t="s">
        <v>12</v>
      </c>
      <c r="C1275" t="s">
        <v>9</v>
      </c>
      <c r="D1275">
        <v>74</v>
      </c>
      <c r="E1275">
        <v>3</v>
      </c>
      <c r="F1275">
        <v>4.05</v>
      </c>
      <c r="G1275">
        <v>30.23</v>
      </c>
      <c r="H1275">
        <v>2237.02</v>
      </c>
    </row>
    <row r="1276" spans="1:8" x14ac:dyDescent="0.35">
      <c r="A1276" t="s">
        <v>8</v>
      </c>
      <c r="B1276" t="s">
        <v>12</v>
      </c>
      <c r="C1276" t="s">
        <v>9</v>
      </c>
      <c r="D1276">
        <v>52</v>
      </c>
      <c r="E1276">
        <v>1</v>
      </c>
      <c r="F1276">
        <v>1.92</v>
      </c>
      <c r="G1276">
        <v>28.48</v>
      </c>
      <c r="H1276">
        <v>1480.96</v>
      </c>
    </row>
    <row r="1277" spans="1:8" x14ac:dyDescent="0.35">
      <c r="A1277" t="s">
        <v>6</v>
      </c>
      <c r="B1277" t="s">
        <v>12</v>
      </c>
      <c r="C1277" t="s">
        <v>9</v>
      </c>
      <c r="D1277">
        <v>231</v>
      </c>
      <c r="E1277">
        <v>14</v>
      </c>
      <c r="F1277">
        <v>6.06</v>
      </c>
      <c r="G1277">
        <v>50.56</v>
      </c>
      <c r="H1277">
        <v>11679.36</v>
      </c>
    </row>
    <row r="1278" spans="1:8" x14ac:dyDescent="0.35">
      <c r="A1278" t="s">
        <v>7</v>
      </c>
      <c r="B1278" t="s">
        <v>12</v>
      </c>
      <c r="C1278" t="s">
        <v>9</v>
      </c>
      <c r="D1278">
        <v>270</v>
      </c>
      <c r="E1278">
        <v>0</v>
      </c>
      <c r="F1278">
        <v>0</v>
      </c>
      <c r="G1278">
        <v>48.72</v>
      </c>
      <c r="H1278">
        <v>13154.4</v>
      </c>
    </row>
    <row r="1279" spans="1:8" x14ac:dyDescent="0.35">
      <c r="A1279" t="s">
        <v>8</v>
      </c>
      <c r="B1279" t="s">
        <v>12</v>
      </c>
      <c r="C1279" t="s">
        <v>9</v>
      </c>
      <c r="D1279">
        <v>237</v>
      </c>
      <c r="E1279">
        <v>8</v>
      </c>
      <c r="F1279">
        <v>3.38</v>
      </c>
      <c r="G1279">
        <v>50.34</v>
      </c>
      <c r="H1279">
        <v>11930.58</v>
      </c>
    </row>
    <row r="1280" spans="1:8" x14ac:dyDescent="0.35">
      <c r="A1280" t="s">
        <v>6</v>
      </c>
      <c r="B1280" t="s">
        <v>12</v>
      </c>
      <c r="C1280" t="s">
        <v>11</v>
      </c>
      <c r="D1280">
        <v>182</v>
      </c>
      <c r="E1280">
        <v>7</v>
      </c>
      <c r="F1280">
        <v>3.85</v>
      </c>
      <c r="G1280">
        <v>21.4</v>
      </c>
      <c r="H1280">
        <v>3894.8</v>
      </c>
    </row>
    <row r="1281" spans="1:8" x14ac:dyDescent="0.35">
      <c r="A1281" t="s">
        <v>7</v>
      </c>
      <c r="B1281" t="s">
        <v>12</v>
      </c>
      <c r="C1281" t="s">
        <v>10</v>
      </c>
      <c r="D1281">
        <v>294</v>
      </c>
      <c r="E1281">
        <v>6</v>
      </c>
      <c r="F1281">
        <v>2.04</v>
      </c>
      <c r="G1281">
        <v>67.02</v>
      </c>
      <c r="H1281">
        <v>19703.88</v>
      </c>
    </row>
    <row r="1282" spans="1:8" x14ac:dyDescent="0.35">
      <c r="A1282" t="s">
        <v>7</v>
      </c>
      <c r="B1282" t="s">
        <v>12</v>
      </c>
      <c r="C1282" t="s">
        <v>10</v>
      </c>
      <c r="D1282">
        <v>114</v>
      </c>
      <c r="E1282">
        <v>6</v>
      </c>
      <c r="F1282">
        <v>5.26</v>
      </c>
      <c r="G1282">
        <v>23.66</v>
      </c>
      <c r="H1282">
        <v>2697.24</v>
      </c>
    </row>
    <row r="1283" spans="1:8" x14ac:dyDescent="0.35">
      <c r="A1283" t="s">
        <v>7</v>
      </c>
      <c r="B1283" t="s">
        <v>12</v>
      </c>
      <c r="C1283" t="s">
        <v>10</v>
      </c>
      <c r="D1283">
        <v>286</v>
      </c>
      <c r="E1283">
        <v>25</v>
      </c>
      <c r="F1283">
        <v>8.74</v>
      </c>
      <c r="G1283">
        <v>36.119999999999997</v>
      </c>
      <c r="H1283">
        <v>10330.32</v>
      </c>
    </row>
    <row r="1284" spans="1:8" x14ac:dyDescent="0.35">
      <c r="A1284" t="s">
        <v>6</v>
      </c>
      <c r="B1284" t="s">
        <v>12</v>
      </c>
      <c r="C1284" t="s">
        <v>9</v>
      </c>
      <c r="D1284">
        <v>249</v>
      </c>
      <c r="E1284">
        <v>7</v>
      </c>
      <c r="F1284">
        <v>2.81</v>
      </c>
      <c r="G1284">
        <v>69.95</v>
      </c>
      <c r="H1284">
        <v>17417.55</v>
      </c>
    </row>
    <row r="1285" spans="1:8" x14ac:dyDescent="0.35">
      <c r="A1285" t="s">
        <v>5</v>
      </c>
      <c r="B1285" t="s">
        <v>12</v>
      </c>
      <c r="C1285" t="s">
        <v>9</v>
      </c>
      <c r="D1285">
        <v>201</v>
      </c>
      <c r="E1285">
        <v>13</v>
      </c>
      <c r="F1285">
        <v>6.47</v>
      </c>
      <c r="G1285">
        <v>36.03</v>
      </c>
      <c r="H1285">
        <v>7242.03</v>
      </c>
    </row>
    <row r="1286" spans="1:8" x14ac:dyDescent="0.35">
      <c r="A1286" t="s">
        <v>7</v>
      </c>
      <c r="B1286" t="s">
        <v>12</v>
      </c>
      <c r="C1286" t="s">
        <v>9</v>
      </c>
      <c r="D1286">
        <v>80</v>
      </c>
      <c r="E1286">
        <v>2</v>
      </c>
      <c r="F1286">
        <v>2.5</v>
      </c>
      <c r="G1286">
        <v>63.57</v>
      </c>
      <c r="H1286">
        <v>5085.6000000000004</v>
      </c>
    </row>
    <row r="1287" spans="1:8" x14ac:dyDescent="0.35">
      <c r="A1287" t="s">
        <v>6</v>
      </c>
      <c r="B1287" t="s">
        <v>12</v>
      </c>
      <c r="C1287" t="s">
        <v>9</v>
      </c>
      <c r="D1287">
        <v>241</v>
      </c>
      <c r="E1287">
        <v>22</v>
      </c>
      <c r="F1287">
        <v>9.1300000000000008</v>
      </c>
      <c r="G1287">
        <v>52.99</v>
      </c>
      <c r="H1287">
        <v>12770.59</v>
      </c>
    </row>
    <row r="1288" spans="1:8" x14ac:dyDescent="0.35">
      <c r="A1288" t="s">
        <v>6</v>
      </c>
      <c r="B1288" t="s">
        <v>12</v>
      </c>
      <c r="C1288" t="s">
        <v>9</v>
      </c>
      <c r="D1288">
        <v>136</v>
      </c>
      <c r="E1288">
        <v>10</v>
      </c>
      <c r="F1288">
        <v>7.35</v>
      </c>
      <c r="G1288">
        <v>27.54</v>
      </c>
      <c r="H1288">
        <v>3745.44</v>
      </c>
    </row>
    <row r="1289" spans="1:8" x14ac:dyDescent="0.35">
      <c r="A1289" t="s">
        <v>6</v>
      </c>
      <c r="B1289" t="s">
        <v>12</v>
      </c>
      <c r="C1289" t="s">
        <v>11</v>
      </c>
      <c r="D1289">
        <v>245</v>
      </c>
      <c r="E1289">
        <v>9</v>
      </c>
      <c r="F1289">
        <v>3.67</v>
      </c>
      <c r="G1289">
        <v>65.73</v>
      </c>
      <c r="H1289">
        <v>16103.85</v>
      </c>
    </row>
    <row r="1290" spans="1:8" x14ac:dyDescent="0.35">
      <c r="A1290" t="s">
        <v>7</v>
      </c>
      <c r="B1290" t="s">
        <v>12</v>
      </c>
      <c r="C1290" t="s">
        <v>10</v>
      </c>
      <c r="D1290">
        <v>82</v>
      </c>
      <c r="E1290">
        <v>8</v>
      </c>
      <c r="F1290">
        <v>9.76</v>
      </c>
      <c r="G1290">
        <v>21.13</v>
      </c>
      <c r="H1290">
        <v>1732.66</v>
      </c>
    </row>
    <row r="1291" spans="1:8" x14ac:dyDescent="0.35">
      <c r="A1291" t="s">
        <v>7</v>
      </c>
      <c r="B1291" t="s">
        <v>12</v>
      </c>
      <c r="C1291" t="s">
        <v>10</v>
      </c>
      <c r="D1291">
        <v>125</v>
      </c>
      <c r="E1291">
        <v>12</v>
      </c>
      <c r="F1291">
        <v>9.6</v>
      </c>
      <c r="G1291">
        <v>32.35</v>
      </c>
      <c r="H1291">
        <v>4043.75</v>
      </c>
    </row>
    <row r="1292" spans="1:8" x14ac:dyDescent="0.35">
      <c r="A1292" t="s">
        <v>8</v>
      </c>
      <c r="B1292" t="s">
        <v>12</v>
      </c>
      <c r="C1292" t="s">
        <v>9</v>
      </c>
      <c r="D1292">
        <v>183</v>
      </c>
      <c r="E1292">
        <v>13</v>
      </c>
      <c r="F1292">
        <v>7.1</v>
      </c>
      <c r="G1292">
        <v>20.55</v>
      </c>
      <c r="H1292">
        <v>3760.65</v>
      </c>
    </row>
    <row r="1293" spans="1:8" x14ac:dyDescent="0.35">
      <c r="A1293" t="s">
        <v>7</v>
      </c>
      <c r="B1293" t="s">
        <v>12</v>
      </c>
      <c r="C1293" t="s">
        <v>9</v>
      </c>
      <c r="D1293">
        <v>122</v>
      </c>
      <c r="E1293">
        <v>1</v>
      </c>
      <c r="F1293">
        <v>0.82</v>
      </c>
      <c r="G1293">
        <v>24.75</v>
      </c>
      <c r="H1293">
        <v>3019.5</v>
      </c>
    </row>
    <row r="1294" spans="1:8" x14ac:dyDescent="0.35">
      <c r="A1294" t="s">
        <v>5</v>
      </c>
      <c r="B1294" t="s">
        <v>12</v>
      </c>
      <c r="C1294" t="s">
        <v>9</v>
      </c>
      <c r="D1294">
        <v>255</v>
      </c>
      <c r="E1294">
        <v>8</v>
      </c>
      <c r="F1294">
        <v>3.14</v>
      </c>
      <c r="G1294">
        <v>18.25</v>
      </c>
      <c r="H1294">
        <v>4653.75</v>
      </c>
    </row>
    <row r="1295" spans="1:8" x14ac:dyDescent="0.35">
      <c r="A1295" t="s">
        <v>6</v>
      </c>
      <c r="B1295" t="s">
        <v>12</v>
      </c>
      <c r="C1295" t="s">
        <v>9</v>
      </c>
      <c r="D1295">
        <v>199</v>
      </c>
      <c r="E1295">
        <v>8</v>
      </c>
      <c r="F1295">
        <v>4.0199999999999996</v>
      </c>
      <c r="G1295">
        <v>28.37</v>
      </c>
      <c r="H1295">
        <v>5645.63</v>
      </c>
    </row>
    <row r="1296" spans="1:8" x14ac:dyDescent="0.35">
      <c r="A1296" t="s">
        <v>5</v>
      </c>
      <c r="B1296" t="s">
        <v>12</v>
      </c>
      <c r="C1296" t="s">
        <v>9</v>
      </c>
      <c r="D1296">
        <v>115</v>
      </c>
      <c r="E1296">
        <v>4</v>
      </c>
      <c r="F1296">
        <v>3.48</v>
      </c>
      <c r="G1296">
        <v>30.7</v>
      </c>
      <c r="H1296">
        <v>3530.5</v>
      </c>
    </row>
    <row r="1297" spans="1:8" x14ac:dyDescent="0.35">
      <c r="A1297" t="s">
        <v>7</v>
      </c>
      <c r="B1297" t="s">
        <v>12</v>
      </c>
      <c r="C1297" t="s">
        <v>9</v>
      </c>
      <c r="D1297">
        <v>252</v>
      </c>
      <c r="E1297">
        <v>8</v>
      </c>
      <c r="F1297">
        <v>3.17</v>
      </c>
      <c r="G1297">
        <v>9.92</v>
      </c>
      <c r="H1297">
        <v>2499.84</v>
      </c>
    </row>
    <row r="1298" spans="1:8" x14ac:dyDescent="0.35">
      <c r="A1298" t="s">
        <v>6</v>
      </c>
      <c r="B1298" t="s">
        <v>12</v>
      </c>
      <c r="C1298" t="s">
        <v>9</v>
      </c>
      <c r="D1298">
        <v>258</v>
      </c>
      <c r="E1298">
        <v>22</v>
      </c>
      <c r="F1298">
        <v>8.5299999999999994</v>
      </c>
      <c r="G1298">
        <v>27.77</v>
      </c>
      <c r="H1298">
        <v>7164.66</v>
      </c>
    </row>
    <row r="1299" spans="1:8" x14ac:dyDescent="0.35">
      <c r="A1299" t="s">
        <v>6</v>
      </c>
      <c r="B1299" t="s">
        <v>12</v>
      </c>
      <c r="C1299" t="s">
        <v>9</v>
      </c>
      <c r="D1299">
        <v>130</v>
      </c>
      <c r="E1299">
        <v>4</v>
      </c>
      <c r="F1299">
        <v>3.08</v>
      </c>
      <c r="G1299">
        <v>57.27</v>
      </c>
      <c r="H1299">
        <v>7445.1</v>
      </c>
    </row>
    <row r="1300" spans="1:8" x14ac:dyDescent="0.35">
      <c r="A1300" t="s">
        <v>6</v>
      </c>
      <c r="B1300" t="s">
        <v>12</v>
      </c>
      <c r="C1300" t="s">
        <v>9</v>
      </c>
      <c r="D1300">
        <v>82</v>
      </c>
      <c r="E1300">
        <v>1</v>
      </c>
      <c r="F1300">
        <v>1.22</v>
      </c>
      <c r="G1300">
        <v>61.61</v>
      </c>
      <c r="H1300">
        <v>5052.0200000000004</v>
      </c>
    </row>
    <row r="1301" spans="1:8" x14ac:dyDescent="0.35">
      <c r="A1301" t="s">
        <v>7</v>
      </c>
      <c r="B1301" t="s">
        <v>12</v>
      </c>
      <c r="C1301" t="s">
        <v>9</v>
      </c>
      <c r="D1301">
        <v>133</v>
      </c>
      <c r="E1301">
        <v>0</v>
      </c>
      <c r="F1301">
        <v>0</v>
      </c>
      <c r="G1301">
        <v>42.32</v>
      </c>
      <c r="H1301">
        <v>5628.56</v>
      </c>
    </row>
    <row r="1302" spans="1:8" x14ac:dyDescent="0.35">
      <c r="A1302" t="s">
        <v>7</v>
      </c>
      <c r="B1302" t="s">
        <v>12</v>
      </c>
      <c r="C1302" t="s">
        <v>9</v>
      </c>
      <c r="D1302">
        <v>257</v>
      </c>
      <c r="E1302">
        <v>18</v>
      </c>
      <c r="F1302">
        <v>7</v>
      </c>
      <c r="G1302">
        <v>56.74</v>
      </c>
      <c r="H1302">
        <v>14582.18</v>
      </c>
    </row>
    <row r="1303" spans="1:8" x14ac:dyDescent="0.35">
      <c r="A1303" t="s">
        <v>7</v>
      </c>
      <c r="B1303" t="s">
        <v>12</v>
      </c>
      <c r="C1303" t="s">
        <v>10</v>
      </c>
      <c r="D1303">
        <v>151</v>
      </c>
      <c r="E1303">
        <v>12</v>
      </c>
      <c r="F1303">
        <v>7.95</v>
      </c>
      <c r="G1303">
        <v>68.849999999999994</v>
      </c>
      <c r="H1303">
        <v>10396.35</v>
      </c>
    </row>
    <row r="1304" spans="1:8" x14ac:dyDescent="0.35">
      <c r="A1304" t="s">
        <v>6</v>
      </c>
      <c r="B1304" t="s">
        <v>12</v>
      </c>
      <c r="C1304" t="s">
        <v>11</v>
      </c>
      <c r="D1304">
        <v>103</v>
      </c>
      <c r="E1304">
        <v>9</v>
      </c>
      <c r="F1304">
        <v>8.74</v>
      </c>
      <c r="G1304">
        <v>21.88</v>
      </c>
      <c r="H1304">
        <v>2253.64</v>
      </c>
    </row>
    <row r="1305" spans="1:8" x14ac:dyDescent="0.35">
      <c r="A1305" t="s">
        <v>6</v>
      </c>
      <c r="B1305" t="s">
        <v>12</v>
      </c>
      <c r="C1305" t="s">
        <v>9</v>
      </c>
      <c r="D1305">
        <v>137</v>
      </c>
      <c r="E1305">
        <v>11</v>
      </c>
      <c r="F1305">
        <v>8.0299999999999994</v>
      </c>
      <c r="G1305">
        <v>61.57</v>
      </c>
      <c r="H1305">
        <v>8435.09</v>
      </c>
    </row>
    <row r="1306" spans="1:8" x14ac:dyDescent="0.35">
      <c r="A1306" t="s">
        <v>7</v>
      </c>
      <c r="B1306" t="s">
        <v>12</v>
      </c>
      <c r="C1306" t="s">
        <v>10</v>
      </c>
      <c r="D1306">
        <v>160</v>
      </c>
      <c r="E1306">
        <v>4</v>
      </c>
      <c r="F1306">
        <v>2.5</v>
      </c>
      <c r="G1306">
        <v>21.64</v>
      </c>
      <c r="H1306">
        <v>3462.4</v>
      </c>
    </row>
    <row r="1307" spans="1:8" x14ac:dyDescent="0.35">
      <c r="A1307" t="s">
        <v>7</v>
      </c>
      <c r="B1307" t="s">
        <v>12</v>
      </c>
      <c r="C1307" t="s">
        <v>10</v>
      </c>
      <c r="D1307">
        <v>212</v>
      </c>
      <c r="E1307">
        <v>10</v>
      </c>
      <c r="F1307">
        <v>4.72</v>
      </c>
      <c r="G1307">
        <v>19.079999999999998</v>
      </c>
      <c r="H1307">
        <v>4044.96</v>
      </c>
    </row>
    <row r="1308" spans="1:8" x14ac:dyDescent="0.35">
      <c r="A1308" t="s">
        <v>6</v>
      </c>
      <c r="B1308" t="s">
        <v>12</v>
      </c>
      <c r="C1308" t="s">
        <v>9</v>
      </c>
      <c r="D1308">
        <v>76</v>
      </c>
      <c r="E1308">
        <v>0</v>
      </c>
      <c r="F1308">
        <v>0</v>
      </c>
      <c r="G1308">
        <v>54.54</v>
      </c>
      <c r="H1308">
        <v>4145.04</v>
      </c>
    </row>
    <row r="1309" spans="1:8" x14ac:dyDescent="0.35">
      <c r="A1309" t="s">
        <v>8</v>
      </c>
      <c r="B1309" t="s">
        <v>12</v>
      </c>
      <c r="C1309" t="s">
        <v>9</v>
      </c>
      <c r="D1309">
        <v>65</v>
      </c>
      <c r="E1309">
        <v>2</v>
      </c>
      <c r="F1309">
        <v>3.08</v>
      </c>
      <c r="G1309">
        <v>61.66</v>
      </c>
      <c r="H1309">
        <v>4007.9</v>
      </c>
    </row>
    <row r="1310" spans="1:8" x14ac:dyDescent="0.35">
      <c r="A1310" t="s">
        <v>5</v>
      </c>
      <c r="B1310" t="s">
        <v>12</v>
      </c>
      <c r="C1310" t="s">
        <v>9</v>
      </c>
      <c r="D1310">
        <v>56</v>
      </c>
      <c r="E1310">
        <v>1</v>
      </c>
      <c r="F1310">
        <v>1.79</v>
      </c>
      <c r="G1310">
        <v>27.8</v>
      </c>
      <c r="H1310">
        <v>1556.8</v>
      </c>
    </row>
    <row r="1311" spans="1:8" x14ac:dyDescent="0.35">
      <c r="A1311" t="s">
        <v>7</v>
      </c>
      <c r="B1311" t="s">
        <v>12</v>
      </c>
      <c r="C1311" t="s">
        <v>9</v>
      </c>
      <c r="D1311">
        <v>256</v>
      </c>
      <c r="E1311">
        <v>3</v>
      </c>
      <c r="F1311">
        <v>1.17</v>
      </c>
      <c r="G1311">
        <v>40.590000000000003</v>
      </c>
      <c r="H1311">
        <v>10391.040000000001</v>
      </c>
    </row>
    <row r="1312" spans="1:8" x14ac:dyDescent="0.35">
      <c r="A1312" t="s">
        <v>7</v>
      </c>
      <c r="B1312" t="s">
        <v>12</v>
      </c>
      <c r="C1312" t="s">
        <v>9</v>
      </c>
      <c r="D1312">
        <v>169</v>
      </c>
      <c r="E1312">
        <v>8</v>
      </c>
      <c r="F1312">
        <v>4.7300000000000004</v>
      </c>
      <c r="G1312">
        <v>21.16</v>
      </c>
      <c r="H1312">
        <v>3576.04</v>
      </c>
    </row>
    <row r="1313" spans="1:8" x14ac:dyDescent="0.35">
      <c r="A1313" t="s">
        <v>6</v>
      </c>
      <c r="B1313" t="s">
        <v>12</v>
      </c>
      <c r="C1313" t="s">
        <v>9</v>
      </c>
      <c r="D1313">
        <v>158</v>
      </c>
      <c r="E1313">
        <v>10</v>
      </c>
      <c r="F1313">
        <v>6.33</v>
      </c>
      <c r="G1313">
        <v>26.44</v>
      </c>
      <c r="H1313">
        <v>4177.5200000000004</v>
      </c>
    </row>
    <row r="1314" spans="1:8" x14ac:dyDescent="0.35">
      <c r="A1314" t="s">
        <v>6</v>
      </c>
      <c r="B1314" t="s">
        <v>12</v>
      </c>
      <c r="C1314" t="s">
        <v>11</v>
      </c>
      <c r="D1314">
        <v>79</v>
      </c>
      <c r="E1314">
        <v>1</v>
      </c>
      <c r="F1314">
        <v>1.27</v>
      </c>
      <c r="G1314">
        <v>9.32</v>
      </c>
      <c r="H1314">
        <v>736.28</v>
      </c>
    </row>
    <row r="1315" spans="1:8" x14ac:dyDescent="0.35">
      <c r="A1315" t="s">
        <v>8</v>
      </c>
      <c r="B1315" t="s">
        <v>12</v>
      </c>
      <c r="C1315" t="s">
        <v>9</v>
      </c>
      <c r="D1315">
        <v>165</v>
      </c>
      <c r="E1315">
        <v>5</v>
      </c>
      <c r="F1315">
        <v>3.03</v>
      </c>
      <c r="G1315">
        <v>24.46</v>
      </c>
      <c r="H1315">
        <v>4035.9</v>
      </c>
    </row>
    <row r="1316" spans="1:8" x14ac:dyDescent="0.35">
      <c r="A1316" t="s">
        <v>6</v>
      </c>
      <c r="B1316" t="s">
        <v>12</v>
      </c>
      <c r="C1316" t="s">
        <v>9</v>
      </c>
      <c r="D1316">
        <v>198</v>
      </c>
      <c r="E1316">
        <v>16</v>
      </c>
      <c r="F1316">
        <v>8.08</v>
      </c>
      <c r="G1316">
        <v>22.43</v>
      </c>
      <c r="H1316">
        <v>4441.1400000000003</v>
      </c>
    </row>
    <row r="1317" spans="1:8" x14ac:dyDescent="0.35">
      <c r="A1317" t="s">
        <v>7</v>
      </c>
      <c r="B1317" t="s">
        <v>12</v>
      </c>
      <c r="C1317" t="s">
        <v>10</v>
      </c>
      <c r="D1317">
        <v>175</v>
      </c>
      <c r="E1317">
        <v>8</v>
      </c>
      <c r="F1317">
        <v>4.57</v>
      </c>
      <c r="G1317">
        <v>11.4</v>
      </c>
      <c r="H1317">
        <v>1995</v>
      </c>
    </row>
    <row r="1318" spans="1:8" x14ac:dyDescent="0.35">
      <c r="A1318" t="s">
        <v>7</v>
      </c>
      <c r="B1318" t="s">
        <v>12</v>
      </c>
      <c r="C1318" t="s">
        <v>9</v>
      </c>
      <c r="D1318">
        <v>268</v>
      </c>
      <c r="E1318">
        <v>23</v>
      </c>
      <c r="F1318">
        <v>8.58</v>
      </c>
      <c r="G1318">
        <v>18</v>
      </c>
      <c r="H1318">
        <v>4824</v>
      </c>
    </row>
    <row r="1319" spans="1:8" x14ac:dyDescent="0.35">
      <c r="A1319" t="s">
        <v>5</v>
      </c>
      <c r="B1319" t="s">
        <v>12</v>
      </c>
      <c r="C1319" t="s">
        <v>9</v>
      </c>
      <c r="D1319">
        <v>285</v>
      </c>
      <c r="E1319">
        <v>14</v>
      </c>
      <c r="F1319">
        <v>4.91</v>
      </c>
      <c r="G1319">
        <v>34.85</v>
      </c>
      <c r="H1319">
        <v>9932.25</v>
      </c>
    </row>
    <row r="1320" spans="1:8" x14ac:dyDescent="0.35">
      <c r="A1320" t="s">
        <v>6</v>
      </c>
      <c r="B1320" t="s">
        <v>12</v>
      </c>
      <c r="C1320" t="s">
        <v>11</v>
      </c>
      <c r="D1320">
        <v>75</v>
      </c>
      <c r="E1320">
        <v>7</v>
      </c>
      <c r="F1320">
        <v>9.33</v>
      </c>
      <c r="G1320">
        <v>12.46</v>
      </c>
      <c r="H1320">
        <v>934.5</v>
      </c>
    </row>
    <row r="1321" spans="1:8" x14ac:dyDescent="0.35">
      <c r="A1321" t="s">
        <v>5</v>
      </c>
      <c r="B1321" t="s">
        <v>12</v>
      </c>
      <c r="C1321" t="s">
        <v>9</v>
      </c>
      <c r="D1321">
        <v>107</v>
      </c>
      <c r="E1321">
        <v>6</v>
      </c>
      <c r="F1321">
        <v>5.61</v>
      </c>
      <c r="G1321">
        <v>48.83</v>
      </c>
      <c r="H1321">
        <v>5224.8100000000004</v>
      </c>
    </row>
    <row r="1322" spans="1:8" x14ac:dyDescent="0.35">
      <c r="A1322" t="s">
        <v>6</v>
      </c>
      <c r="B1322" t="s">
        <v>12</v>
      </c>
      <c r="C1322" t="s">
        <v>9</v>
      </c>
      <c r="D1322">
        <v>215</v>
      </c>
      <c r="E1322">
        <v>1</v>
      </c>
      <c r="F1322">
        <v>0.47</v>
      </c>
      <c r="G1322">
        <v>10.93</v>
      </c>
      <c r="H1322">
        <v>2349.9499999999998</v>
      </c>
    </row>
    <row r="1323" spans="1:8" x14ac:dyDescent="0.35">
      <c r="A1323" t="s">
        <v>7</v>
      </c>
      <c r="B1323" t="s">
        <v>12</v>
      </c>
      <c r="C1323" t="s">
        <v>9</v>
      </c>
      <c r="D1323">
        <v>282</v>
      </c>
      <c r="E1323">
        <v>6</v>
      </c>
      <c r="F1323">
        <v>2.13</v>
      </c>
      <c r="G1323">
        <v>36.590000000000003</v>
      </c>
      <c r="H1323">
        <v>10318.379999999999</v>
      </c>
    </row>
    <row r="1324" spans="1:8" x14ac:dyDescent="0.35">
      <c r="A1324" t="s">
        <v>5</v>
      </c>
      <c r="B1324" t="s">
        <v>12</v>
      </c>
      <c r="C1324" t="s">
        <v>9</v>
      </c>
      <c r="D1324">
        <v>281</v>
      </c>
      <c r="E1324">
        <v>1</v>
      </c>
      <c r="F1324">
        <v>0.36</v>
      </c>
      <c r="G1324">
        <v>53.68</v>
      </c>
      <c r="H1324">
        <v>15084.08</v>
      </c>
    </row>
    <row r="1325" spans="1:8" x14ac:dyDescent="0.35">
      <c r="A1325" t="s">
        <v>7</v>
      </c>
      <c r="B1325" t="s">
        <v>12</v>
      </c>
      <c r="C1325" t="s">
        <v>10</v>
      </c>
      <c r="D1325">
        <v>93</v>
      </c>
      <c r="E1325">
        <v>3</v>
      </c>
      <c r="F1325">
        <v>3.23</v>
      </c>
      <c r="G1325">
        <v>69.06</v>
      </c>
      <c r="H1325">
        <v>6422.58</v>
      </c>
    </row>
    <row r="1326" spans="1:8" x14ac:dyDescent="0.35">
      <c r="A1326" t="s">
        <v>7</v>
      </c>
      <c r="B1326" t="s">
        <v>12</v>
      </c>
      <c r="C1326" t="s">
        <v>10</v>
      </c>
      <c r="D1326">
        <v>267</v>
      </c>
      <c r="E1326">
        <v>6</v>
      </c>
      <c r="F1326">
        <v>2.25</v>
      </c>
      <c r="G1326">
        <v>26.26</v>
      </c>
      <c r="H1326">
        <v>7011.42</v>
      </c>
    </row>
    <row r="1327" spans="1:8" x14ac:dyDescent="0.35">
      <c r="A1327" t="s">
        <v>8</v>
      </c>
      <c r="B1327" t="s">
        <v>12</v>
      </c>
      <c r="C1327" t="s">
        <v>9</v>
      </c>
      <c r="D1327">
        <v>277</v>
      </c>
      <c r="E1327">
        <v>7</v>
      </c>
      <c r="F1327">
        <v>2.5299999999999998</v>
      </c>
      <c r="G1327">
        <v>22</v>
      </c>
      <c r="H1327">
        <v>6094</v>
      </c>
    </row>
    <row r="1328" spans="1:8" x14ac:dyDescent="0.35">
      <c r="A1328" t="s">
        <v>7</v>
      </c>
      <c r="B1328" t="s">
        <v>12</v>
      </c>
      <c r="C1328" t="s">
        <v>9</v>
      </c>
      <c r="D1328">
        <v>113</v>
      </c>
      <c r="E1328">
        <v>1</v>
      </c>
      <c r="F1328">
        <v>0.88</v>
      </c>
      <c r="G1328">
        <v>68.14</v>
      </c>
      <c r="H1328">
        <v>7699.82</v>
      </c>
    </row>
    <row r="1329" spans="1:8" x14ac:dyDescent="0.35">
      <c r="A1329" t="s">
        <v>7</v>
      </c>
      <c r="B1329" t="s">
        <v>12</v>
      </c>
      <c r="C1329" t="s">
        <v>9</v>
      </c>
      <c r="D1329">
        <v>51</v>
      </c>
      <c r="E1329">
        <v>4</v>
      </c>
      <c r="F1329">
        <v>7.84</v>
      </c>
      <c r="G1329">
        <v>32.85</v>
      </c>
      <c r="H1329">
        <v>1675.35</v>
      </c>
    </row>
    <row r="1330" spans="1:8" x14ac:dyDescent="0.35">
      <c r="A1330" t="s">
        <v>6</v>
      </c>
      <c r="B1330" t="s">
        <v>12</v>
      </c>
      <c r="C1330" t="s">
        <v>11</v>
      </c>
      <c r="D1330">
        <v>238</v>
      </c>
      <c r="E1330">
        <v>3</v>
      </c>
      <c r="F1330">
        <v>1.26</v>
      </c>
      <c r="G1330">
        <v>39.909999999999997</v>
      </c>
      <c r="H1330">
        <v>9498.58</v>
      </c>
    </row>
    <row r="1331" spans="1:8" x14ac:dyDescent="0.35">
      <c r="A1331" t="s">
        <v>7</v>
      </c>
      <c r="B1331" t="s">
        <v>12</v>
      </c>
      <c r="C1331" t="s">
        <v>10</v>
      </c>
      <c r="D1331">
        <v>79</v>
      </c>
      <c r="E1331">
        <v>6</v>
      </c>
      <c r="F1331">
        <v>7.59</v>
      </c>
      <c r="G1331">
        <v>39.35</v>
      </c>
      <c r="H1331">
        <v>3108.65</v>
      </c>
    </row>
    <row r="1332" spans="1:8" x14ac:dyDescent="0.35">
      <c r="A1332" t="s">
        <v>6</v>
      </c>
      <c r="B1332" t="s">
        <v>12</v>
      </c>
      <c r="C1332" t="s">
        <v>11</v>
      </c>
      <c r="D1332">
        <v>293</v>
      </c>
      <c r="E1332">
        <v>6</v>
      </c>
      <c r="F1332">
        <v>2.0499999999999998</v>
      </c>
      <c r="G1332">
        <v>57.74</v>
      </c>
      <c r="H1332">
        <v>16917.82</v>
      </c>
    </row>
    <row r="1333" spans="1:8" x14ac:dyDescent="0.35">
      <c r="A1333" t="s">
        <v>6</v>
      </c>
      <c r="B1333" t="s">
        <v>12</v>
      </c>
      <c r="C1333" t="s">
        <v>9</v>
      </c>
      <c r="D1333">
        <v>78</v>
      </c>
      <c r="E1333">
        <v>5</v>
      </c>
      <c r="F1333">
        <v>6.41</v>
      </c>
      <c r="G1333">
        <v>26.14</v>
      </c>
      <c r="H1333">
        <v>2038.92</v>
      </c>
    </row>
    <row r="1334" spans="1:8" x14ac:dyDescent="0.35">
      <c r="A1334" t="s">
        <v>7</v>
      </c>
      <c r="B1334" t="s">
        <v>12</v>
      </c>
      <c r="C1334" t="s">
        <v>10</v>
      </c>
      <c r="D1334">
        <v>166</v>
      </c>
      <c r="E1334">
        <v>16</v>
      </c>
      <c r="F1334">
        <v>9.64</v>
      </c>
      <c r="G1334">
        <v>42.52</v>
      </c>
      <c r="H1334">
        <v>7058.32</v>
      </c>
    </row>
    <row r="1335" spans="1:8" x14ac:dyDescent="0.35">
      <c r="A1335" t="s">
        <v>5</v>
      </c>
      <c r="B1335" t="s">
        <v>12</v>
      </c>
      <c r="C1335" t="s">
        <v>9</v>
      </c>
      <c r="D1335">
        <v>295</v>
      </c>
      <c r="E1335">
        <v>5</v>
      </c>
      <c r="F1335">
        <v>1.69</v>
      </c>
      <c r="G1335">
        <v>10.039999999999999</v>
      </c>
      <c r="H1335">
        <v>2961.8</v>
      </c>
    </row>
    <row r="1336" spans="1:8" x14ac:dyDescent="0.35">
      <c r="A1336" t="s">
        <v>7</v>
      </c>
      <c r="B1336" t="s">
        <v>12</v>
      </c>
      <c r="C1336" t="s">
        <v>10</v>
      </c>
      <c r="D1336">
        <v>204</v>
      </c>
      <c r="E1336">
        <v>11</v>
      </c>
      <c r="F1336">
        <v>5.39</v>
      </c>
      <c r="G1336">
        <v>49.71</v>
      </c>
      <c r="H1336">
        <v>10140.84</v>
      </c>
    </row>
    <row r="1337" spans="1:8" x14ac:dyDescent="0.35">
      <c r="A1337" t="s">
        <v>7</v>
      </c>
      <c r="B1337" t="s">
        <v>12</v>
      </c>
      <c r="C1337" t="s">
        <v>10</v>
      </c>
      <c r="D1337">
        <v>82</v>
      </c>
      <c r="E1337">
        <v>1</v>
      </c>
      <c r="F1337">
        <v>1.22</v>
      </c>
      <c r="G1337">
        <v>25.11</v>
      </c>
      <c r="H1337">
        <v>2059.02</v>
      </c>
    </row>
    <row r="1338" spans="1:8" x14ac:dyDescent="0.35">
      <c r="A1338" t="s">
        <v>8</v>
      </c>
      <c r="B1338" t="s">
        <v>12</v>
      </c>
      <c r="C1338" t="s">
        <v>9</v>
      </c>
      <c r="D1338">
        <v>257</v>
      </c>
      <c r="E1338">
        <v>17</v>
      </c>
      <c r="F1338">
        <v>6.61</v>
      </c>
      <c r="G1338">
        <v>63.3</v>
      </c>
      <c r="H1338">
        <v>16268.1</v>
      </c>
    </row>
    <row r="1339" spans="1:8" x14ac:dyDescent="0.35">
      <c r="A1339" t="s">
        <v>6</v>
      </c>
      <c r="B1339" t="s">
        <v>12</v>
      </c>
      <c r="C1339" t="s">
        <v>9</v>
      </c>
      <c r="D1339">
        <v>227</v>
      </c>
      <c r="E1339">
        <v>0</v>
      </c>
      <c r="F1339">
        <v>0</v>
      </c>
      <c r="G1339">
        <v>44.92</v>
      </c>
      <c r="H1339">
        <v>10196.84</v>
      </c>
    </row>
    <row r="1340" spans="1:8" x14ac:dyDescent="0.35">
      <c r="A1340" t="s">
        <v>6</v>
      </c>
      <c r="B1340" t="s">
        <v>12</v>
      </c>
      <c r="C1340" t="s">
        <v>9</v>
      </c>
      <c r="D1340">
        <v>280</v>
      </c>
      <c r="E1340">
        <v>9</v>
      </c>
      <c r="F1340">
        <v>3.21</v>
      </c>
      <c r="G1340">
        <v>48.3</v>
      </c>
      <c r="H1340">
        <v>13524</v>
      </c>
    </row>
    <row r="1341" spans="1:8" x14ac:dyDescent="0.35">
      <c r="A1341" t="s">
        <v>5</v>
      </c>
      <c r="B1341" t="s">
        <v>12</v>
      </c>
      <c r="C1341" t="s">
        <v>9</v>
      </c>
      <c r="D1341">
        <v>225</v>
      </c>
      <c r="E1341">
        <v>0</v>
      </c>
      <c r="F1341">
        <v>0</v>
      </c>
      <c r="G1341">
        <v>54.17</v>
      </c>
      <c r="H1341">
        <v>12188.25</v>
      </c>
    </row>
    <row r="1342" spans="1:8" x14ac:dyDescent="0.35">
      <c r="A1342" t="s">
        <v>6</v>
      </c>
      <c r="B1342" t="s">
        <v>12</v>
      </c>
      <c r="C1342" t="s">
        <v>9</v>
      </c>
      <c r="D1342">
        <v>146</v>
      </c>
      <c r="E1342">
        <v>1</v>
      </c>
      <c r="F1342">
        <v>0.68</v>
      </c>
      <c r="G1342">
        <v>62.23</v>
      </c>
      <c r="H1342">
        <v>9085.58</v>
      </c>
    </row>
    <row r="1343" spans="1:8" x14ac:dyDescent="0.35">
      <c r="A1343" t="s">
        <v>6</v>
      </c>
      <c r="B1343" t="s">
        <v>12</v>
      </c>
      <c r="C1343" t="s">
        <v>9</v>
      </c>
      <c r="D1343">
        <v>150</v>
      </c>
      <c r="E1343">
        <v>8</v>
      </c>
      <c r="F1343">
        <v>5.33</v>
      </c>
      <c r="G1343">
        <v>65.95</v>
      </c>
      <c r="H1343">
        <v>9892.5</v>
      </c>
    </row>
    <row r="1344" spans="1:8" x14ac:dyDescent="0.35">
      <c r="A1344" t="s">
        <v>7</v>
      </c>
      <c r="B1344" t="s">
        <v>12</v>
      </c>
      <c r="C1344" t="s">
        <v>10</v>
      </c>
      <c r="D1344">
        <v>217</v>
      </c>
      <c r="E1344">
        <v>20</v>
      </c>
      <c r="F1344">
        <v>9.2200000000000006</v>
      </c>
      <c r="G1344">
        <v>26.17</v>
      </c>
      <c r="H1344">
        <v>5678.89</v>
      </c>
    </row>
    <row r="1345" spans="1:8" x14ac:dyDescent="0.35">
      <c r="A1345" t="s">
        <v>6</v>
      </c>
      <c r="B1345" t="s">
        <v>12</v>
      </c>
      <c r="C1345" t="s">
        <v>9</v>
      </c>
      <c r="D1345">
        <v>175</v>
      </c>
      <c r="E1345">
        <v>5</v>
      </c>
      <c r="F1345">
        <v>2.86</v>
      </c>
      <c r="G1345">
        <v>65.94</v>
      </c>
      <c r="H1345">
        <v>11539.5</v>
      </c>
    </row>
    <row r="1346" spans="1:8" x14ac:dyDescent="0.35">
      <c r="A1346" t="s">
        <v>5</v>
      </c>
      <c r="B1346" t="s">
        <v>12</v>
      </c>
      <c r="C1346" t="s">
        <v>9</v>
      </c>
      <c r="D1346">
        <v>99</v>
      </c>
      <c r="E1346">
        <v>6</v>
      </c>
      <c r="F1346">
        <v>6.06</v>
      </c>
      <c r="G1346">
        <v>9.1999999999999993</v>
      </c>
      <c r="H1346">
        <v>910.8</v>
      </c>
    </row>
    <row r="1347" spans="1:8" x14ac:dyDescent="0.35">
      <c r="A1347" t="s">
        <v>6</v>
      </c>
      <c r="B1347" t="s">
        <v>12</v>
      </c>
      <c r="C1347" t="s">
        <v>11</v>
      </c>
      <c r="D1347">
        <v>134</v>
      </c>
      <c r="E1347">
        <v>0</v>
      </c>
      <c r="F1347">
        <v>0</v>
      </c>
      <c r="G1347">
        <v>58.44</v>
      </c>
      <c r="H1347">
        <v>7830.96</v>
      </c>
    </row>
    <row r="1348" spans="1:8" x14ac:dyDescent="0.35">
      <c r="A1348" t="s">
        <v>5</v>
      </c>
      <c r="B1348" t="s">
        <v>12</v>
      </c>
      <c r="C1348" t="s">
        <v>9</v>
      </c>
      <c r="D1348">
        <v>297</v>
      </c>
      <c r="E1348">
        <v>0</v>
      </c>
      <c r="F1348">
        <v>0</v>
      </c>
      <c r="G1348">
        <v>53.1</v>
      </c>
      <c r="H1348">
        <v>15770.7</v>
      </c>
    </row>
    <row r="1349" spans="1:8" x14ac:dyDescent="0.35">
      <c r="A1349" t="s">
        <v>6</v>
      </c>
      <c r="B1349" t="s">
        <v>12</v>
      </c>
      <c r="C1349" t="s">
        <v>9</v>
      </c>
      <c r="D1349">
        <v>183</v>
      </c>
      <c r="E1349">
        <v>16</v>
      </c>
      <c r="F1349">
        <v>8.74</v>
      </c>
      <c r="G1349">
        <v>43.38</v>
      </c>
      <c r="H1349">
        <v>7938.54</v>
      </c>
    </row>
    <row r="1350" spans="1:8" x14ac:dyDescent="0.35">
      <c r="A1350" t="s">
        <v>6</v>
      </c>
      <c r="B1350" t="s">
        <v>12</v>
      </c>
      <c r="C1350" t="s">
        <v>9</v>
      </c>
      <c r="D1350">
        <v>171</v>
      </c>
      <c r="E1350">
        <v>5</v>
      </c>
      <c r="F1350">
        <v>2.92</v>
      </c>
      <c r="G1350">
        <v>66.959999999999994</v>
      </c>
      <c r="H1350">
        <v>11450.16</v>
      </c>
    </row>
    <row r="1351" spans="1:8" x14ac:dyDescent="0.35">
      <c r="A1351" t="s">
        <v>5</v>
      </c>
      <c r="B1351" t="s">
        <v>12</v>
      </c>
      <c r="C1351" t="s">
        <v>9</v>
      </c>
      <c r="D1351">
        <v>70</v>
      </c>
      <c r="E1351">
        <v>7</v>
      </c>
      <c r="F1351">
        <v>10</v>
      </c>
      <c r="G1351">
        <v>19.149999999999999</v>
      </c>
      <c r="H1351">
        <v>1340.5</v>
      </c>
    </row>
    <row r="1352" spans="1:8" x14ac:dyDescent="0.35">
      <c r="A1352" t="s">
        <v>6</v>
      </c>
      <c r="B1352" t="s">
        <v>12</v>
      </c>
      <c r="C1352" t="s">
        <v>9</v>
      </c>
      <c r="D1352">
        <v>142</v>
      </c>
      <c r="E1352">
        <v>4</v>
      </c>
      <c r="F1352">
        <v>2.82</v>
      </c>
      <c r="G1352">
        <v>7.15</v>
      </c>
      <c r="H1352">
        <v>1015.3</v>
      </c>
    </row>
    <row r="1353" spans="1:8" x14ac:dyDescent="0.35">
      <c r="A1353" t="s">
        <v>6</v>
      </c>
      <c r="B1353" t="s">
        <v>12</v>
      </c>
      <c r="C1353" t="s">
        <v>9</v>
      </c>
      <c r="D1353">
        <v>183</v>
      </c>
      <c r="E1353">
        <v>0</v>
      </c>
      <c r="F1353">
        <v>0</v>
      </c>
      <c r="G1353">
        <v>25.67</v>
      </c>
      <c r="H1353">
        <v>4697.6099999999997</v>
      </c>
    </row>
    <row r="1354" spans="1:8" x14ac:dyDescent="0.35">
      <c r="A1354" t="s">
        <v>5</v>
      </c>
      <c r="B1354" t="s">
        <v>12</v>
      </c>
      <c r="C1354" t="s">
        <v>9</v>
      </c>
      <c r="D1354">
        <v>255</v>
      </c>
      <c r="E1354">
        <v>16</v>
      </c>
      <c r="F1354">
        <v>6.27</v>
      </c>
      <c r="G1354">
        <v>9.77</v>
      </c>
      <c r="H1354">
        <v>2491.35</v>
      </c>
    </row>
    <row r="1355" spans="1:8" x14ac:dyDescent="0.35">
      <c r="A1355" t="s">
        <v>5</v>
      </c>
      <c r="B1355" t="s">
        <v>12</v>
      </c>
      <c r="C1355" t="s">
        <v>9</v>
      </c>
      <c r="D1355">
        <v>199</v>
      </c>
      <c r="E1355">
        <v>17</v>
      </c>
      <c r="F1355">
        <v>8.5399999999999991</v>
      </c>
      <c r="G1355">
        <v>10.37</v>
      </c>
      <c r="H1355">
        <v>2063.63</v>
      </c>
    </row>
    <row r="1356" spans="1:8" x14ac:dyDescent="0.35">
      <c r="A1356" t="s">
        <v>6</v>
      </c>
      <c r="B1356" t="s">
        <v>12</v>
      </c>
      <c r="C1356" t="s">
        <v>11</v>
      </c>
      <c r="D1356">
        <v>192</v>
      </c>
      <c r="E1356">
        <v>19</v>
      </c>
      <c r="F1356">
        <v>9.9</v>
      </c>
      <c r="G1356">
        <v>25.45</v>
      </c>
      <c r="H1356">
        <v>4886.3999999999996</v>
      </c>
    </row>
    <row r="1357" spans="1:8" x14ac:dyDescent="0.35">
      <c r="A1357" t="s">
        <v>5</v>
      </c>
      <c r="B1357" t="s">
        <v>12</v>
      </c>
      <c r="C1357" t="s">
        <v>9</v>
      </c>
      <c r="D1357">
        <v>104</v>
      </c>
      <c r="E1357">
        <v>0</v>
      </c>
      <c r="F1357">
        <v>0</v>
      </c>
      <c r="G1357">
        <v>32.64</v>
      </c>
      <c r="H1357">
        <v>3394.56</v>
      </c>
    </row>
    <row r="1358" spans="1:8" x14ac:dyDescent="0.35">
      <c r="A1358" t="s">
        <v>5</v>
      </c>
      <c r="B1358" t="s">
        <v>12</v>
      </c>
      <c r="C1358" t="s">
        <v>9</v>
      </c>
      <c r="D1358">
        <v>218</v>
      </c>
      <c r="E1358">
        <v>16</v>
      </c>
      <c r="F1358">
        <v>7.34</v>
      </c>
      <c r="G1358">
        <v>52.66</v>
      </c>
      <c r="H1358">
        <v>11479.88</v>
      </c>
    </row>
    <row r="1359" spans="1:8" x14ac:dyDescent="0.35">
      <c r="A1359" t="s">
        <v>6</v>
      </c>
      <c r="B1359" t="s">
        <v>12</v>
      </c>
      <c r="C1359" t="s">
        <v>11</v>
      </c>
      <c r="D1359">
        <v>196</v>
      </c>
      <c r="E1359">
        <v>8</v>
      </c>
      <c r="F1359">
        <v>4.08</v>
      </c>
      <c r="G1359">
        <v>61.82</v>
      </c>
      <c r="H1359">
        <v>12116.72</v>
      </c>
    </row>
    <row r="1360" spans="1:8" x14ac:dyDescent="0.35">
      <c r="A1360" t="s">
        <v>6</v>
      </c>
      <c r="B1360" t="s">
        <v>12</v>
      </c>
      <c r="C1360" t="s">
        <v>9</v>
      </c>
      <c r="D1360">
        <v>247</v>
      </c>
      <c r="E1360">
        <v>19</v>
      </c>
      <c r="F1360">
        <v>7.69</v>
      </c>
      <c r="G1360">
        <v>44.85</v>
      </c>
      <c r="H1360">
        <v>11077.95</v>
      </c>
    </row>
    <row r="1361" spans="1:8" x14ac:dyDescent="0.35">
      <c r="A1361" t="s">
        <v>6</v>
      </c>
      <c r="B1361" t="s">
        <v>12</v>
      </c>
      <c r="C1361" t="s">
        <v>9</v>
      </c>
      <c r="D1361">
        <v>96</v>
      </c>
      <c r="E1361">
        <v>8</v>
      </c>
      <c r="F1361">
        <v>8.33</v>
      </c>
      <c r="G1361">
        <v>32.9</v>
      </c>
      <c r="H1361">
        <v>3158.4</v>
      </c>
    </row>
    <row r="1362" spans="1:8" x14ac:dyDescent="0.35">
      <c r="A1362" t="s">
        <v>6</v>
      </c>
      <c r="B1362" t="s">
        <v>12</v>
      </c>
      <c r="C1362" t="s">
        <v>11</v>
      </c>
      <c r="D1362">
        <v>84</v>
      </c>
      <c r="E1362">
        <v>7</v>
      </c>
      <c r="F1362">
        <v>8.33</v>
      </c>
      <c r="G1362">
        <v>50.58</v>
      </c>
      <c r="H1362">
        <v>4248.72</v>
      </c>
    </row>
    <row r="1363" spans="1:8" x14ac:dyDescent="0.35">
      <c r="A1363" t="s">
        <v>8</v>
      </c>
      <c r="B1363" t="s">
        <v>12</v>
      </c>
      <c r="C1363" t="s">
        <v>9</v>
      </c>
      <c r="D1363">
        <v>111</v>
      </c>
      <c r="E1363">
        <v>0</v>
      </c>
      <c r="F1363">
        <v>0</v>
      </c>
      <c r="G1363">
        <v>12.54</v>
      </c>
      <c r="H1363">
        <v>1391.94</v>
      </c>
    </row>
    <row r="1364" spans="1:8" x14ac:dyDescent="0.35">
      <c r="A1364" t="s">
        <v>7</v>
      </c>
      <c r="B1364" t="s">
        <v>12</v>
      </c>
      <c r="C1364" t="s">
        <v>9</v>
      </c>
      <c r="D1364">
        <v>219</v>
      </c>
      <c r="E1364">
        <v>13</v>
      </c>
      <c r="F1364">
        <v>5.94</v>
      </c>
      <c r="G1364">
        <v>14.1</v>
      </c>
      <c r="H1364">
        <v>3087.9</v>
      </c>
    </row>
    <row r="1365" spans="1:8" x14ac:dyDescent="0.35">
      <c r="A1365" t="s">
        <v>6</v>
      </c>
      <c r="B1365" t="s">
        <v>12</v>
      </c>
      <c r="C1365" t="s">
        <v>9</v>
      </c>
      <c r="D1365">
        <v>142</v>
      </c>
      <c r="E1365">
        <v>5</v>
      </c>
      <c r="F1365">
        <v>3.52</v>
      </c>
      <c r="G1365">
        <v>64.680000000000007</v>
      </c>
      <c r="H1365">
        <v>9184.56</v>
      </c>
    </row>
    <row r="1366" spans="1:8" x14ac:dyDescent="0.35">
      <c r="A1366" t="s">
        <v>5</v>
      </c>
      <c r="B1366" t="s">
        <v>12</v>
      </c>
      <c r="C1366" t="s">
        <v>9</v>
      </c>
      <c r="D1366">
        <v>223</v>
      </c>
      <c r="E1366">
        <v>10</v>
      </c>
      <c r="F1366">
        <v>4.4800000000000004</v>
      </c>
      <c r="G1366">
        <v>11.74</v>
      </c>
      <c r="H1366">
        <v>2618.02</v>
      </c>
    </row>
    <row r="1367" spans="1:8" x14ac:dyDescent="0.35">
      <c r="A1367" t="s">
        <v>6</v>
      </c>
      <c r="B1367" t="s">
        <v>12</v>
      </c>
      <c r="C1367" t="s">
        <v>11</v>
      </c>
      <c r="D1367">
        <v>186</v>
      </c>
      <c r="E1367">
        <v>18</v>
      </c>
      <c r="F1367">
        <v>9.68</v>
      </c>
      <c r="G1367">
        <v>18.13</v>
      </c>
      <c r="H1367">
        <v>3372.18</v>
      </c>
    </row>
    <row r="1368" spans="1:8" x14ac:dyDescent="0.35">
      <c r="A1368" t="s">
        <v>7</v>
      </c>
      <c r="B1368" t="s">
        <v>12</v>
      </c>
      <c r="C1368" t="s">
        <v>10</v>
      </c>
      <c r="D1368">
        <v>145</v>
      </c>
      <c r="E1368">
        <v>2</v>
      </c>
      <c r="F1368">
        <v>1.38</v>
      </c>
      <c r="G1368">
        <v>25.99</v>
      </c>
      <c r="H1368">
        <v>3768.55</v>
      </c>
    </row>
    <row r="1369" spans="1:8" x14ac:dyDescent="0.35">
      <c r="A1369" t="s">
        <v>5</v>
      </c>
      <c r="B1369" t="s">
        <v>12</v>
      </c>
      <c r="C1369" t="s">
        <v>9</v>
      </c>
      <c r="D1369">
        <v>203</v>
      </c>
      <c r="E1369">
        <v>16</v>
      </c>
      <c r="F1369">
        <v>7.88</v>
      </c>
      <c r="G1369">
        <v>56.94</v>
      </c>
      <c r="H1369">
        <v>11558.82</v>
      </c>
    </row>
    <row r="1370" spans="1:8" x14ac:dyDescent="0.35">
      <c r="A1370" t="s">
        <v>7</v>
      </c>
      <c r="B1370" t="s">
        <v>12</v>
      </c>
      <c r="C1370" t="s">
        <v>9</v>
      </c>
      <c r="D1370">
        <v>197</v>
      </c>
      <c r="E1370">
        <v>4</v>
      </c>
      <c r="F1370">
        <v>2.0299999999999998</v>
      </c>
      <c r="G1370">
        <v>30.43</v>
      </c>
      <c r="H1370">
        <v>5994.71</v>
      </c>
    </row>
    <row r="1371" spans="1:8" x14ac:dyDescent="0.35">
      <c r="A1371" t="s">
        <v>6</v>
      </c>
      <c r="B1371" t="s">
        <v>12</v>
      </c>
      <c r="C1371" t="s">
        <v>9</v>
      </c>
      <c r="D1371">
        <v>151</v>
      </c>
      <c r="E1371">
        <v>15</v>
      </c>
      <c r="F1371">
        <v>9.93</v>
      </c>
      <c r="G1371">
        <v>21.99</v>
      </c>
      <c r="H1371">
        <v>3320.49</v>
      </c>
    </row>
    <row r="1372" spans="1:8" x14ac:dyDescent="0.35">
      <c r="A1372" t="s">
        <v>6</v>
      </c>
      <c r="B1372" t="s">
        <v>12</v>
      </c>
      <c r="C1372" t="s">
        <v>11</v>
      </c>
      <c r="D1372">
        <v>150</v>
      </c>
      <c r="E1372">
        <v>10</v>
      </c>
      <c r="F1372">
        <v>6.67</v>
      </c>
      <c r="G1372">
        <v>20.68</v>
      </c>
      <c r="H1372">
        <v>3102</v>
      </c>
    </row>
    <row r="1373" spans="1:8" x14ac:dyDescent="0.35">
      <c r="A1373" t="s">
        <v>6</v>
      </c>
      <c r="B1373" t="s">
        <v>12</v>
      </c>
      <c r="C1373" t="s">
        <v>9</v>
      </c>
      <c r="D1373">
        <v>148</v>
      </c>
      <c r="E1373">
        <v>1</v>
      </c>
      <c r="F1373">
        <v>0.68</v>
      </c>
      <c r="G1373">
        <v>32.96</v>
      </c>
      <c r="H1373">
        <v>4878.08</v>
      </c>
    </row>
    <row r="1374" spans="1:8" x14ac:dyDescent="0.35">
      <c r="A1374" t="s">
        <v>6</v>
      </c>
      <c r="B1374" t="s">
        <v>12</v>
      </c>
      <c r="C1374" t="s">
        <v>11</v>
      </c>
      <c r="D1374">
        <v>267</v>
      </c>
      <c r="E1374">
        <v>17</v>
      </c>
      <c r="F1374">
        <v>6.37</v>
      </c>
      <c r="G1374">
        <v>64.86</v>
      </c>
      <c r="H1374">
        <v>17317.62</v>
      </c>
    </row>
    <row r="1375" spans="1:8" x14ac:dyDescent="0.35">
      <c r="A1375" t="s">
        <v>6</v>
      </c>
      <c r="B1375" t="s">
        <v>12</v>
      </c>
      <c r="C1375" t="s">
        <v>9</v>
      </c>
      <c r="D1375">
        <v>150</v>
      </c>
      <c r="E1375">
        <v>13</v>
      </c>
      <c r="F1375">
        <v>8.67</v>
      </c>
      <c r="G1375">
        <v>25.8</v>
      </c>
      <c r="H1375">
        <v>3870</v>
      </c>
    </row>
    <row r="1376" spans="1:8" x14ac:dyDescent="0.35">
      <c r="A1376" t="s">
        <v>6</v>
      </c>
      <c r="B1376" t="s">
        <v>12</v>
      </c>
      <c r="C1376" t="s">
        <v>11</v>
      </c>
      <c r="D1376">
        <v>233</v>
      </c>
      <c r="E1376">
        <v>9</v>
      </c>
      <c r="F1376">
        <v>3.86</v>
      </c>
      <c r="G1376">
        <v>35.619999999999997</v>
      </c>
      <c r="H1376">
        <v>8299.4599999999991</v>
      </c>
    </row>
    <row r="1377" spans="1:8" x14ac:dyDescent="0.35">
      <c r="A1377" t="s">
        <v>6</v>
      </c>
      <c r="B1377" t="s">
        <v>12</v>
      </c>
      <c r="C1377" t="s">
        <v>9</v>
      </c>
      <c r="D1377">
        <v>249</v>
      </c>
      <c r="E1377">
        <v>14</v>
      </c>
      <c r="F1377">
        <v>5.62</v>
      </c>
      <c r="G1377">
        <v>21.13</v>
      </c>
      <c r="H1377">
        <v>5261.37</v>
      </c>
    </row>
    <row r="1378" spans="1:8" x14ac:dyDescent="0.35">
      <c r="A1378" t="s">
        <v>6</v>
      </c>
      <c r="B1378" t="s">
        <v>12</v>
      </c>
      <c r="C1378" t="s">
        <v>9</v>
      </c>
      <c r="D1378">
        <v>152</v>
      </c>
      <c r="E1378">
        <v>8</v>
      </c>
      <c r="F1378">
        <v>5.26</v>
      </c>
      <c r="G1378">
        <v>20.39</v>
      </c>
      <c r="H1378">
        <v>3099.28</v>
      </c>
    </row>
    <row r="1379" spans="1:8" x14ac:dyDescent="0.35">
      <c r="A1379" t="s">
        <v>7</v>
      </c>
      <c r="B1379" t="s">
        <v>12</v>
      </c>
      <c r="C1379" t="s">
        <v>9</v>
      </c>
      <c r="D1379">
        <v>250</v>
      </c>
      <c r="E1379">
        <v>15</v>
      </c>
      <c r="F1379">
        <v>6</v>
      </c>
      <c r="G1379">
        <v>34.159999999999997</v>
      </c>
      <c r="H1379">
        <v>8540</v>
      </c>
    </row>
    <row r="1380" spans="1:8" x14ac:dyDescent="0.35">
      <c r="A1380" t="s">
        <v>6</v>
      </c>
      <c r="B1380" t="s">
        <v>12</v>
      </c>
      <c r="C1380" t="s">
        <v>9</v>
      </c>
      <c r="D1380">
        <v>242</v>
      </c>
      <c r="E1380">
        <v>2</v>
      </c>
      <c r="F1380">
        <v>0.83</v>
      </c>
      <c r="G1380">
        <v>16.61</v>
      </c>
      <c r="H1380">
        <v>4019.62</v>
      </c>
    </row>
    <row r="1381" spans="1:8" x14ac:dyDescent="0.35">
      <c r="A1381" t="s">
        <v>7</v>
      </c>
      <c r="B1381" t="s">
        <v>12</v>
      </c>
      <c r="C1381" t="s">
        <v>10</v>
      </c>
      <c r="D1381">
        <v>50</v>
      </c>
      <c r="E1381">
        <v>3</v>
      </c>
      <c r="F1381">
        <v>6</v>
      </c>
      <c r="G1381">
        <v>62.14</v>
      </c>
      <c r="H1381">
        <v>3107</v>
      </c>
    </row>
    <row r="1382" spans="1:8" x14ac:dyDescent="0.35">
      <c r="A1382" t="s">
        <v>7</v>
      </c>
      <c r="B1382" t="s">
        <v>12</v>
      </c>
      <c r="C1382" t="s">
        <v>10</v>
      </c>
      <c r="D1382">
        <v>192</v>
      </c>
      <c r="E1382">
        <v>16</v>
      </c>
      <c r="F1382">
        <v>8.33</v>
      </c>
      <c r="G1382">
        <v>44.32</v>
      </c>
      <c r="H1382">
        <v>8509.44</v>
      </c>
    </row>
    <row r="1383" spans="1:8" x14ac:dyDescent="0.35">
      <c r="A1383" t="s">
        <v>6</v>
      </c>
      <c r="B1383" t="s">
        <v>12</v>
      </c>
      <c r="C1383" t="s">
        <v>9</v>
      </c>
      <c r="D1383">
        <v>267</v>
      </c>
      <c r="E1383">
        <v>12</v>
      </c>
      <c r="F1383">
        <v>4.49</v>
      </c>
      <c r="G1383">
        <v>42.61</v>
      </c>
      <c r="H1383">
        <v>11376.87</v>
      </c>
    </row>
    <row r="1384" spans="1:8" x14ac:dyDescent="0.35">
      <c r="A1384" t="s">
        <v>7</v>
      </c>
      <c r="B1384" t="s">
        <v>12</v>
      </c>
      <c r="C1384" t="s">
        <v>9</v>
      </c>
      <c r="D1384">
        <v>200</v>
      </c>
      <c r="E1384">
        <v>15</v>
      </c>
      <c r="F1384">
        <v>7.5</v>
      </c>
      <c r="G1384">
        <v>28.68</v>
      </c>
      <c r="H1384">
        <v>5736</v>
      </c>
    </row>
    <row r="1385" spans="1:8" x14ac:dyDescent="0.35">
      <c r="A1385" t="s">
        <v>7</v>
      </c>
      <c r="B1385" t="s">
        <v>12</v>
      </c>
      <c r="C1385" t="s">
        <v>10</v>
      </c>
      <c r="D1385">
        <v>58</v>
      </c>
      <c r="E1385">
        <v>0</v>
      </c>
      <c r="F1385">
        <v>0</v>
      </c>
      <c r="G1385">
        <v>12.35</v>
      </c>
      <c r="H1385">
        <v>716.3</v>
      </c>
    </row>
    <row r="1386" spans="1:8" x14ac:dyDescent="0.35">
      <c r="A1386" t="s">
        <v>7</v>
      </c>
      <c r="B1386" t="s">
        <v>12</v>
      </c>
      <c r="C1386" t="s">
        <v>9</v>
      </c>
      <c r="D1386">
        <v>275</v>
      </c>
      <c r="E1386">
        <v>24</v>
      </c>
      <c r="F1386">
        <v>8.73</v>
      </c>
      <c r="G1386">
        <v>38.11</v>
      </c>
      <c r="H1386">
        <v>10480.25</v>
      </c>
    </row>
    <row r="1387" spans="1:8" x14ac:dyDescent="0.35">
      <c r="A1387" t="s">
        <v>8</v>
      </c>
      <c r="B1387" t="s">
        <v>12</v>
      </c>
      <c r="C1387" t="s">
        <v>9</v>
      </c>
      <c r="D1387">
        <v>147</v>
      </c>
      <c r="E1387">
        <v>11</v>
      </c>
      <c r="F1387">
        <v>7.48</v>
      </c>
      <c r="G1387">
        <v>36.770000000000003</v>
      </c>
      <c r="H1387">
        <v>5405.19</v>
      </c>
    </row>
    <row r="1388" spans="1:8" x14ac:dyDescent="0.35">
      <c r="A1388" t="s">
        <v>7</v>
      </c>
      <c r="B1388" t="s">
        <v>12</v>
      </c>
      <c r="C1388" t="s">
        <v>9</v>
      </c>
      <c r="D1388">
        <v>293</v>
      </c>
      <c r="E1388">
        <v>29</v>
      </c>
      <c r="F1388">
        <v>9.9</v>
      </c>
      <c r="G1388">
        <v>23.07</v>
      </c>
      <c r="H1388">
        <v>6759.51</v>
      </c>
    </row>
    <row r="1389" spans="1:8" x14ac:dyDescent="0.35">
      <c r="A1389" t="s">
        <v>8</v>
      </c>
      <c r="B1389" t="s">
        <v>12</v>
      </c>
      <c r="C1389" t="s">
        <v>9</v>
      </c>
      <c r="D1389">
        <v>124</v>
      </c>
      <c r="E1389">
        <v>3</v>
      </c>
      <c r="F1389">
        <v>2.42</v>
      </c>
      <c r="G1389">
        <v>30.84</v>
      </c>
      <c r="H1389">
        <v>3824.16</v>
      </c>
    </row>
    <row r="1390" spans="1:8" x14ac:dyDescent="0.35">
      <c r="A1390" t="s">
        <v>5</v>
      </c>
      <c r="B1390" t="s">
        <v>12</v>
      </c>
      <c r="C1390" t="s">
        <v>9</v>
      </c>
      <c r="D1390">
        <v>146</v>
      </c>
      <c r="E1390">
        <v>5</v>
      </c>
      <c r="F1390">
        <v>3.42</v>
      </c>
      <c r="G1390">
        <v>47.1</v>
      </c>
      <c r="H1390">
        <v>6876.6</v>
      </c>
    </row>
    <row r="1391" spans="1:8" x14ac:dyDescent="0.35">
      <c r="A1391" t="s">
        <v>5</v>
      </c>
      <c r="B1391" t="s">
        <v>12</v>
      </c>
      <c r="C1391" t="s">
        <v>9</v>
      </c>
      <c r="D1391">
        <v>164</v>
      </c>
      <c r="E1391">
        <v>9</v>
      </c>
      <c r="F1391">
        <v>5.49</v>
      </c>
      <c r="G1391">
        <v>11.03</v>
      </c>
      <c r="H1391">
        <v>1808.92</v>
      </c>
    </row>
    <row r="1392" spans="1:8" x14ac:dyDescent="0.35">
      <c r="A1392" t="s">
        <v>5</v>
      </c>
      <c r="B1392" t="s">
        <v>12</v>
      </c>
      <c r="C1392" t="s">
        <v>9</v>
      </c>
      <c r="D1392">
        <v>78</v>
      </c>
      <c r="E1392">
        <v>0</v>
      </c>
      <c r="F1392">
        <v>0</v>
      </c>
      <c r="G1392">
        <v>52.95</v>
      </c>
      <c r="H1392">
        <v>4130.1000000000004</v>
      </c>
    </row>
    <row r="1393" spans="1:8" x14ac:dyDescent="0.35">
      <c r="A1393" t="s">
        <v>5</v>
      </c>
      <c r="B1393" t="s">
        <v>12</v>
      </c>
      <c r="C1393" t="s">
        <v>9</v>
      </c>
      <c r="D1393">
        <v>282</v>
      </c>
      <c r="E1393">
        <v>5</v>
      </c>
      <c r="F1393">
        <v>1.77</v>
      </c>
      <c r="G1393">
        <v>20.399999999999999</v>
      </c>
      <c r="H1393">
        <v>5752.8</v>
      </c>
    </row>
    <row r="1394" spans="1:8" x14ac:dyDescent="0.35">
      <c r="A1394" t="s">
        <v>5</v>
      </c>
      <c r="B1394" t="s">
        <v>12</v>
      </c>
      <c r="C1394" t="s">
        <v>9</v>
      </c>
      <c r="D1394">
        <v>287</v>
      </c>
      <c r="E1394">
        <v>19</v>
      </c>
      <c r="F1394">
        <v>6.62</v>
      </c>
      <c r="G1394">
        <v>42.95</v>
      </c>
      <c r="H1394">
        <v>12326.65</v>
      </c>
    </row>
    <row r="1395" spans="1:8" x14ac:dyDescent="0.35">
      <c r="A1395" t="s">
        <v>6</v>
      </c>
      <c r="B1395" t="s">
        <v>12</v>
      </c>
      <c r="C1395" t="s">
        <v>9</v>
      </c>
      <c r="D1395">
        <v>201</v>
      </c>
      <c r="E1395">
        <v>3</v>
      </c>
      <c r="F1395">
        <v>1.49</v>
      </c>
      <c r="G1395">
        <v>8.19</v>
      </c>
      <c r="H1395">
        <v>1646.19</v>
      </c>
    </row>
    <row r="1396" spans="1:8" x14ac:dyDescent="0.35">
      <c r="A1396" t="s">
        <v>7</v>
      </c>
      <c r="B1396" t="s">
        <v>12</v>
      </c>
      <c r="C1396" t="s">
        <v>10</v>
      </c>
      <c r="D1396">
        <v>200</v>
      </c>
      <c r="E1396">
        <v>9</v>
      </c>
      <c r="F1396">
        <v>4.5</v>
      </c>
      <c r="G1396">
        <v>40.5</v>
      </c>
      <c r="H1396">
        <v>8100</v>
      </c>
    </row>
    <row r="1397" spans="1:8" x14ac:dyDescent="0.35">
      <c r="A1397" t="s">
        <v>7</v>
      </c>
      <c r="B1397" t="s">
        <v>12</v>
      </c>
      <c r="C1397" t="s">
        <v>10</v>
      </c>
      <c r="D1397">
        <v>112</v>
      </c>
      <c r="E1397">
        <v>6</v>
      </c>
      <c r="F1397">
        <v>5.36</v>
      </c>
      <c r="G1397">
        <v>47.88</v>
      </c>
      <c r="H1397">
        <v>5362.56</v>
      </c>
    </row>
    <row r="1398" spans="1:8" x14ac:dyDescent="0.35">
      <c r="A1398" t="s">
        <v>5</v>
      </c>
      <c r="B1398" t="s">
        <v>12</v>
      </c>
      <c r="C1398" t="s">
        <v>9</v>
      </c>
      <c r="D1398">
        <v>136</v>
      </c>
      <c r="E1398">
        <v>10</v>
      </c>
      <c r="F1398">
        <v>7.35</v>
      </c>
      <c r="G1398">
        <v>31.49</v>
      </c>
      <c r="H1398">
        <v>4282.6400000000003</v>
      </c>
    </row>
    <row r="1399" spans="1:8" x14ac:dyDescent="0.35">
      <c r="A1399" t="s">
        <v>7</v>
      </c>
      <c r="B1399" t="s">
        <v>12</v>
      </c>
      <c r="C1399" t="s">
        <v>10</v>
      </c>
      <c r="D1399">
        <v>242</v>
      </c>
      <c r="E1399">
        <v>23</v>
      </c>
      <c r="F1399">
        <v>9.5</v>
      </c>
      <c r="G1399">
        <v>35.21</v>
      </c>
      <c r="H1399">
        <v>8520.82</v>
      </c>
    </row>
    <row r="1400" spans="1:8" x14ac:dyDescent="0.35">
      <c r="A1400" t="s">
        <v>6</v>
      </c>
      <c r="B1400" t="s">
        <v>12</v>
      </c>
      <c r="C1400" t="s">
        <v>11</v>
      </c>
      <c r="D1400">
        <v>193</v>
      </c>
      <c r="E1400">
        <v>14</v>
      </c>
      <c r="F1400">
        <v>7.25</v>
      </c>
      <c r="G1400">
        <v>51.92</v>
      </c>
      <c r="H1400">
        <v>10020.56</v>
      </c>
    </row>
    <row r="1401" spans="1:8" x14ac:dyDescent="0.35">
      <c r="A1401" t="s">
        <v>8</v>
      </c>
      <c r="B1401" t="s">
        <v>12</v>
      </c>
      <c r="C1401" t="s">
        <v>9</v>
      </c>
      <c r="D1401">
        <v>95</v>
      </c>
      <c r="E1401">
        <v>9</v>
      </c>
      <c r="F1401">
        <v>9.4700000000000006</v>
      </c>
      <c r="G1401">
        <v>58.82</v>
      </c>
      <c r="H1401">
        <v>5587.9</v>
      </c>
    </row>
    <row r="1402" spans="1:8" x14ac:dyDescent="0.35">
      <c r="A1402" t="s">
        <v>7</v>
      </c>
      <c r="B1402" t="s">
        <v>12</v>
      </c>
      <c r="C1402" t="s">
        <v>9</v>
      </c>
      <c r="D1402">
        <v>139</v>
      </c>
      <c r="E1402">
        <v>10</v>
      </c>
      <c r="F1402">
        <v>7.19</v>
      </c>
      <c r="G1402">
        <v>49.63</v>
      </c>
      <c r="H1402">
        <v>6898.57</v>
      </c>
    </row>
    <row r="1403" spans="1:8" x14ac:dyDescent="0.35">
      <c r="A1403" t="s">
        <v>6</v>
      </c>
      <c r="B1403" t="s">
        <v>12</v>
      </c>
      <c r="C1403" t="s">
        <v>11</v>
      </c>
      <c r="D1403">
        <v>130</v>
      </c>
      <c r="E1403">
        <v>9</v>
      </c>
      <c r="F1403">
        <v>6.92</v>
      </c>
      <c r="G1403">
        <v>64.11</v>
      </c>
      <c r="H1403">
        <v>8334.2999999999993</v>
      </c>
    </row>
    <row r="1404" spans="1:8" x14ac:dyDescent="0.35">
      <c r="A1404" t="s">
        <v>8</v>
      </c>
      <c r="B1404" t="s">
        <v>12</v>
      </c>
      <c r="C1404" t="s">
        <v>9</v>
      </c>
      <c r="D1404">
        <v>289</v>
      </c>
      <c r="E1404">
        <v>12</v>
      </c>
      <c r="F1404">
        <v>4.1500000000000004</v>
      </c>
      <c r="G1404">
        <v>16.25</v>
      </c>
      <c r="H1404">
        <v>4696.25</v>
      </c>
    </row>
    <row r="1405" spans="1:8" x14ac:dyDescent="0.35">
      <c r="A1405" t="s">
        <v>7</v>
      </c>
      <c r="B1405" t="s">
        <v>12</v>
      </c>
      <c r="C1405" t="s">
        <v>10</v>
      </c>
      <c r="D1405">
        <v>145</v>
      </c>
      <c r="E1405">
        <v>11</v>
      </c>
      <c r="F1405">
        <v>7.59</v>
      </c>
      <c r="G1405">
        <v>53.34</v>
      </c>
      <c r="H1405">
        <v>7734.3</v>
      </c>
    </row>
    <row r="1406" spans="1:8" x14ac:dyDescent="0.35">
      <c r="A1406" t="s">
        <v>6</v>
      </c>
      <c r="B1406" t="s">
        <v>12</v>
      </c>
      <c r="C1406" t="s">
        <v>11</v>
      </c>
      <c r="D1406">
        <v>174</v>
      </c>
      <c r="E1406">
        <v>5</v>
      </c>
      <c r="F1406">
        <v>2.87</v>
      </c>
      <c r="G1406">
        <v>56.34</v>
      </c>
      <c r="H1406">
        <v>9803.16</v>
      </c>
    </row>
    <row r="1407" spans="1:8" x14ac:dyDescent="0.35">
      <c r="A1407" t="s">
        <v>7</v>
      </c>
      <c r="B1407" t="s">
        <v>12</v>
      </c>
      <c r="C1407" t="s">
        <v>10</v>
      </c>
      <c r="D1407">
        <v>192</v>
      </c>
      <c r="E1407">
        <v>3</v>
      </c>
      <c r="F1407">
        <v>1.56</v>
      </c>
      <c r="G1407">
        <v>29.01</v>
      </c>
      <c r="H1407">
        <v>5569.92</v>
      </c>
    </row>
    <row r="1408" spans="1:8" x14ac:dyDescent="0.35">
      <c r="A1408" t="s">
        <v>7</v>
      </c>
      <c r="B1408" t="s">
        <v>12</v>
      </c>
      <c r="C1408" t="s">
        <v>10</v>
      </c>
      <c r="D1408">
        <v>192</v>
      </c>
      <c r="E1408">
        <v>3</v>
      </c>
      <c r="F1408">
        <v>1.56</v>
      </c>
      <c r="G1408">
        <v>51.55</v>
      </c>
      <c r="H1408">
        <v>9897.6</v>
      </c>
    </row>
    <row r="1409" spans="1:8" x14ac:dyDescent="0.35">
      <c r="A1409" t="s">
        <v>8</v>
      </c>
      <c r="B1409" t="s">
        <v>12</v>
      </c>
      <c r="C1409" t="s">
        <v>9</v>
      </c>
      <c r="D1409">
        <v>53</v>
      </c>
      <c r="E1409">
        <v>5</v>
      </c>
      <c r="F1409">
        <v>9.43</v>
      </c>
      <c r="G1409">
        <v>45.76</v>
      </c>
      <c r="H1409">
        <v>2425.2800000000002</v>
      </c>
    </row>
    <row r="1410" spans="1:8" x14ac:dyDescent="0.35">
      <c r="A1410" t="s">
        <v>6</v>
      </c>
      <c r="B1410" t="s">
        <v>12</v>
      </c>
      <c r="C1410" t="s">
        <v>11</v>
      </c>
      <c r="D1410">
        <v>249</v>
      </c>
      <c r="E1410">
        <v>0</v>
      </c>
      <c r="F1410">
        <v>0</v>
      </c>
      <c r="G1410">
        <v>27.37</v>
      </c>
      <c r="H1410">
        <v>6815.13</v>
      </c>
    </row>
    <row r="1411" spans="1:8" x14ac:dyDescent="0.35">
      <c r="A1411" t="s">
        <v>7</v>
      </c>
      <c r="B1411" t="s">
        <v>12</v>
      </c>
      <c r="C1411" t="s">
        <v>10</v>
      </c>
      <c r="D1411">
        <v>203</v>
      </c>
      <c r="E1411">
        <v>1</v>
      </c>
      <c r="F1411">
        <v>0.49</v>
      </c>
      <c r="G1411">
        <v>57.44</v>
      </c>
      <c r="H1411">
        <v>11660.32</v>
      </c>
    </row>
    <row r="1412" spans="1:8" x14ac:dyDescent="0.35">
      <c r="A1412" t="s">
        <v>7</v>
      </c>
      <c r="B1412" t="s">
        <v>12</v>
      </c>
      <c r="C1412" t="s">
        <v>10</v>
      </c>
      <c r="D1412">
        <v>76</v>
      </c>
      <c r="E1412">
        <v>2</v>
      </c>
      <c r="F1412">
        <v>2.63</v>
      </c>
      <c r="G1412">
        <v>33.4</v>
      </c>
      <c r="H1412">
        <v>2538.4</v>
      </c>
    </row>
    <row r="1413" spans="1:8" x14ac:dyDescent="0.35">
      <c r="A1413" t="s">
        <v>8</v>
      </c>
      <c r="B1413" t="s">
        <v>12</v>
      </c>
      <c r="C1413" t="s">
        <v>9</v>
      </c>
      <c r="D1413">
        <v>219</v>
      </c>
      <c r="E1413">
        <v>7</v>
      </c>
      <c r="F1413">
        <v>3.2</v>
      </c>
      <c r="G1413">
        <v>47.7</v>
      </c>
      <c r="H1413">
        <v>10446.299999999999</v>
      </c>
    </row>
    <row r="1414" spans="1:8" x14ac:dyDescent="0.35">
      <c r="A1414" t="s">
        <v>6</v>
      </c>
      <c r="B1414" t="s">
        <v>12</v>
      </c>
      <c r="C1414" t="s">
        <v>9</v>
      </c>
      <c r="D1414">
        <v>261</v>
      </c>
      <c r="E1414">
        <v>6</v>
      </c>
      <c r="F1414">
        <v>2.2999999999999998</v>
      </c>
      <c r="G1414">
        <v>60.48</v>
      </c>
      <c r="H1414">
        <v>15785.28</v>
      </c>
    </row>
    <row r="1415" spans="1:8" x14ac:dyDescent="0.35">
      <c r="A1415" t="s">
        <v>7</v>
      </c>
      <c r="B1415" t="s">
        <v>12</v>
      </c>
      <c r="C1415" t="s">
        <v>9</v>
      </c>
      <c r="D1415">
        <v>76</v>
      </c>
      <c r="E1415">
        <v>1</v>
      </c>
      <c r="F1415">
        <v>1.32</v>
      </c>
      <c r="G1415">
        <v>36.590000000000003</v>
      </c>
      <c r="H1415">
        <v>2780.84</v>
      </c>
    </row>
    <row r="1416" spans="1:8" x14ac:dyDescent="0.35">
      <c r="A1416" t="s">
        <v>7</v>
      </c>
      <c r="B1416" t="s">
        <v>12</v>
      </c>
      <c r="C1416" t="s">
        <v>9</v>
      </c>
      <c r="D1416">
        <v>220</v>
      </c>
      <c r="E1416">
        <v>1</v>
      </c>
      <c r="F1416">
        <v>0.45</v>
      </c>
      <c r="G1416">
        <v>56.75</v>
      </c>
      <c r="H1416">
        <v>12485</v>
      </c>
    </row>
    <row r="1417" spans="1:8" x14ac:dyDescent="0.35">
      <c r="A1417" t="s">
        <v>8</v>
      </c>
      <c r="B1417" t="s">
        <v>12</v>
      </c>
      <c r="C1417" t="s">
        <v>9</v>
      </c>
      <c r="D1417">
        <v>249</v>
      </c>
      <c r="E1417">
        <v>5</v>
      </c>
      <c r="F1417">
        <v>2.0099999999999998</v>
      </c>
      <c r="G1417">
        <v>47.34</v>
      </c>
      <c r="H1417">
        <v>11787.66</v>
      </c>
    </row>
    <row r="1418" spans="1:8" x14ac:dyDescent="0.35">
      <c r="A1418" t="s">
        <v>7</v>
      </c>
      <c r="B1418" t="s">
        <v>12</v>
      </c>
      <c r="C1418" t="s">
        <v>9</v>
      </c>
      <c r="D1418">
        <v>90</v>
      </c>
      <c r="E1418">
        <v>4</v>
      </c>
      <c r="F1418">
        <v>4.4400000000000004</v>
      </c>
      <c r="G1418">
        <v>57.64</v>
      </c>
      <c r="H1418">
        <v>5187.6000000000004</v>
      </c>
    </row>
    <row r="1419" spans="1:8" x14ac:dyDescent="0.35">
      <c r="A1419" t="s">
        <v>6</v>
      </c>
      <c r="B1419" t="s">
        <v>12</v>
      </c>
      <c r="C1419" t="s">
        <v>9</v>
      </c>
      <c r="D1419">
        <v>55</v>
      </c>
      <c r="E1419">
        <v>4</v>
      </c>
      <c r="F1419">
        <v>7.27</v>
      </c>
      <c r="G1419">
        <v>25.52</v>
      </c>
      <c r="H1419">
        <v>1403.6</v>
      </c>
    </row>
    <row r="1420" spans="1:8" x14ac:dyDescent="0.35">
      <c r="A1420" t="s">
        <v>7</v>
      </c>
      <c r="B1420" t="s">
        <v>12</v>
      </c>
      <c r="C1420" t="s">
        <v>9</v>
      </c>
      <c r="D1420">
        <v>290</v>
      </c>
      <c r="E1420">
        <v>2</v>
      </c>
      <c r="F1420">
        <v>0.69</v>
      </c>
      <c r="G1420">
        <v>49.99</v>
      </c>
      <c r="H1420">
        <v>14497.1</v>
      </c>
    </row>
    <row r="1421" spans="1:8" x14ac:dyDescent="0.35">
      <c r="A1421" t="s">
        <v>6</v>
      </c>
      <c r="B1421" t="s">
        <v>12</v>
      </c>
      <c r="C1421" t="s">
        <v>11</v>
      </c>
      <c r="D1421">
        <v>202</v>
      </c>
      <c r="E1421">
        <v>5</v>
      </c>
      <c r="F1421">
        <v>2.48</v>
      </c>
      <c r="G1421">
        <v>6.51</v>
      </c>
      <c r="H1421">
        <v>1315.02</v>
      </c>
    </row>
    <row r="1422" spans="1:8" x14ac:dyDescent="0.35">
      <c r="A1422" t="s">
        <v>8</v>
      </c>
      <c r="B1422" t="s">
        <v>12</v>
      </c>
      <c r="C1422" t="s">
        <v>9</v>
      </c>
      <c r="D1422">
        <v>202</v>
      </c>
      <c r="E1422">
        <v>13</v>
      </c>
      <c r="F1422">
        <v>6.44</v>
      </c>
      <c r="G1422">
        <v>28.61</v>
      </c>
      <c r="H1422">
        <v>5779.22</v>
      </c>
    </row>
    <row r="1423" spans="1:8" x14ac:dyDescent="0.35">
      <c r="A1423" t="s">
        <v>5</v>
      </c>
      <c r="B1423" t="s">
        <v>12</v>
      </c>
      <c r="C1423" t="s">
        <v>9</v>
      </c>
      <c r="D1423">
        <v>182</v>
      </c>
      <c r="E1423">
        <v>7</v>
      </c>
      <c r="F1423">
        <v>3.85</v>
      </c>
      <c r="G1423">
        <v>44.36</v>
      </c>
      <c r="H1423">
        <v>8073.52</v>
      </c>
    </row>
    <row r="1424" spans="1:8" x14ac:dyDescent="0.35">
      <c r="A1424" t="s">
        <v>8</v>
      </c>
      <c r="B1424" t="s">
        <v>12</v>
      </c>
      <c r="C1424" t="s">
        <v>9</v>
      </c>
      <c r="D1424">
        <v>203</v>
      </c>
      <c r="E1424">
        <v>5</v>
      </c>
      <c r="F1424">
        <v>2.46</v>
      </c>
      <c r="G1424">
        <v>10.34</v>
      </c>
      <c r="H1424">
        <v>2099.02</v>
      </c>
    </row>
    <row r="1425" spans="1:8" x14ac:dyDescent="0.35">
      <c r="A1425" t="s">
        <v>7</v>
      </c>
      <c r="B1425" t="s">
        <v>12</v>
      </c>
      <c r="C1425" t="s">
        <v>9</v>
      </c>
      <c r="D1425">
        <v>157</v>
      </c>
      <c r="E1425">
        <v>8</v>
      </c>
      <c r="F1425">
        <v>5.0999999999999996</v>
      </c>
      <c r="G1425">
        <v>7.57</v>
      </c>
      <c r="H1425">
        <v>1188.49</v>
      </c>
    </row>
    <row r="1426" spans="1:8" x14ac:dyDescent="0.35">
      <c r="A1426" t="s">
        <v>6</v>
      </c>
      <c r="B1426" t="s">
        <v>12</v>
      </c>
      <c r="C1426" t="s">
        <v>9</v>
      </c>
      <c r="D1426">
        <v>223</v>
      </c>
      <c r="E1426">
        <v>18</v>
      </c>
      <c r="F1426">
        <v>8.07</v>
      </c>
      <c r="G1426">
        <v>25.74</v>
      </c>
      <c r="H1426">
        <v>5740.02</v>
      </c>
    </row>
    <row r="1427" spans="1:8" x14ac:dyDescent="0.35">
      <c r="A1427" t="s">
        <v>6</v>
      </c>
      <c r="B1427" t="s">
        <v>12</v>
      </c>
      <c r="C1427" t="s">
        <v>11</v>
      </c>
      <c r="D1427">
        <v>252</v>
      </c>
      <c r="E1427">
        <v>2</v>
      </c>
      <c r="F1427">
        <v>0.79</v>
      </c>
      <c r="G1427">
        <v>34.33</v>
      </c>
      <c r="H1427">
        <v>8651.16</v>
      </c>
    </row>
    <row r="1428" spans="1:8" x14ac:dyDescent="0.35">
      <c r="A1428" t="s">
        <v>7</v>
      </c>
      <c r="B1428" t="s">
        <v>12</v>
      </c>
      <c r="C1428" t="s">
        <v>9</v>
      </c>
      <c r="D1428">
        <v>59</v>
      </c>
      <c r="E1428">
        <v>1</v>
      </c>
      <c r="F1428">
        <v>1.69</v>
      </c>
      <c r="G1428">
        <v>62.78</v>
      </c>
      <c r="H1428">
        <v>3704.02</v>
      </c>
    </row>
    <row r="1429" spans="1:8" x14ac:dyDescent="0.35">
      <c r="A1429" t="s">
        <v>6</v>
      </c>
      <c r="B1429" t="s">
        <v>12</v>
      </c>
      <c r="C1429" t="s">
        <v>11</v>
      </c>
      <c r="D1429">
        <v>145</v>
      </c>
      <c r="E1429">
        <v>3</v>
      </c>
      <c r="F1429">
        <v>2.0699999999999998</v>
      </c>
      <c r="G1429">
        <v>51.01</v>
      </c>
      <c r="H1429">
        <v>7396.45</v>
      </c>
    </row>
    <row r="1430" spans="1:8" x14ac:dyDescent="0.35">
      <c r="A1430" t="s">
        <v>5</v>
      </c>
      <c r="B1430" t="s">
        <v>12</v>
      </c>
      <c r="C1430" t="s">
        <v>9</v>
      </c>
      <c r="D1430">
        <v>76</v>
      </c>
      <c r="E1430">
        <v>2</v>
      </c>
      <c r="F1430">
        <v>2.63</v>
      </c>
      <c r="G1430">
        <v>54.53</v>
      </c>
      <c r="H1430">
        <v>4144.28</v>
      </c>
    </row>
    <row r="1431" spans="1:8" x14ac:dyDescent="0.35">
      <c r="A1431" t="s">
        <v>7</v>
      </c>
      <c r="B1431" t="s">
        <v>12</v>
      </c>
      <c r="C1431" t="s">
        <v>10</v>
      </c>
      <c r="D1431">
        <v>198</v>
      </c>
      <c r="E1431">
        <v>9</v>
      </c>
      <c r="F1431">
        <v>4.55</v>
      </c>
      <c r="G1431">
        <v>6.39</v>
      </c>
      <c r="H1431">
        <v>1265.22</v>
      </c>
    </row>
    <row r="1432" spans="1:8" x14ac:dyDescent="0.35">
      <c r="A1432" t="s">
        <v>5</v>
      </c>
      <c r="B1432" t="s">
        <v>12</v>
      </c>
      <c r="C1432" t="s">
        <v>9</v>
      </c>
      <c r="D1432">
        <v>247</v>
      </c>
      <c r="E1432">
        <v>3</v>
      </c>
      <c r="F1432">
        <v>1.21</v>
      </c>
      <c r="G1432">
        <v>20.04</v>
      </c>
      <c r="H1432">
        <v>4949.88</v>
      </c>
    </row>
    <row r="1433" spans="1:8" x14ac:dyDescent="0.35">
      <c r="A1433" t="s">
        <v>7</v>
      </c>
      <c r="B1433" t="s">
        <v>12</v>
      </c>
      <c r="C1433" t="s">
        <v>9</v>
      </c>
      <c r="D1433">
        <v>118</v>
      </c>
      <c r="E1433">
        <v>3</v>
      </c>
      <c r="F1433">
        <v>2.54</v>
      </c>
      <c r="G1433">
        <v>44.38</v>
      </c>
      <c r="H1433">
        <v>5236.84</v>
      </c>
    </row>
    <row r="1434" spans="1:8" x14ac:dyDescent="0.35">
      <c r="A1434" t="s">
        <v>8</v>
      </c>
      <c r="B1434" t="s">
        <v>12</v>
      </c>
      <c r="C1434" t="s">
        <v>9</v>
      </c>
      <c r="D1434">
        <v>71</v>
      </c>
      <c r="E1434">
        <v>3</v>
      </c>
      <c r="F1434">
        <v>4.2300000000000004</v>
      </c>
      <c r="G1434">
        <v>59.2</v>
      </c>
      <c r="H1434">
        <v>4203.2</v>
      </c>
    </row>
    <row r="1435" spans="1:8" x14ac:dyDescent="0.35">
      <c r="A1435" t="s">
        <v>6</v>
      </c>
      <c r="B1435" t="s">
        <v>12</v>
      </c>
      <c r="C1435" t="s">
        <v>9</v>
      </c>
      <c r="D1435">
        <v>204</v>
      </c>
      <c r="E1435">
        <v>15</v>
      </c>
      <c r="F1435">
        <v>7.35</v>
      </c>
      <c r="G1435">
        <v>61.44</v>
      </c>
      <c r="H1435">
        <v>12533.76</v>
      </c>
    </row>
    <row r="1436" spans="1:8" x14ac:dyDescent="0.35">
      <c r="A1436" t="s">
        <v>6</v>
      </c>
      <c r="B1436" t="s">
        <v>12</v>
      </c>
      <c r="C1436" t="s">
        <v>9</v>
      </c>
      <c r="D1436">
        <v>246</v>
      </c>
      <c r="E1436">
        <v>18</v>
      </c>
      <c r="F1436">
        <v>7.32</v>
      </c>
      <c r="G1436">
        <v>5.23</v>
      </c>
      <c r="H1436">
        <v>1286.58</v>
      </c>
    </row>
    <row r="1437" spans="1:8" x14ac:dyDescent="0.35">
      <c r="A1437" t="s">
        <v>6</v>
      </c>
      <c r="B1437" t="s">
        <v>12</v>
      </c>
      <c r="C1437" t="s">
        <v>11</v>
      </c>
      <c r="D1437">
        <v>255</v>
      </c>
      <c r="E1437">
        <v>14</v>
      </c>
      <c r="F1437">
        <v>5.49</v>
      </c>
      <c r="G1437">
        <v>65.67</v>
      </c>
      <c r="H1437">
        <v>16745.849999999999</v>
      </c>
    </row>
    <row r="1438" spans="1:8" x14ac:dyDescent="0.35">
      <c r="A1438" t="s">
        <v>5</v>
      </c>
      <c r="B1438" t="s">
        <v>12</v>
      </c>
      <c r="C1438" t="s">
        <v>9</v>
      </c>
      <c r="D1438">
        <v>173</v>
      </c>
      <c r="E1438">
        <v>7</v>
      </c>
      <c r="F1438">
        <v>4.05</v>
      </c>
      <c r="G1438">
        <v>8.82</v>
      </c>
      <c r="H1438">
        <v>1525.86</v>
      </c>
    </row>
    <row r="1439" spans="1:8" x14ac:dyDescent="0.35">
      <c r="A1439" t="s">
        <v>5</v>
      </c>
      <c r="B1439" t="s">
        <v>12</v>
      </c>
      <c r="C1439" t="s">
        <v>9</v>
      </c>
      <c r="D1439">
        <v>268</v>
      </c>
      <c r="E1439">
        <v>20</v>
      </c>
      <c r="F1439">
        <v>7.46</v>
      </c>
      <c r="G1439">
        <v>47.04</v>
      </c>
      <c r="H1439">
        <v>12606.72</v>
      </c>
    </row>
    <row r="1440" spans="1:8" x14ac:dyDescent="0.35">
      <c r="A1440" t="s">
        <v>7</v>
      </c>
      <c r="B1440" t="s">
        <v>12</v>
      </c>
      <c r="C1440" t="s">
        <v>9</v>
      </c>
      <c r="D1440">
        <v>261</v>
      </c>
      <c r="E1440">
        <v>23</v>
      </c>
      <c r="F1440">
        <v>8.81</v>
      </c>
      <c r="G1440">
        <v>62.92</v>
      </c>
      <c r="H1440">
        <v>16422.12</v>
      </c>
    </row>
    <row r="1441" spans="1:8" x14ac:dyDescent="0.35">
      <c r="A1441" t="s">
        <v>7</v>
      </c>
      <c r="B1441" t="s">
        <v>12</v>
      </c>
      <c r="C1441" t="s">
        <v>9</v>
      </c>
      <c r="D1441">
        <v>72</v>
      </c>
      <c r="E1441">
        <v>5</v>
      </c>
      <c r="F1441">
        <v>6.94</v>
      </c>
      <c r="G1441">
        <v>39.22</v>
      </c>
      <c r="H1441">
        <v>2823.84</v>
      </c>
    </row>
    <row r="1442" spans="1:8" x14ac:dyDescent="0.35">
      <c r="A1442" t="s">
        <v>7</v>
      </c>
      <c r="B1442" t="s">
        <v>12</v>
      </c>
      <c r="C1442" t="s">
        <v>10</v>
      </c>
      <c r="D1442">
        <v>170</v>
      </c>
      <c r="E1442">
        <v>11</v>
      </c>
      <c r="F1442">
        <v>6.47</v>
      </c>
      <c r="G1442">
        <v>43.17</v>
      </c>
      <c r="H1442">
        <v>7338.9</v>
      </c>
    </row>
    <row r="1443" spans="1:8" x14ac:dyDescent="0.35">
      <c r="A1443" t="s">
        <v>7</v>
      </c>
      <c r="B1443" t="s">
        <v>12</v>
      </c>
      <c r="C1443" t="s">
        <v>9</v>
      </c>
      <c r="D1443">
        <v>294</v>
      </c>
      <c r="E1443">
        <v>0</v>
      </c>
      <c r="F1443">
        <v>0</v>
      </c>
      <c r="G1443">
        <v>38.71</v>
      </c>
      <c r="H1443">
        <v>11380.74</v>
      </c>
    </row>
    <row r="1444" spans="1:8" x14ac:dyDescent="0.35">
      <c r="A1444" t="s">
        <v>8</v>
      </c>
      <c r="B1444" t="s">
        <v>12</v>
      </c>
      <c r="C1444" t="s">
        <v>9</v>
      </c>
      <c r="D1444">
        <v>144</v>
      </c>
      <c r="E1444">
        <v>9</v>
      </c>
      <c r="F1444">
        <v>6.25</v>
      </c>
      <c r="G1444">
        <v>40.75</v>
      </c>
      <c r="H1444">
        <v>5868</v>
      </c>
    </row>
    <row r="1445" spans="1:8" x14ac:dyDescent="0.35">
      <c r="A1445" t="s">
        <v>7</v>
      </c>
      <c r="B1445" t="s">
        <v>12</v>
      </c>
      <c r="C1445" t="s">
        <v>10</v>
      </c>
      <c r="D1445">
        <v>72</v>
      </c>
      <c r="E1445">
        <v>3</v>
      </c>
      <c r="F1445">
        <v>4.17</v>
      </c>
      <c r="G1445">
        <v>48.11</v>
      </c>
      <c r="H1445">
        <v>3463.92</v>
      </c>
    </row>
    <row r="1446" spans="1:8" x14ac:dyDescent="0.35">
      <c r="A1446" t="s">
        <v>8</v>
      </c>
      <c r="B1446" t="s">
        <v>12</v>
      </c>
      <c r="C1446" t="s">
        <v>9</v>
      </c>
      <c r="D1446">
        <v>85</v>
      </c>
      <c r="E1446">
        <v>2</v>
      </c>
      <c r="F1446">
        <v>2.35</v>
      </c>
      <c r="G1446">
        <v>13.56</v>
      </c>
      <c r="H1446">
        <v>1152.5999999999999</v>
      </c>
    </row>
    <row r="1447" spans="1:8" x14ac:dyDescent="0.35">
      <c r="A1447" t="s">
        <v>8</v>
      </c>
      <c r="B1447" t="s">
        <v>12</v>
      </c>
      <c r="C1447" t="s">
        <v>9</v>
      </c>
      <c r="D1447">
        <v>73</v>
      </c>
      <c r="E1447">
        <v>3</v>
      </c>
      <c r="F1447">
        <v>4.1100000000000003</v>
      </c>
      <c r="G1447">
        <v>32.43</v>
      </c>
      <c r="H1447">
        <v>2367.39</v>
      </c>
    </row>
    <row r="1448" spans="1:8" x14ac:dyDescent="0.35">
      <c r="A1448" t="s">
        <v>6</v>
      </c>
      <c r="B1448" t="s">
        <v>12</v>
      </c>
      <c r="C1448" t="s">
        <v>11</v>
      </c>
      <c r="D1448">
        <v>77</v>
      </c>
      <c r="E1448">
        <v>2</v>
      </c>
      <c r="F1448">
        <v>2.6</v>
      </c>
      <c r="G1448">
        <v>49.01</v>
      </c>
      <c r="H1448">
        <v>3773.77</v>
      </c>
    </row>
    <row r="1449" spans="1:8" x14ac:dyDescent="0.35">
      <c r="A1449" t="s">
        <v>7</v>
      </c>
      <c r="B1449" t="s">
        <v>12</v>
      </c>
      <c r="C1449" t="s">
        <v>9</v>
      </c>
      <c r="D1449">
        <v>268</v>
      </c>
      <c r="E1449">
        <v>14</v>
      </c>
      <c r="F1449">
        <v>5.22</v>
      </c>
      <c r="G1449">
        <v>47.3</v>
      </c>
      <c r="H1449">
        <v>12676.4</v>
      </c>
    </row>
    <row r="1450" spans="1:8" x14ac:dyDescent="0.35">
      <c r="A1450" t="s">
        <v>7</v>
      </c>
      <c r="B1450" t="s">
        <v>12</v>
      </c>
      <c r="C1450" t="s">
        <v>10</v>
      </c>
      <c r="D1450">
        <v>87</v>
      </c>
      <c r="E1450">
        <v>6</v>
      </c>
      <c r="F1450">
        <v>6.9</v>
      </c>
      <c r="G1450">
        <v>24</v>
      </c>
      <c r="H1450">
        <v>2088</v>
      </c>
    </row>
    <row r="1451" spans="1:8" x14ac:dyDescent="0.35">
      <c r="A1451" t="s">
        <v>5</v>
      </c>
      <c r="B1451" t="s">
        <v>12</v>
      </c>
      <c r="C1451" t="s">
        <v>9</v>
      </c>
      <c r="D1451">
        <v>222</v>
      </c>
      <c r="E1451">
        <v>6</v>
      </c>
      <c r="F1451">
        <v>2.7</v>
      </c>
      <c r="G1451">
        <v>63.48</v>
      </c>
      <c r="H1451">
        <v>14092.56</v>
      </c>
    </row>
    <row r="1452" spans="1:8" x14ac:dyDescent="0.35">
      <c r="A1452" t="s">
        <v>6</v>
      </c>
      <c r="B1452" t="s">
        <v>12</v>
      </c>
      <c r="C1452" t="s">
        <v>9</v>
      </c>
      <c r="D1452">
        <v>64</v>
      </c>
      <c r="E1452">
        <v>1</v>
      </c>
      <c r="F1452">
        <v>1.56</v>
      </c>
      <c r="G1452">
        <v>31.04</v>
      </c>
      <c r="H1452">
        <v>1986.56</v>
      </c>
    </row>
    <row r="1453" spans="1:8" x14ac:dyDescent="0.35">
      <c r="A1453" t="s">
        <v>8</v>
      </c>
      <c r="B1453" t="s">
        <v>12</v>
      </c>
      <c r="C1453" t="s">
        <v>9</v>
      </c>
      <c r="D1453">
        <v>167</v>
      </c>
      <c r="E1453">
        <v>2</v>
      </c>
      <c r="F1453">
        <v>1.2</v>
      </c>
      <c r="G1453">
        <v>41.63</v>
      </c>
      <c r="H1453">
        <v>6952.21</v>
      </c>
    </row>
    <row r="1454" spans="1:8" x14ac:dyDescent="0.35">
      <c r="A1454" t="s">
        <v>6</v>
      </c>
      <c r="B1454" t="s">
        <v>12</v>
      </c>
      <c r="C1454" t="s">
        <v>11</v>
      </c>
      <c r="D1454">
        <v>172</v>
      </c>
      <c r="E1454">
        <v>4</v>
      </c>
      <c r="F1454">
        <v>2.33</v>
      </c>
      <c r="G1454">
        <v>39.36</v>
      </c>
      <c r="H1454">
        <v>6769.92</v>
      </c>
    </row>
    <row r="1455" spans="1:8" x14ac:dyDescent="0.35">
      <c r="A1455" t="s">
        <v>7</v>
      </c>
      <c r="B1455" t="s">
        <v>12</v>
      </c>
      <c r="C1455" t="s">
        <v>10</v>
      </c>
      <c r="D1455">
        <v>240</v>
      </c>
      <c r="E1455">
        <v>24</v>
      </c>
      <c r="F1455">
        <v>10</v>
      </c>
      <c r="G1455">
        <v>18.46</v>
      </c>
      <c r="H1455">
        <v>4430.3999999999996</v>
      </c>
    </row>
    <row r="1456" spans="1:8" x14ac:dyDescent="0.35">
      <c r="A1456" t="s">
        <v>5</v>
      </c>
      <c r="B1456" t="s">
        <v>12</v>
      </c>
      <c r="C1456" t="s">
        <v>9</v>
      </c>
      <c r="D1456">
        <v>209</v>
      </c>
      <c r="E1456">
        <v>0</v>
      </c>
      <c r="F1456">
        <v>0</v>
      </c>
      <c r="G1456">
        <v>23.16</v>
      </c>
      <c r="H1456">
        <v>4840.4399999999996</v>
      </c>
    </row>
    <row r="1457" spans="1:8" x14ac:dyDescent="0.35">
      <c r="A1457" t="s">
        <v>6</v>
      </c>
      <c r="B1457" t="s">
        <v>12</v>
      </c>
      <c r="C1457" t="s">
        <v>11</v>
      </c>
      <c r="D1457">
        <v>103</v>
      </c>
      <c r="E1457">
        <v>2</v>
      </c>
      <c r="F1457">
        <v>1.94</v>
      </c>
      <c r="G1457">
        <v>32.82</v>
      </c>
      <c r="H1457">
        <v>3380.46</v>
      </c>
    </row>
    <row r="1458" spans="1:8" x14ac:dyDescent="0.35">
      <c r="A1458" t="s">
        <v>7</v>
      </c>
      <c r="B1458" t="s">
        <v>12</v>
      </c>
      <c r="C1458" t="s">
        <v>9</v>
      </c>
      <c r="D1458">
        <v>222</v>
      </c>
      <c r="E1458">
        <v>14</v>
      </c>
      <c r="F1458">
        <v>6.31</v>
      </c>
      <c r="G1458">
        <v>22.15</v>
      </c>
      <c r="H1458">
        <v>4917.3</v>
      </c>
    </row>
    <row r="1459" spans="1:8" x14ac:dyDescent="0.35">
      <c r="A1459" t="s">
        <v>6</v>
      </c>
      <c r="B1459" t="s">
        <v>12</v>
      </c>
      <c r="C1459" t="s">
        <v>9</v>
      </c>
      <c r="D1459">
        <v>135</v>
      </c>
      <c r="E1459">
        <v>0</v>
      </c>
      <c r="F1459">
        <v>0</v>
      </c>
      <c r="G1459">
        <v>39.770000000000003</v>
      </c>
      <c r="H1459">
        <v>5368.95</v>
      </c>
    </row>
    <row r="1460" spans="1:8" x14ac:dyDescent="0.35">
      <c r="A1460" t="s">
        <v>5</v>
      </c>
      <c r="B1460" t="s">
        <v>12</v>
      </c>
      <c r="C1460" t="s">
        <v>9</v>
      </c>
      <c r="D1460">
        <v>132</v>
      </c>
      <c r="E1460">
        <v>8</v>
      </c>
      <c r="F1460">
        <v>6.06</v>
      </c>
      <c r="G1460">
        <v>8.32</v>
      </c>
      <c r="H1460">
        <v>1098.24</v>
      </c>
    </row>
    <row r="1461" spans="1:8" x14ac:dyDescent="0.35">
      <c r="A1461" t="s">
        <v>6</v>
      </c>
      <c r="B1461" t="s">
        <v>12</v>
      </c>
      <c r="C1461" t="s">
        <v>11</v>
      </c>
      <c r="D1461">
        <v>237</v>
      </c>
      <c r="E1461">
        <v>4</v>
      </c>
      <c r="F1461">
        <v>1.69</v>
      </c>
      <c r="G1461">
        <v>25.78</v>
      </c>
      <c r="H1461">
        <v>6109.86</v>
      </c>
    </row>
    <row r="1462" spans="1:8" x14ac:dyDescent="0.35">
      <c r="A1462" t="s">
        <v>8</v>
      </c>
      <c r="B1462" t="s">
        <v>12</v>
      </c>
      <c r="C1462" t="s">
        <v>9</v>
      </c>
      <c r="D1462">
        <v>218</v>
      </c>
      <c r="E1462">
        <v>11</v>
      </c>
      <c r="F1462">
        <v>5.05</v>
      </c>
      <c r="G1462">
        <v>32.840000000000003</v>
      </c>
      <c r="H1462">
        <v>7159.12</v>
      </c>
    </row>
    <row r="1463" spans="1:8" x14ac:dyDescent="0.35">
      <c r="A1463" t="s">
        <v>6</v>
      </c>
      <c r="B1463" t="s">
        <v>12</v>
      </c>
      <c r="C1463" t="s">
        <v>9</v>
      </c>
      <c r="D1463">
        <v>197</v>
      </c>
      <c r="E1463">
        <v>11</v>
      </c>
      <c r="F1463">
        <v>5.58</v>
      </c>
      <c r="G1463">
        <v>32.42</v>
      </c>
      <c r="H1463">
        <v>6386.74</v>
      </c>
    </row>
    <row r="1464" spans="1:8" x14ac:dyDescent="0.35">
      <c r="A1464" t="s">
        <v>7</v>
      </c>
      <c r="B1464" t="s">
        <v>12</v>
      </c>
      <c r="C1464" t="s">
        <v>9</v>
      </c>
      <c r="D1464">
        <v>119</v>
      </c>
      <c r="E1464">
        <v>2</v>
      </c>
      <c r="F1464">
        <v>1.68</v>
      </c>
      <c r="G1464">
        <v>56.91</v>
      </c>
      <c r="H1464">
        <v>6772.29</v>
      </c>
    </row>
    <row r="1465" spans="1:8" x14ac:dyDescent="0.35">
      <c r="A1465" t="s">
        <v>6</v>
      </c>
      <c r="B1465" t="s">
        <v>12</v>
      </c>
      <c r="C1465" t="s">
        <v>9</v>
      </c>
      <c r="D1465">
        <v>181</v>
      </c>
      <c r="E1465">
        <v>11</v>
      </c>
      <c r="F1465">
        <v>6.08</v>
      </c>
      <c r="G1465">
        <v>55</v>
      </c>
      <c r="H1465">
        <v>9955</v>
      </c>
    </row>
    <row r="1466" spans="1:8" x14ac:dyDescent="0.35">
      <c r="A1466" t="s">
        <v>6</v>
      </c>
      <c r="B1466" t="s">
        <v>12</v>
      </c>
      <c r="C1466" t="s">
        <v>11</v>
      </c>
      <c r="D1466">
        <v>62</v>
      </c>
      <c r="E1466">
        <v>6</v>
      </c>
      <c r="F1466">
        <v>9.68</v>
      </c>
      <c r="G1466">
        <v>27.81</v>
      </c>
      <c r="H1466">
        <v>1724.22</v>
      </c>
    </row>
    <row r="1467" spans="1:8" x14ac:dyDescent="0.35">
      <c r="A1467" t="s">
        <v>5</v>
      </c>
      <c r="B1467" t="s">
        <v>12</v>
      </c>
      <c r="C1467" t="s">
        <v>9</v>
      </c>
      <c r="D1467">
        <v>168</v>
      </c>
      <c r="E1467">
        <v>13</v>
      </c>
      <c r="F1467">
        <v>7.74</v>
      </c>
      <c r="G1467">
        <v>50.37</v>
      </c>
      <c r="H1467">
        <v>8462.16</v>
      </c>
    </row>
    <row r="1468" spans="1:8" x14ac:dyDescent="0.35">
      <c r="A1468" t="s">
        <v>7</v>
      </c>
      <c r="B1468" t="s">
        <v>12</v>
      </c>
      <c r="C1468" t="s">
        <v>10</v>
      </c>
      <c r="D1468">
        <v>290</v>
      </c>
      <c r="E1468">
        <v>17</v>
      </c>
      <c r="F1468">
        <v>5.86</v>
      </c>
      <c r="G1468">
        <v>67.58</v>
      </c>
      <c r="H1468">
        <v>19598.2</v>
      </c>
    </row>
    <row r="1469" spans="1:8" x14ac:dyDescent="0.35">
      <c r="A1469" t="s">
        <v>6</v>
      </c>
      <c r="B1469" t="s">
        <v>12</v>
      </c>
      <c r="C1469" t="s">
        <v>11</v>
      </c>
      <c r="D1469">
        <v>188</v>
      </c>
      <c r="E1469">
        <v>11</v>
      </c>
      <c r="F1469">
        <v>5.85</v>
      </c>
      <c r="G1469">
        <v>63.58</v>
      </c>
      <c r="H1469">
        <v>11953.04</v>
      </c>
    </row>
    <row r="1470" spans="1:8" x14ac:dyDescent="0.35">
      <c r="A1470" t="s">
        <v>5</v>
      </c>
      <c r="B1470" t="s">
        <v>12</v>
      </c>
      <c r="C1470" t="s">
        <v>9</v>
      </c>
      <c r="D1470">
        <v>109</v>
      </c>
      <c r="E1470">
        <v>6</v>
      </c>
      <c r="F1470">
        <v>5.5</v>
      </c>
      <c r="G1470">
        <v>26.55</v>
      </c>
      <c r="H1470">
        <v>2893.95</v>
      </c>
    </row>
    <row r="1471" spans="1:8" x14ac:dyDescent="0.35">
      <c r="A1471" t="s">
        <v>5</v>
      </c>
      <c r="B1471" t="s">
        <v>12</v>
      </c>
      <c r="C1471" t="s">
        <v>9</v>
      </c>
      <c r="D1471">
        <v>55</v>
      </c>
      <c r="E1471">
        <v>4</v>
      </c>
      <c r="F1471">
        <v>7.27</v>
      </c>
      <c r="G1471">
        <v>23.81</v>
      </c>
      <c r="H1471">
        <v>1309.55</v>
      </c>
    </row>
    <row r="1472" spans="1:8" x14ac:dyDescent="0.35">
      <c r="A1472" t="s">
        <v>7</v>
      </c>
      <c r="B1472" t="s">
        <v>12</v>
      </c>
      <c r="C1472" t="s">
        <v>9</v>
      </c>
      <c r="D1472">
        <v>253</v>
      </c>
      <c r="E1472">
        <v>25</v>
      </c>
      <c r="F1472">
        <v>9.8800000000000008</v>
      </c>
      <c r="G1472">
        <v>31.29</v>
      </c>
      <c r="H1472">
        <v>7916.37</v>
      </c>
    </row>
    <row r="1473" spans="1:8" x14ac:dyDescent="0.35">
      <c r="A1473" t="s">
        <v>8</v>
      </c>
      <c r="B1473" t="s">
        <v>12</v>
      </c>
      <c r="C1473" t="s">
        <v>9</v>
      </c>
      <c r="D1473">
        <v>181</v>
      </c>
      <c r="E1473">
        <v>0</v>
      </c>
      <c r="F1473">
        <v>0</v>
      </c>
      <c r="G1473">
        <v>10.78</v>
      </c>
      <c r="H1473">
        <v>1951.18</v>
      </c>
    </row>
    <row r="1474" spans="1:8" x14ac:dyDescent="0.35">
      <c r="A1474" t="s">
        <v>6</v>
      </c>
      <c r="B1474" t="s">
        <v>12</v>
      </c>
      <c r="C1474" t="s">
        <v>11</v>
      </c>
      <c r="D1474">
        <v>138</v>
      </c>
      <c r="E1474">
        <v>7</v>
      </c>
      <c r="F1474">
        <v>5.07</v>
      </c>
      <c r="G1474">
        <v>47.63</v>
      </c>
      <c r="H1474">
        <v>6572.94</v>
      </c>
    </row>
    <row r="1475" spans="1:8" x14ac:dyDescent="0.35">
      <c r="A1475" t="s">
        <v>8</v>
      </c>
      <c r="B1475" t="s">
        <v>12</v>
      </c>
      <c r="C1475" t="s">
        <v>9</v>
      </c>
      <c r="D1475">
        <v>220</v>
      </c>
      <c r="E1475">
        <v>16</v>
      </c>
      <c r="F1475">
        <v>7.27</v>
      </c>
      <c r="G1475">
        <v>51.35</v>
      </c>
      <c r="H1475">
        <v>11297</v>
      </c>
    </row>
    <row r="1476" spans="1:8" x14ac:dyDescent="0.35">
      <c r="A1476" t="s">
        <v>7</v>
      </c>
      <c r="B1476" t="s">
        <v>12</v>
      </c>
      <c r="C1476" t="s">
        <v>10</v>
      </c>
      <c r="D1476">
        <v>102</v>
      </c>
      <c r="E1476">
        <v>4</v>
      </c>
      <c r="F1476">
        <v>3.92</v>
      </c>
      <c r="G1476">
        <v>35.869999999999997</v>
      </c>
      <c r="H1476">
        <v>3658.74</v>
      </c>
    </row>
    <row r="1477" spans="1:8" x14ac:dyDescent="0.35">
      <c r="A1477" t="s">
        <v>7</v>
      </c>
      <c r="B1477" t="s">
        <v>12</v>
      </c>
      <c r="C1477" t="s">
        <v>10</v>
      </c>
      <c r="D1477">
        <v>155</v>
      </c>
      <c r="E1477">
        <v>8</v>
      </c>
      <c r="F1477">
        <v>5.16</v>
      </c>
      <c r="G1477">
        <v>47.01</v>
      </c>
      <c r="H1477">
        <v>7286.55</v>
      </c>
    </row>
    <row r="1478" spans="1:8" x14ac:dyDescent="0.35">
      <c r="A1478" t="s">
        <v>8</v>
      </c>
      <c r="B1478" t="s">
        <v>12</v>
      </c>
      <c r="C1478" t="s">
        <v>9</v>
      </c>
      <c r="D1478">
        <v>260</v>
      </c>
      <c r="E1478">
        <v>6</v>
      </c>
      <c r="F1478">
        <v>2.31</v>
      </c>
      <c r="G1478">
        <v>63.38</v>
      </c>
      <c r="H1478">
        <v>16478.8</v>
      </c>
    </row>
    <row r="1479" spans="1:8" x14ac:dyDescent="0.35">
      <c r="A1479" t="s">
        <v>7</v>
      </c>
      <c r="B1479" t="s">
        <v>12</v>
      </c>
      <c r="C1479" t="s">
        <v>9</v>
      </c>
      <c r="D1479">
        <v>267</v>
      </c>
      <c r="E1479">
        <v>24</v>
      </c>
      <c r="F1479">
        <v>8.99</v>
      </c>
      <c r="G1479">
        <v>67.34</v>
      </c>
      <c r="H1479">
        <v>17979.78</v>
      </c>
    </row>
    <row r="1480" spans="1:8" x14ac:dyDescent="0.35">
      <c r="A1480" t="s">
        <v>7</v>
      </c>
      <c r="B1480" t="s">
        <v>12</v>
      </c>
      <c r="C1480" t="s">
        <v>10</v>
      </c>
      <c r="D1480">
        <v>113</v>
      </c>
      <c r="E1480">
        <v>7</v>
      </c>
      <c r="F1480">
        <v>6.19</v>
      </c>
      <c r="G1480">
        <v>47.85</v>
      </c>
      <c r="H1480">
        <v>5407.05</v>
      </c>
    </row>
    <row r="1481" spans="1:8" x14ac:dyDescent="0.35">
      <c r="A1481" t="s">
        <v>7</v>
      </c>
      <c r="B1481" t="s">
        <v>12</v>
      </c>
      <c r="C1481" t="s">
        <v>10</v>
      </c>
      <c r="D1481">
        <v>208</v>
      </c>
      <c r="E1481">
        <v>16</v>
      </c>
      <c r="F1481">
        <v>7.69</v>
      </c>
      <c r="G1481">
        <v>14.94</v>
      </c>
      <c r="H1481">
        <v>3107.52</v>
      </c>
    </row>
    <row r="1482" spans="1:8" x14ac:dyDescent="0.35">
      <c r="A1482" t="s">
        <v>8</v>
      </c>
      <c r="B1482" t="s">
        <v>12</v>
      </c>
      <c r="C1482" t="s">
        <v>9</v>
      </c>
      <c r="D1482">
        <v>82</v>
      </c>
      <c r="E1482">
        <v>6</v>
      </c>
      <c r="F1482">
        <v>7.32</v>
      </c>
      <c r="G1482">
        <v>28.17</v>
      </c>
      <c r="H1482">
        <v>2309.94</v>
      </c>
    </row>
    <row r="1483" spans="1:8" x14ac:dyDescent="0.35">
      <c r="A1483" t="s">
        <v>7</v>
      </c>
      <c r="B1483" t="s">
        <v>12</v>
      </c>
      <c r="C1483" t="s">
        <v>10</v>
      </c>
      <c r="D1483">
        <v>290</v>
      </c>
      <c r="E1483">
        <v>21</v>
      </c>
      <c r="F1483">
        <v>7.24</v>
      </c>
      <c r="G1483">
        <v>22.27</v>
      </c>
      <c r="H1483">
        <v>6458.3</v>
      </c>
    </row>
    <row r="1484" spans="1:8" x14ac:dyDescent="0.35">
      <c r="A1484" t="s">
        <v>5</v>
      </c>
      <c r="B1484" t="s">
        <v>12</v>
      </c>
      <c r="C1484" t="s">
        <v>9</v>
      </c>
      <c r="D1484">
        <v>220</v>
      </c>
      <c r="E1484">
        <v>17</v>
      </c>
      <c r="F1484">
        <v>7.73</v>
      </c>
      <c r="G1484">
        <v>26.65</v>
      </c>
      <c r="H1484">
        <v>5863</v>
      </c>
    </row>
    <row r="1485" spans="1:8" x14ac:dyDescent="0.35">
      <c r="A1485" t="s">
        <v>7</v>
      </c>
      <c r="B1485" t="s">
        <v>12</v>
      </c>
      <c r="C1485" t="s">
        <v>10</v>
      </c>
      <c r="D1485">
        <v>215</v>
      </c>
      <c r="E1485">
        <v>19</v>
      </c>
      <c r="F1485">
        <v>8.84</v>
      </c>
      <c r="G1485">
        <v>9.74</v>
      </c>
      <c r="H1485">
        <v>2094.1</v>
      </c>
    </row>
    <row r="1486" spans="1:8" x14ac:dyDescent="0.35">
      <c r="A1486" t="s">
        <v>6</v>
      </c>
      <c r="B1486" t="s">
        <v>12</v>
      </c>
      <c r="C1486" t="s">
        <v>9</v>
      </c>
      <c r="D1486">
        <v>95</v>
      </c>
      <c r="E1486">
        <v>6</v>
      </c>
      <c r="F1486">
        <v>6.32</v>
      </c>
      <c r="G1486">
        <v>55.92</v>
      </c>
      <c r="H1486">
        <v>5312.4</v>
      </c>
    </row>
    <row r="1487" spans="1:8" x14ac:dyDescent="0.35">
      <c r="A1487" t="s">
        <v>5</v>
      </c>
      <c r="B1487" t="s">
        <v>12</v>
      </c>
      <c r="C1487" t="s">
        <v>9</v>
      </c>
      <c r="D1487">
        <v>297</v>
      </c>
      <c r="E1487">
        <v>19</v>
      </c>
      <c r="F1487">
        <v>6.4</v>
      </c>
      <c r="G1487">
        <v>60.98</v>
      </c>
      <c r="H1487">
        <v>18111.060000000001</v>
      </c>
    </row>
    <row r="1488" spans="1:8" x14ac:dyDescent="0.35">
      <c r="A1488" t="s">
        <v>6</v>
      </c>
      <c r="B1488" t="s">
        <v>12</v>
      </c>
      <c r="C1488" t="s">
        <v>9</v>
      </c>
      <c r="D1488">
        <v>173</v>
      </c>
      <c r="E1488">
        <v>15</v>
      </c>
      <c r="F1488">
        <v>8.67</v>
      </c>
      <c r="G1488">
        <v>19.47</v>
      </c>
      <c r="H1488">
        <v>3368.31</v>
      </c>
    </row>
    <row r="1489" spans="1:8" x14ac:dyDescent="0.35">
      <c r="A1489" t="s">
        <v>7</v>
      </c>
      <c r="B1489" t="s">
        <v>12</v>
      </c>
      <c r="C1489" t="s">
        <v>9</v>
      </c>
      <c r="D1489">
        <v>193</v>
      </c>
      <c r="E1489">
        <v>2</v>
      </c>
      <c r="F1489">
        <v>1.04</v>
      </c>
      <c r="G1489">
        <v>40.53</v>
      </c>
      <c r="H1489">
        <v>7822.29</v>
      </c>
    </row>
    <row r="1490" spans="1:8" x14ac:dyDescent="0.35">
      <c r="A1490" t="s">
        <v>6</v>
      </c>
      <c r="B1490" t="s">
        <v>12</v>
      </c>
      <c r="C1490" t="s">
        <v>11</v>
      </c>
      <c r="D1490">
        <v>230</v>
      </c>
      <c r="E1490">
        <v>17</v>
      </c>
      <c r="F1490">
        <v>7.39</v>
      </c>
      <c r="G1490">
        <v>21.81</v>
      </c>
      <c r="H1490">
        <v>5016.3</v>
      </c>
    </row>
    <row r="1491" spans="1:8" x14ac:dyDescent="0.35">
      <c r="A1491" t="s">
        <v>6</v>
      </c>
      <c r="B1491" t="s">
        <v>12</v>
      </c>
      <c r="C1491" t="s">
        <v>11</v>
      </c>
      <c r="D1491">
        <v>232</v>
      </c>
      <c r="E1491">
        <v>19</v>
      </c>
      <c r="F1491">
        <v>8.19</v>
      </c>
      <c r="G1491">
        <v>10.53</v>
      </c>
      <c r="H1491">
        <v>2442.96</v>
      </c>
    </row>
    <row r="1492" spans="1:8" x14ac:dyDescent="0.35">
      <c r="A1492" t="s">
        <v>6</v>
      </c>
      <c r="B1492" t="s">
        <v>12</v>
      </c>
      <c r="C1492" t="s">
        <v>11</v>
      </c>
      <c r="D1492">
        <v>259</v>
      </c>
      <c r="E1492">
        <v>23</v>
      </c>
      <c r="F1492">
        <v>8.8800000000000008</v>
      </c>
      <c r="G1492">
        <v>53.51</v>
      </c>
      <c r="H1492">
        <v>13859.09</v>
      </c>
    </row>
    <row r="1493" spans="1:8" x14ac:dyDescent="0.35">
      <c r="A1493" t="s">
        <v>8</v>
      </c>
      <c r="B1493" t="s">
        <v>12</v>
      </c>
      <c r="C1493" t="s">
        <v>9</v>
      </c>
      <c r="D1493">
        <v>192</v>
      </c>
      <c r="E1493">
        <v>16</v>
      </c>
      <c r="F1493">
        <v>8.33</v>
      </c>
      <c r="G1493">
        <v>19.73</v>
      </c>
      <c r="H1493">
        <v>3788.16</v>
      </c>
    </row>
    <row r="1494" spans="1:8" x14ac:dyDescent="0.35">
      <c r="A1494" t="s">
        <v>8</v>
      </c>
      <c r="B1494" t="s">
        <v>12</v>
      </c>
      <c r="C1494" t="s">
        <v>9</v>
      </c>
      <c r="D1494">
        <v>149</v>
      </c>
      <c r="E1494">
        <v>6</v>
      </c>
      <c r="F1494">
        <v>4.03</v>
      </c>
      <c r="G1494">
        <v>22.83</v>
      </c>
      <c r="H1494">
        <v>3401.67</v>
      </c>
    </row>
    <row r="1495" spans="1:8" x14ac:dyDescent="0.35">
      <c r="A1495" t="s">
        <v>7</v>
      </c>
      <c r="B1495" t="s">
        <v>12</v>
      </c>
      <c r="C1495" t="s">
        <v>10</v>
      </c>
      <c r="D1495">
        <v>247</v>
      </c>
      <c r="E1495">
        <v>2</v>
      </c>
      <c r="F1495">
        <v>0.81</v>
      </c>
      <c r="G1495">
        <v>52.52</v>
      </c>
      <c r="H1495">
        <v>12972.44</v>
      </c>
    </row>
    <row r="1496" spans="1:8" x14ac:dyDescent="0.35">
      <c r="A1496" t="s">
        <v>8</v>
      </c>
      <c r="B1496" t="s">
        <v>12</v>
      </c>
      <c r="C1496" t="s">
        <v>9</v>
      </c>
      <c r="D1496">
        <v>278</v>
      </c>
      <c r="E1496">
        <v>1</v>
      </c>
      <c r="F1496">
        <v>0.36</v>
      </c>
      <c r="G1496">
        <v>15.29</v>
      </c>
      <c r="H1496">
        <v>4250.62</v>
      </c>
    </row>
    <row r="1497" spans="1:8" x14ac:dyDescent="0.35">
      <c r="A1497" t="s">
        <v>7</v>
      </c>
      <c r="B1497" t="s">
        <v>12</v>
      </c>
      <c r="C1497" t="s">
        <v>9</v>
      </c>
      <c r="D1497">
        <v>106</v>
      </c>
      <c r="E1497">
        <v>5</v>
      </c>
      <c r="F1497">
        <v>4.72</v>
      </c>
      <c r="G1497">
        <v>51.71</v>
      </c>
      <c r="H1497">
        <v>5481.26</v>
      </c>
    </row>
    <row r="1498" spans="1:8" x14ac:dyDescent="0.35">
      <c r="A1498" t="s">
        <v>7</v>
      </c>
      <c r="B1498" t="s">
        <v>12</v>
      </c>
      <c r="C1498" t="s">
        <v>10</v>
      </c>
      <c r="D1498">
        <v>233</v>
      </c>
      <c r="E1498">
        <v>19</v>
      </c>
      <c r="F1498">
        <v>8.15</v>
      </c>
      <c r="G1498">
        <v>51.95</v>
      </c>
      <c r="H1498">
        <v>12104.35</v>
      </c>
    </row>
    <row r="1499" spans="1:8" x14ac:dyDescent="0.35">
      <c r="A1499" t="s">
        <v>8</v>
      </c>
      <c r="B1499" t="s">
        <v>12</v>
      </c>
      <c r="C1499" t="s">
        <v>9</v>
      </c>
      <c r="D1499">
        <v>207</v>
      </c>
      <c r="E1499">
        <v>5</v>
      </c>
      <c r="F1499">
        <v>2.42</v>
      </c>
      <c r="G1499">
        <v>56.34</v>
      </c>
      <c r="H1499">
        <v>11662.38</v>
      </c>
    </row>
    <row r="1500" spans="1:8" x14ac:dyDescent="0.35">
      <c r="A1500" t="s">
        <v>6</v>
      </c>
      <c r="B1500" t="s">
        <v>12</v>
      </c>
      <c r="C1500" t="s">
        <v>11</v>
      </c>
      <c r="D1500">
        <v>178</v>
      </c>
      <c r="E1500">
        <v>13</v>
      </c>
      <c r="F1500">
        <v>7.3</v>
      </c>
      <c r="G1500">
        <v>19.2</v>
      </c>
      <c r="H1500">
        <v>3417.6</v>
      </c>
    </row>
    <row r="1501" spans="1:8" x14ac:dyDescent="0.35">
      <c r="A1501" t="s">
        <v>7</v>
      </c>
      <c r="B1501" t="s">
        <v>12</v>
      </c>
      <c r="C1501" t="s">
        <v>10</v>
      </c>
      <c r="D1501">
        <v>130</v>
      </c>
      <c r="E1501">
        <v>11</v>
      </c>
      <c r="F1501">
        <v>8.4600000000000009</v>
      </c>
      <c r="G1501">
        <v>44.56</v>
      </c>
      <c r="H1501">
        <v>5792.8</v>
      </c>
    </row>
    <row r="1502" spans="1:8" x14ac:dyDescent="0.35">
      <c r="A1502" t="s">
        <v>6</v>
      </c>
      <c r="B1502" t="s">
        <v>12</v>
      </c>
      <c r="C1502" t="s">
        <v>9</v>
      </c>
      <c r="D1502">
        <v>96</v>
      </c>
      <c r="E1502">
        <v>9</v>
      </c>
      <c r="F1502">
        <v>9.3800000000000008</v>
      </c>
      <c r="G1502">
        <v>10.23</v>
      </c>
      <c r="H1502">
        <v>982.08</v>
      </c>
    </row>
    <row r="1503" spans="1:8" x14ac:dyDescent="0.35">
      <c r="A1503" t="s">
        <v>7</v>
      </c>
      <c r="B1503" t="s">
        <v>12</v>
      </c>
      <c r="C1503" t="s">
        <v>9</v>
      </c>
      <c r="D1503">
        <v>68</v>
      </c>
      <c r="E1503">
        <v>6</v>
      </c>
      <c r="F1503">
        <v>8.82</v>
      </c>
      <c r="G1503">
        <v>57.64</v>
      </c>
      <c r="H1503">
        <v>3919.52</v>
      </c>
    </row>
    <row r="1504" spans="1:8" x14ac:dyDescent="0.35">
      <c r="A1504" t="s">
        <v>7</v>
      </c>
      <c r="B1504" t="s">
        <v>12</v>
      </c>
      <c r="C1504" t="s">
        <v>10</v>
      </c>
      <c r="D1504">
        <v>297</v>
      </c>
      <c r="E1504">
        <v>17</v>
      </c>
      <c r="F1504">
        <v>5.72</v>
      </c>
      <c r="G1504">
        <v>53.22</v>
      </c>
      <c r="H1504">
        <v>15806.34</v>
      </c>
    </row>
    <row r="1505" spans="1:8" x14ac:dyDescent="0.35">
      <c r="A1505" t="s">
        <v>7</v>
      </c>
      <c r="B1505" t="s">
        <v>12</v>
      </c>
      <c r="C1505" t="s">
        <v>9</v>
      </c>
      <c r="D1505">
        <v>111</v>
      </c>
      <c r="E1505">
        <v>5</v>
      </c>
      <c r="F1505">
        <v>4.5</v>
      </c>
      <c r="G1505">
        <v>68.48</v>
      </c>
      <c r="H1505">
        <v>7601.28</v>
      </c>
    </row>
    <row r="1506" spans="1:8" x14ac:dyDescent="0.35">
      <c r="A1506" t="s">
        <v>5</v>
      </c>
      <c r="B1506" t="s">
        <v>12</v>
      </c>
      <c r="C1506" t="s">
        <v>9</v>
      </c>
      <c r="D1506">
        <v>167</v>
      </c>
      <c r="E1506">
        <v>16</v>
      </c>
      <c r="F1506">
        <v>9.58</v>
      </c>
      <c r="G1506">
        <v>66.53</v>
      </c>
      <c r="H1506">
        <v>11110.51</v>
      </c>
    </row>
    <row r="1507" spans="1:8" x14ac:dyDescent="0.35">
      <c r="A1507" t="s">
        <v>7</v>
      </c>
      <c r="B1507" t="s">
        <v>12</v>
      </c>
      <c r="C1507" t="s">
        <v>10</v>
      </c>
      <c r="D1507">
        <v>143</v>
      </c>
      <c r="E1507">
        <v>0</v>
      </c>
      <c r="F1507">
        <v>0</v>
      </c>
      <c r="G1507">
        <v>53.07</v>
      </c>
      <c r="H1507">
        <v>7589.01</v>
      </c>
    </row>
    <row r="1508" spans="1:8" x14ac:dyDescent="0.35">
      <c r="A1508" t="s">
        <v>7</v>
      </c>
      <c r="B1508" t="s">
        <v>12</v>
      </c>
      <c r="C1508" t="s">
        <v>9</v>
      </c>
      <c r="D1508">
        <v>255</v>
      </c>
      <c r="E1508">
        <v>6</v>
      </c>
      <c r="F1508">
        <v>2.35</v>
      </c>
      <c r="G1508">
        <v>38.99</v>
      </c>
      <c r="H1508">
        <v>9942.4500000000007</v>
      </c>
    </row>
    <row r="1509" spans="1:8" x14ac:dyDescent="0.35">
      <c r="A1509" t="s">
        <v>5</v>
      </c>
      <c r="B1509" t="s">
        <v>12</v>
      </c>
      <c r="C1509" t="s">
        <v>9</v>
      </c>
      <c r="D1509">
        <v>265</v>
      </c>
      <c r="E1509">
        <v>7</v>
      </c>
      <c r="F1509">
        <v>2.64</v>
      </c>
      <c r="G1509">
        <v>13.92</v>
      </c>
      <c r="H1509">
        <v>3688.8</v>
      </c>
    </row>
    <row r="1510" spans="1:8" x14ac:dyDescent="0.35">
      <c r="A1510" t="s">
        <v>5</v>
      </c>
      <c r="B1510" t="s">
        <v>12</v>
      </c>
      <c r="C1510" t="s">
        <v>9</v>
      </c>
      <c r="D1510">
        <v>101</v>
      </c>
      <c r="E1510">
        <v>7</v>
      </c>
      <c r="F1510">
        <v>6.93</v>
      </c>
      <c r="G1510">
        <v>19.309999999999999</v>
      </c>
      <c r="H1510">
        <v>1950.31</v>
      </c>
    </row>
    <row r="1511" spans="1:8" x14ac:dyDescent="0.35">
      <c r="A1511" t="s">
        <v>6</v>
      </c>
      <c r="B1511" t="s">
        <v>12</v>
      </c>
      <c r="C1511" t="s">
        <v>11</v>
      </c>
      <c r="D1511">
        <v>217</v>
      </c>
      <c r="E1511">
        <v>4</v>
      </c>
      <c r="F1511">
        <v>1.84</v>
      </c>
      <c r="G1511">
        <v>43.66</v>
      </c>
      <c r="H1511">
        <v>9474.2199999999993</v>
      </c>
    </row>
    <row r="1512" spans="1:8" x14ac:dyDescent="0.35">
      <c r="A1512" t="s">
        <v>5</v>
      </c>
      <c r="B1512" t="s">
        <v>12</v>
      </c>
      <c r="C1512" t="s">
        <v>9</v>
      </c>
      <c r="D1512">
        <v>251</v>
      </c>
      <c r="E1512">
        <v>12</v>
      </c>
      <c r="F1512">
        <v>4.78</v>
      </c>
      <c r="G1512">
        <v>5.91</v>
      </c>
      <c r="H1512">
        <v>1483.41</v>
      </c>
    </row>
    <row r="1513" spans="1:8" x14ac:dyDescent="0.35">
      <c r="A1513" t="s">
        <v>7</v>
      </c>
      <c r="B1513" t="s">
        <v>12</v>
      </c>
      <c r="C1513" t="s">
        <v>9</v>
      </c>
      <c r="D1513">
        <v>127</v>
      </c>
      <c r="E1513">
        <v>6</v>
      </c>
      <c r="F1513">
        <v>4.72</v>
      </c>
      <c r="G1513">
        <v>42.39</v>
      </c>
      <c r="H1513">
        <v>5383.53</v>
      </c>
    </row>
    <row r="1514" spans="1:8" x14ac:dyDescent="0.35">
      <c r="A1514" t="s">
        <v>6</v>
      </c>
      <c r="B1514" t="s">
        <v>12</v>
      </c>
      <c r="C1514" t="s">
        <v>9</v>
      </c>
      <c r="D1514">
        <v>283</v>
      </c>
      <c r="E1514">
        <v>1</v>
      </c>
      <c r="F1514">
        <v>0.35</v>
      </c>
      <c r="G1514">
        <v>46.46</v>
      </c>
      <c r="H1514">
        <v>13148.18</v>
      </c>
    </row>
    <row r="1515" spans="1:8" x14ac:dyDescent="0.35">
      <c r="A1515" t="s">
        <v>6</v>
      </c>
      <c r="B1515" t="s">
        <v>12</v>
      </c>
      <c r="C1515" t="s">
        <v>11</v>
      </c>
      <c r="D1515">
        <v>100</v>
      </c>
      <c r="E1515">
        <v>8</v>
      </c>
      <c r="F1515">
        <v>8</v>
      </c>
      <c r="G1515">
        <v>63.67</v>
      </c>
      <c r="H1515">
        <v>6367</v>
      </c>
    </row>
    <row r="1516" spans="1:8" x14ac:dyDescent="0.35">
      <c r="A1516" t="s">
        <v>8</v>
      </c>
      <c r="B1516" t="s">
        <v>12</v>
      </c>
      <c r="C1516" t="s">
        <v>9</v>
      </c>
      <c r="D1516">
        <v>68</v>
      </c>
      <c r="E1516">
        <v>6</v>
      </c>
      <c r="F1516">
        <v>8.82</v>
      </c>
      <c r="G1516">
        <v>9.48</v>
      </c>
      <c r="H1516">
        <v>644.64</v>
      </c>
    </row>
    <row r="1517" spans="1:8" x14ac:dyDescent="0.35">
      <c r="A1517" t="s">
        <v>6</v>
      </c>
      <c r="B1517" t="s">
        <v>12</v>
      </c>
      <c r="C1517" t="s">
        <v>11</v>
      </c>
      <c r="D1517">
        <v>217</v>
      </c>
      <c r="E1517">
        <v>17</v>
      </c>
      <c r="F1517">
        <v>7.83</v>
      </c>
      <c r="G1517">
        <v>10.53</v>
      </c>
      <c r="H1517">
        <v>2285.0100000000002</v>
      </c>
    </row>
    <row r="1518" spans="1:8" x14ac:dyDescent="0.35">
      <c r="A1518" t="s">
        <v>5</v>
      </c>
      <c r="B1518" t="s">
        <v>12</v>
      </c>
      <c r="C1518" t="s">
        <v>9</v>
      </c>
      <c r="D1518">
        <v>82</v>
      </c>
      <c r="E1518">
        <v>5</v>
      </c>
      <c r="F1518">
        <v>6.1</v>
      </c>
      <c r="G1518">
        <v>33.51</v>
      </c>
      <c r="H1518">
        <v>2747.82</v>
      </c>
    </row>
    <row r="1519" spans="1:8" x14ac:dyDescent="0.35">
      <c r="A1519" t="s">
        <v>6</v>
      </c>
      <c r="B1519" t="s">
        <v>12</v>
      </c>
      <c r="C1519" t="s">
        <v>9</v>
      </c>
      <c r="D1519">
        <v>286</v>
      </c>
      <c r="E1519">
        <v>26</v>
      </c>
      <c r="F1519">
        <v>9.09</v>
      </c>
      <c r="G1519">
        <v>47.39</v>
      </c>
      <c r="H1519">
        <v>13553.54</v>
      </c>
    </row>
    <row r="1520" spans="1:8" x14ac:dyDescent="0.35">
      <c r="A1520" t="s">
        <v>6</v>
      </c>
      <c r="B1520" t="s">
        <v>12</v>
      </c>
      <c r="C1520" t="s">
        <v>11</v>
      </c>
      <c r="D1520">
        <v>204</v>
      </c>
      <c r="E1520">
        <v>13</v>
      </c>
      <c r="F1520">
        <v>6.37</v>
      </c>
      <c r="G1520">
        <v>25.31</v>
      </c>
      <c r="H1520">
        <v>5163.24</v>
      </c>
    </row>
    <row r="1521" spans="1:8" x14ac:dyDescent="0.35">
      <c r="A1521" t="s">
        <v>6</v>
      </c>
      <c r="B1521" t="s">
        <v>12</v>
      </c>
      <c r="C1521" t="s">
        <v>9</v>
      </c>
      <c r="D1521">
        <v>286</v>
      </c>
      <c r="E1521">
        <v>22</v>
      </c>
      <c r="F1521">
        <v>7.69</v>
      </c>
      <c r="G1521">
        <v>52.03</v>
      </c>
      <c r="H1521">
        <v>14880.58</v>
      </c>
    </row>
    <row r="1522" spans="1:8" x14ac:dyDescent="0.35">
      <c r="A1522" t="s">
        <v>5</v>
      </c>
      <c r="B1522" t="s">
        <v>12</v>
      </c>
      <c r="C1522" t="s">
        <v>9</v>
      </c>
      <c r="D1522">
        <v>138</v>
      </c>
      <c r="E1522">
        <v>5</v>
      </c>
      <c r="F1522">
        <v>3.62</v>
      </c>
      <c r="G1522">
        <v>47.34</v>
      </c>
      <c r="H1522">
        <v>6532.92</v>
      </c>
    </row>
    <row r="1523" spans="1:8" x14ac:dyDescent="0.35">
      <c r="A1523" t="s">
        <v>8</v>
      </c>
      <c r="B1523" t="s">
        <v>12</v>
      </c>
      <c r="C1523" t="s">
        <v>9</v>
      </c>
      <c r="D1523">
        <v>59</v>
      </c>
      <c r="E1523">
        <v>3</v>
      </c>
      <c r="F1523">
        <v>5.08</v>
      </c>
      <c r="G1523">
        <v>52.79</v>
      </c>
      <c r="H1523">
        <v>3114.61</v>
      </c>
    </row>
    <row r="1524" spans="1:8" x14ac:dyDescent="0.35">
      <c r="A1524" t="s">
        <v>6</v>
      </c>
      <c r="B1524" t="s">
        <v>12</v>
      </c>
      <c r="C1524" t="s">
        <v>9</v>
      </c>
      <c r="D1524">
        <v>117</v>
      </c>
      <c r="E1524">
        <v>11</v>
      </c>
      <c r="F1524">
        <v>9.4</v>
      </c>
      <c r="G1524">
        <v>14.45</v>
      </c>
      <c r="H1524">
        <v>1690.65</v>
      </c>
    </row>
    <row r="1525" spans="1:8" x14ac:dyDescent="0.35">
      <c r="A1525" t="s">
        <v>6</v>
      </c>
      <c r="B1525" t="s">
        <v>12</v>
      </c>
      <c r="C1525" t="s">
        <v>9</v>
      </c>
      <c r="D1525">
        <v>240</v>
      </c>
      <c r="E1525">
        <v>5</v>
      </c>
      <c r="F1525">
        <v>2.08</v>
      </c>
      <c r="G1525">
        <v>34.69</v>
      </c>
      <c r="H1525">
        <v>8325.6</v>
      </c>
    </row>
    <row r="1526" spans="1:8" x14ac:dyDescent="0.35">
      <c r="A1526" t="s">
        <v>6</v>
      </c>
      <c r="B1526" t="s">
        <v>12</v>
      </c>
      <c r="C1526" t="s">
        <v>11</v>
      </c>
      <c r="D1526">
        <v>248</v>
      </c>
      <c r="E1526">
        <v>10</v>
      </c>
      <c r="F1526">
        <v>4.03</v>
      </c>
      <c r="G1526">
        <v>16.7</v>
      </c>
      <c r="H1526">
        <v>4141.6000000000004</v>
      </c>
    </row>
    <row r="1527" spans="1:8" x14ac:dyDescent="0.35">
      <c r="A1527" t="s">
        <v>7</v>
      </c>
      <c r="B1527" t="s">
        <v>12</v>
      </c>
      <c r="C1527" t="s">
        <v>10</v>
      </c>
      <c r="D1527">
        <v>193</v>
      </c>
      <c r="E1527">
        <v>16</v>
      </c>
      <c r="F1527">
        <v>8.2899999999999991</v>
      </c>
      <c r="G1527">
        <v>49.57</v>
      </c>
      <c r="H1527">
        <v>9567.01</v>
      </c>
    </row>
    <row r="1528" spans="1:8" x14ac:dyDescent="0.35">
      <c r="A1528" t="s">
        <v>8</v>
      </c>
      <c r="B1528" t="s">
        <v>12</v>
      </c>
      <c r="C1528" t="s">
        <v>9</v>
      </c>
      <c r="D1528">
        <v>129</v>
      </c>
      <c r="E1528">
        <v>1</v>
      </c>
      <c r="F1528">
        <v>0.78</v>
      </c>
      <c r="G1528">
        <v>13.94</v>
      </c>
      <c r="H1528">
        <v>1798.26</v>
      </c>
    </row>
    <row r="1529" spans="1:8" x14ac:dyDescent="0.35">
      <c r="A1529" t="s">
        <v>6</v>
      </c>
      <c r="B1529" t="s">
        <v>12</v>
      </c>
      <c r="C1529" t="s">
        <v>9</v>
      </c>
      <c r="D1529">
        <v>215</v>
      </c>
      <c r="E1529">
        <v>19</v>
      </c>
      <c r="F1529">
        <v>8.84</v>
      </c>
      <c r="G1529">
        <v>41.22</v>
      </c>
      <c r="H1529">
        <v>8862.2999999999993</v>
      </c>
    </row>
    <row r="1530" spans="1:8" x14ac:dyDescent="0.35">
      <c r="A1530" t="s">
        <v>6</v>
      </c>
      <c r="B1530" t="s">
        <v>12</v>
      </c>
      <c r="C1530" t="s">
        <v>9</v>
      </c>
      <c r="D1530">
        <v>271</v>
      </c>
      <c r="E1530">
        <v>26</v>
      </c>
      <c r="F1530">
        <v>9.59</v>
      </c>
      <c r="G1530">
        <v>40.57</v>
      </c>
      <c r="H1530">
        <v>10994.47</v>
      </c>
    </row>
    <row r="1531" spans="1:8" x14ac:dyDescent="0.35">
      <c r="A1531" t="s">
        <v>6</v>
      </c>
      <c r="B1531" t="s">
        <v>12</v>
      </c>
      <c r="C1531" t="s">
        <v>9</v>
      </c>
      <c r="D1531">
        <v>157</v>
      </c>
      <c r="E1531">
        <v>1</v>
      </c>
      <c r="F1531">
        <v>0.64</v>
      </c>
      <c r="G1531">
        <v>46.33</v>
      </c>
      <c r="H1531">
        <v>7273.81</v>
      </c>
    </row>
    <row r="1532" spans="1:8" x14ac:dyDescent="0.35">
      <c r="A1532" t="s">
        <v>6</v>
      </c>
      <c r="B1532" t="s">
        <v>12</v>
      </c>
      <c r="C1532" t="s">
        <v>9</v>
      </c>
      <c r="D1532">
        <v>145</v>
      </c>
      <c r="E1532">
        <v>0</v>
      </c>
      <c r="F1532">
        <v>0</v>
      </c>
      <c r="G1532">
        <v>31.16</v>
      </c>
      <c r="H1532">
        <v>4518.2</v>
      </c>
    </row>
    <row r="1533" spans="1:8" x14ac:dyDescent="0.35">
      <c r="A1533" t="s">
        <v>7</v>
      </c>
      <c r="B1533" t="s">
        <v>12</v>
      </c>
      <c r="C1533" t="s">
        <v>9</v>
      </c>
      <c r="D1533">
        <v>202</v>
      </c>
      <c r="E1533">
        <v>2</v>
      </c>
      <c r="F1533">
        <v>0.99</v>
      </c>
      <c r="G1533">
        <v>13.31</v>
      </c>
      <c r="H1533">
        <v>2688.62</v>
      </c>
    </row>
    <row r="1534" spans="1:8" x14ac:dyDescent="0.35">
      <c r="A1534" t="s">
        <v>5</v>
      </c>
      <c r="B1534" t="s">
        <v>12</v>
      </c>
      <c r="C1534" t="s">
        <v>9</v>
      </c>
      <c r="D1534">
        <v>297</v>
      </c>
      <c r="E1534">
        <v>3</v>
      </c>
      <c r="F1534">
        <v>1.01</v>
      </c>
      <c r="G1534">
        <v>50.23</v>
      </c>
      <c r="H1534">
        <v>14918.31</v>
      </c>
    </row>
    <row r="1535" spans="1:8" x14ac:dyDescent="0.35">
      <c r="A1535" t="s">
        <v>6</v>
      </c>
      <c r="B1535" t="s">
        <v>12</v>
      </c>
      <c r="C1535" t="s">
        <v>11</v>
      </c>
      <c r="D1535">
        <v>91</v>
      </c>
      <c r="E1535">
        <v>9</v>
      </c>
      <c r="F1535">
        <v>9.89</v>
      </c>
      <c r="G1535">
        <v>69.87</v>
      </c>
      <c r="H1535">
        <v>6358.17</v>
      </c>
    </row>
    <row r="1536" spans="1:8" x14ac:dyDescent="0.35">
      <c r="A1536" t="s">
        <v>6</v>
      </c>
      <c r="B1536" t="s">
        <v>12</v>
      </c>
      <c r="C1536" t="s">
        <v>11</v>
      </c>
      <c r="D1536">
        <v>127</v>
      </c>
      <c r="E1536">
        <v>12</v>
      </c>
      <c r="F1536">
        <v>9.4499999999999993</v>
      </c>
      <c r="G1536">
        <v>32.01</v>
      </c>
      <c r="H1536">
        <v>4065.27</v>
      </c>
    </row>
    <row r="1537" spans="1:8" x14ac:dyDescent="0.35">
      <c r="A1537" t="s">
        <v>5</v>
      </c>
      <c r="B1537" t="s">
        <v>12</v>
      </c>
      <c r="C1537" t="s">
        <v>9</v>
      </c>
      <c r="D1537">
        <v>86</v>
      </c>
      <c r="E1537">
        <v>5</v>
      </c>
      <c r="F1537">
        <v>5.81</v>
      </c>
      <c r="G1537">
        <v>6.65</v>
      </c>
      <c r="H1537">
        <v>571.9</v>
      </c>
    </row>
    <row r="1538" spans="1:8" x14ac:dyDescent="0.35">
      <c r="A1538" t="s">
        <v>8</v>
      </c>
      <c r="B1538" t="s">
        <v>12</v>
      </c>
      <c r="C1538" t="s">
        <v>9</v>
      </c>
      <c r="D1538">
        <v>77</v>
      </c>
      <c r="E1538">
        <v>5</v>
      </c>
      <c r="F1538">
        <v>6.49</v>
      </c>
      <c r="G1538">
        <v>58.99</v>
      </c>
      <c r="H1538">
        <v>4542.2299999999996</v>
      </c>
    </row>
    <row r="1539" spans="1:8" x14ac:dyDescent="0.35">
      <c r="A1539" t="s">
        <v>6</v>
      </c>
      <c r="B1539" t="s">
        <v>12</v>
      </c>
      <c r="C1539" t="s">
        <v>11</v>
      </c>
      <c r="D1539">
        <v>239</v>
      </c>
      <c r="E1539">
        <v>2</v>
      </c>
      <c r="F1539">
        <v>0.84</v>
      </c>
      <c r="G1539">
        <v>37.729999999999997</v>
      </c>
      <c r="H1539">
        <v>9017.4699999999993</v>
      </c>
    </row>
    <row r="1540" spans="1:8" x14ac:dyDescent="0.35">
      <c r="A1540" t="s">
        <v>7</v>
      </c>
      <c r="B1540" t="s">
        <v>12</v>
      </c>
      <c r="C1540" t="s">
        <v>10</v>
      </c>
      <c r="D1540">
        <v>158</v>
      </c>
      <c r="E1540">
        <v>2</v>
      </c>
      <c r="F1540">
        <v>1.27</v>
      </c>
      <c r="G1540">
        <v>34.159999999999997</v>
      </c>
      <c r="H1540">
        <v>5397.28</v>
      </c>
    </row>
    <row r="1541" spans="1:8" x14ac:dyDescent="0.35">
      <c r="A1541" t="s">
        <v>8</v>
      </c>
      <c r="B1541" t="s">
        <v>12</v>
      </c>
      <c r="C1541" t="s">
        <v>9</v>
      </c>
      <c r="D1541">
        <v>284</v>
      </c>
      <c r="E1541">
        <v>12</v>
      </c>
      <c r="F1541">
        <v>4.2300000000000004</v>
      </c>
      <c r="G1541">
        <v>45.05</v>
      </c>
      <c r="H1541">
        <v>12794.2</v>
      </c>
    </row>
    <row r="1542" spans="1:8" x14ac:dyDescent="0.35">
      <c r="A1542" t="s">
        <v>8</v>
      </c>
      <c r="B1542" t="s">
        <v>12</v>
      </c>
      <c r="C1542" t="s">
        <v>9</v>
      </c>
      <c r="D1542">
        <v>228</v>
      </c>
      <c r="E1542">
        <v>5</v>
      </c>
      <c r="F1542">
        <v>2.19</v>
      </c>
      <c r="G1542">
        <v>20.48</v>
      </c>
      <c r="H1542">
        <v>4669.4399999999996</v>
      </c>
    </row>
    <row r="1543" spans="1:8" x14ac:dyDescent="0.35">
      <c r="A1543" t="s">
        <v>7</v>
      </c>
      <c r="B1543" t="s">
        <v>12</v>
      </c>
      <c r="C1543" t="s">
        <v>9</v>
      </c>
      <c r="D1543">
        <v>167</v>
      </c>
      <c r="E1543">
        <v>3</v>
      </c>
      <c r="F1543">
        <v>1.8</v>
      </c>
      <c r="G1543">
        <v>59.21</v>
      </c>
      <c r="H1543">
        <v>9888.07</v>
      </c>
    </row>
    <row r="1544" spans="1:8" x14ac:dyDescent="0.35">
      <c r="A1544" t="s">
        <v>6</v>
      </c>
      <c r="B1544" t="s">
        <v>12</v>
      </c>
      <c r="C1544" t="s">
        <v>9</v>
      </c>
      <c r="D1544">
        <v>120</v>
      </c>
      <c r="E1544">
        <v>0</v>
      </c>
      <c r="F1544">
        <v>0</v>
      </c>
      <c r="G1544">
        <v>48.9</v>
      </c>
      <c r="H1544">
        <v>5868</v>
      </c>
    </row>
    <row r="1545" spans="1:8" x14ac:dyDescent="0.35">
      <c r="A1545" t="s">
        <v>6</v>
      </c>
      <c r="B1545" t="s">
        <v>12</v>
      </c>
      <c r="C1545" t="s">
        <v>9</v>
      </c>
      <c r="D1545">
        <v>187</v>
      </c>
      <c r="E1545">
        <v>12</v>
      </c>
      <c r="F1545">
        <v>6.42</v>
      </c>
      <c r="G1545">
        <v>60.43</v>
      </c>
      <c r="H1545">
        <v>11300.41</v>
      </c>
    </row>
    <row r="1546" spans="1:8" x14ac:dyDescent="0.35">
      <c r="A1546" t="s">
        <v>8</v>
      </c>
      <c r="B1546" t="s">
        <v>12</v>
      </c>
      <c r="C1546" t="s">
        <v>9</v>
      </c>
      <c r="D1546">
        <v>58</v>
      </c>
      <c r="E1546">
        <v>1</v>
      </c>
      <c r="F1546">
        <v>1.72</v>
      </c>
      <c r="G1546">
        <v>64.42</v>
      </c>
      <c r="H1546">
        <v>3736.36</v>
      </c>
    </row>
    <row r="1547" spans="1:8" x14ac:dyDescent="0.35">
      <c r="A1547" t="s">
        <v>5</v>
      </c>
      <c r="B1547" t="s">
        <v>12</v>
      </c>
      <c r="C1547" t="s">
        <v>9</v>
      </c>
      <c r="D1547">
        <v>296</v>
      </c>
      <c r="E1547">
        <v>12</v>
      </c>
      <c r="F1547">
        <v>4.05</v>
      </c>
      <c r="G1547">
        <v>63.92</v>
      </c>
      <c r="H1547">
        <v>18920.32</v>
      </c>
    </row>
    <row r="1548" spans="1:8" x14ac:dyDescent="0.35">
      <c r="A1548" t="s">
        <v>7</v>
      </c>
      <c r="B1548" t="s">
        <v>12</v>
      </c>
      <c r="C1548" t="s">
        <v>9</v>
      </c>
      <c r="D1548">
        <v>163</v>
      </c>
      <c r="E1548">
        <v>16</v>
      </c>
      <c r="F1548">
        <v>9.82</v>
      </c>
      <c r="G1548">
        <v>31.56</v>
      </c>
      <c r="H1548">
        <v>5144.28</v>
      </c>
    </row>
    <row r="1549" spans="1:8" x14ac:dyDescent="0.35">
      <c r="A1549" t="s">
        <v>7</v>
      </c>
      <c r="B1549" t="s">
        <v>12</v>
      </c>
      <c r="C1549" t="s">
        <v>9</v>
      </c>
      <c r="D1549">
        <v>79</v>
      </c>
      <c r="E1549">
        <v>5</v>
      </c>
      <c r="F1549">
        <v>6.33</v>
      </c>
      <c r="G1549">
        <v>22.66</v>
      </c>
      <c r="H1549">
        <v>1790.14</v>
      </c>
    </row>
    <row r="1550" spans="1:8" x14ac:dyDescent="0.35">
      <c r="A1550" t="s">
        <v>7</v>
      </c>
      <c r="B1550" t="s">
        <v>12</v>
      </c>
      <c r="C1550" t="s">
        <v>10</v>
      </c>
      <c r="D1550">
        <v>281</v>
      </c>
      <c r="E1550">
        <v>23</v>
      </c>
      <c r="F1550">
        <v>8.19</v>
      </c>
      <c r="G1550">
        <v>41.04</v>
      </c>
      <c r="H1550">
        <v>11532.24</v>
      </c>
    </row>
    <row r="1551" spans="1:8" x14ac:dyDescent="0.35">
      <c r="A1551" t="s">
        <v>5</v>
      </c>
      <c r="B1551" t="s">
        <v>12</v>
      </c>
      <c r="C1551" t="s">
        <v>9</v>
      </c>
      <c r="D1551">
        <v>178</v>
      </c>
      <c r="E1551">
        <v>7</v>
      </c>
      <c r="F1551">
        <v>3.93</v>
      </c>
      <c r="G1551">
        <v>18.93</v>
      </c>
      <c r="H1551">
        <v>3369.54</v>
      </c>
    </row>
    <row r="1552" spans="1:8" x14ac:dyDescent="0.35">
      <c r="A1552" t="s">
        <v>5</v>
      </c>
      <c r="B1552" t="s">
        <v>12</v>
      </c>
      <c r="C1552" t="s">
        <v>9</v>
      </c>
      <c r="D1552">
        <v>284</v>
      </c>
      <c r="E1552">
        <v>4</v>
      </c>
      <c r="F1552">
        <v>1.41</v>
      </c>
      <c r="G1552">
        <v>14.12</v>
      </c>
      <c r="H1552">
        <v>4010.08</v>
      </c>
    </row>
    <row r="1553" spans="1:8" x14ac:dyDescent="0.35">
      <c r="A1553" t="s">
        <v>7</v>
      </c>
      <c r="B1553" t="s">
        <v>12</v>
      </c>
      <c r="C1553" t="s">
        <v>10</v>
      </c>
      <c r="D1553">
        <v>152</v>
      </c>
      <c r="E1553">
        <v>14</v>
      </c>
      <c r="F1553">
        <v>9.2100000000000009</v>
      </c>
      <c r="G1553">
        <v>55.65</v>
      </c>
      <c r="H1553">
        <v>8458.7999999999993</v>
      </c>
    </row>
    <row r="1554" spans="1:8" x14ac:dyDescent="0.35">
      <c r="A1554" t="s">
        <v>7</v>
      </c>
      <c r="B1554" t="s">
        <v>12</v>
      </c>
      <c r="C1554" t="s">
        <v>9</v>
      </c>
      <c r="D1554">
        <v>213</v>
      </c>
      <c r="E1554">
        <v>13</v>
      </c>
      <c r="F1554">
        <v>6.1</v>
      </c>
      <c r="G1554">
        <v>48.09</v>
      </c>
      <c r="H1554">
        <v>10243.17</v>
      </c>
    </row>
    <row r="1555" spans="1:8" x14ac:dyDescent="0.35">
      <c r="A1555" t="s">
        <v>6</v>
      </c>
      <c r="B1555" t="s">
        <v>12</v>
      </c>
      <c r="C1555" t="s">
        <v>11</v>
      </c>
      <c r="D1555">
        <v>139</v>
      </c>
      <c r="E1555">
        <v>6</v>
      </c>
      <c r="F1555">
        <v>4.32</v>
      </c>
      <c r="G1555">
        <v>36.619999999999997</v>
      </c>
      <c r="H1555">
        <v>5090.18</v>
      </c>
    </row>
    <row r="1556" spans="1:8" x14ac:dyDescent="0.35">
      <c r="A1556" t="s">
        <v>7</v>
      </c>
      <c r="B1556" t="s">
        <v>12</v>
      </c>
      <c r="C1556" t="s">
        <v>10</v>
      </c>
      <c r="D1556">
        <v>54</v>
      </c>
      <c r="E1556">
        <v>4</v>
      </c>
      <c r="F1556">
        <v>7.41</v>
      </c>
      <c r="G1556">
        <v>40.799999999999997</v>
      </c>
      <c r="H1556">
        <v>2203.1999999999998</v>
      </c>
    </row>
    <row r="1557" spans="1:8" x14ac:dyDescent="0.35">
      <c r="A1557" t="s">
        <v>8</v>
      </c>
      <c r="B1557" t="s">
        <v>12</v>
      </c>
      <c r="C1557" t="s">
        <v>9</v>
      </c>
      <c r="D1557">
        <v>287</v>
      </c>
      <c r="E1557">
        <v>20</v>
      </c>
      <c r="F1557">
        <v>6.97</v>
      </c>
      <c r="G1557">
        <v>14.28</v>
      </c>
      <c r="H1557">
        <v>4098.3599999999997</v>
      </c>
    </row>
    <row r="1558" spans="1:8" x14ac:dyDescent="0.35">
      <c r="A1558" t="s">
        <v>6</v>
      </c>
      <c r="B1558" t="s">
        <v>12</v>
      </c>
      <c r="C1558" t="s">
        <v>9</v>
      </c>
      <c r="D1558">
        <v>91</v>
      </c>
      <c r="E1558">
        <v>3</v>
      </c>
      <c r="F1558">
        <v>3.3</v>
      </c>
      <c r="G1558">
        <v>55.82</v>
      </c>
      <c r="H1558">
        <v>5079.62</v>
      </c>
    </row>
    <row r="1559" spans="1:8" x14ac:dyDescent="0.35">
      <c r="A1559" t="s">
        <v>7</v>
      </c>
      <c r="B1559" t="s">
        <v>12</v>
      </c>
      <c r="C1559" t="s">
        <v>10</v>
      </c>
      <c r="D1559">
        <v>211</v>
      </c>
      <c r="E1559">
        <v>5</v>
      </c>
      <c r="F1559">
        <v>2.37</v>
      </c>
      <c r="G1559">
        <v>54.6</v>
      </c>
      <c r="H1559">
        <v>11520.6</v>
      </c>
    </row>
    <row r="1560" spans="1:8" x14ac:dyDescent="0.35">
      <c r="A1560" t="s">
        <v>8</v>
      </c>
      <c r="B1560" t="s">
        <v>12</v>
      </c>
      <c r="C1560" t="s">
        <v>9</v>
      </c>
      <c r="D1560">
        <v>162</v>
      </c>
      <c r="E1560">
        <v>6</v>
      </c>
      <c r="F1560">
        <v>3.7</v>
      </c>
      <c r="G1560">
        <v>36.46</v>
      </c>
      <c r="H1560">
        <v>5906.52</v>
      </c>
    </row>
    <row r="1561" spans="1:8" x14ac:dyDescent="0.35">
      <c r="A1561" t="s">
        <v>7</v>
      </c>
      <c r="B1561" t="s">
        <v>12</v>
      </c>
      <c r="C1561" t="s">
        <v>9</v>
      </c>
      <c r="D1561">
        <v>198</v>
      </c>
      <c r="E1561">
        <v>5</v>
      </c>
      <c r="F1561">
        <v>2.5299999999999998</v>
      </c>
      <c r="G1561">
        <v>54.19</v>
      </c>
      <c r="H1561">
        <v>10729.62</v>
      </c>
    </row>
    <row r="1562" spans="1:8" x14ac:dyDescent="0.35">
      <c r="A1562" t="s">
        <v>7</v>
      </c>
      <c r="B1562" t="s">
        <v>12</v>
      </c>
      <c r="C1562" t="s">
        <v>10</v>
      </c>
      <c r="D1562">
        <v>223</v>
      </c>
      <c r="E1562">
        <v>0</v>
      </c>
      <c r="F1562">
        <v>0</v>
      </c>
      <c r="G1562">
        <v>65.2</v>
      </c>
      <c r="H1562">
        <v>14539.6</v>
      </c>
    </row>
    <row r="1563" spans="1:8" x14ac:dyDescent="0.35">
      <c r="A1563" t="s">
        <v>8</v>
      </c>
      <c r="B1563" t="s">
        <v>12</v>
      </c>
      <c r="C1563" t="s">
        <v>9</v>
      </c>
      <c r="D1563">
        <v>51</v>
      </c>
      <c r="E1563">
        <v>2</v>
      </c>
      <c r="F1563">
        <v>3.92</v>
      </c>
      <c r="G1563">
        <v>49.61</v>
      </c>
      <c r="H1563">
        <v>2530.11</v>
      </c>
    </row>
    <row r="1564" spans="1:8" x14ac:dyDescent="0.35">
      <c r="A1564" t="s">
        <v>6</v>
      </c>
      <c r="B1564" t="s">
        <v>12</v>
      </c>
      <c r="C1564" t="s">
        <v>11</v>
      </c>
      <c r="D1564">
        <v>143</v>
      </c>
      <c r="E1564">
        <v>12</v>
      </c>
      <c r="F1564">
        <v>8.39</v>
      </c>
      <c r="G1564">
        <v>24.38</v>
      </c>
      <c r="H1564">
        <v>3486.34</v>
      </c>
    </row>
    <row r="1565" spans="1:8" x14ac:dyDescent="0.35">
      <c r="A1565" t="s">
        <v>5</v>
      </c>
      <c r="B1565" t="s">
        <v>12</v>
      </c>
      <c r="C1565" t="s">
        <v>9</v>
      </c>
      <c r="D1565">
        <v>51</v>
      </c>
      <c r="E1565">
        <v>2</v>
      </c>
      <c r="F1565">
        <v>3.92</v>
      </c>
      <c r="G1565">
        <v>35.43</v>
      </c>
      <c r="H1565">
        <v>1806.93</v>
      </c>
    </row>
    <row r="1566" spans="1:8" x14ac:dyDescent="0.35">
      <c r="A1566" t="s">
        <v>6</v>
      </c>
      <c r="B1566" t="s">
        <v>12</v>
      </c>
      <c r="C1566" t="s">
        <v>11</v>
      </c>
      <c r="D1566">
        <v>87</v>
      </c>
      <c r="E1566">
        <v>0</v>
      </c>
      <c r="F1566">
        <v>0</v>
      </c>
      <c r="G1566">
        <v>59.82</v>
      </c>
      <c r="H1566">
        <v>5204.34</v>
      </c>
    </row>
    <row r="1567" spans="1:8" x14ac:dyDescent="0.35">
      <c r="A1567" t="s">
        <v>6</v>
      </c>
      <c r="B1567" t="s">
        <v>12</v>
      </c>
      <c r="C1567" t="s">
        <v>9</v>
      </c>
      <c r="D1567">
        <v>203</v>
      </c>
      <c r="E1567">
        <v>4</v>
      </c>
      <c r="F1567">
        <v>1.97</v>
      </c>
      <c r="G1567">
        <v>59.28</v>
      </c>
      <c r="H1567">
        <v>12033.84</v>
      </c>
    </row>
    <row r="1568" spans="1:8" x14ac:dyDescent="0.35">
      <c r="A1568" t="s">
        <v>6</v>
      </c>
      <c r="B1568" t="s">
        <v>12</v>
      </c>
      <c r="C1568" t="s">
        <v>9</v>
      </c>
      <c r="D1568">
        <v>97</v>
      </c>
      <c r="E1568">
        <v>7</v>
      </c>
      <c r="F1568">
        <v>7.22</v>
      </c>
      <c r="G1568">
        <v>20.69</v>
      </c>
      <c r="H1568">
        <v>2006.93</v>
      </c>
    </row>
    <row r="1569" spans="1:8" x14ac:dyDescent="0.35">
      <c r="A1569" t="s">
        <v>7</v>
      </c>
      <c r="B1569" t="s">
        <v>12</v>
      </c>
      <c r="C1569" t="s">
        <v>10</v>
      </c>
      <c r="D1569">
        <v>129</v>
      </c>
      <c r="E1569">
        <v>12</v>
      </c>
      <c r="F1569">
        <v>9.3000000000000007</v>
      </c>
      <c r="G1569">
        <v>15.33</v>
      </c>
      <c r="H1569">
        <v>1977.57</v>
      </c>
    </row>
    <row r="1570" spans="1:8" x14ac:dyDescent="0.35">
      <c r="A1570" t="s">
        <v>6</v>
      </c>
      <c r="B1570" t="s">
        <v>12</v>
      </c>
      <c r="C1570" t="s">
        <v>9</v>
      </c>
      <c r="D1570">
        <v>259</v>
      </c>
      <c r="E1570">
        <v>18</v>
      </c>
      <c r="F1570">
        <v>6.95</v>
      </c>
      <c r="G1570">
        <v>9.31</v>
      </c>
      <c r="H1570">
        <v>2411.29</v>
      </c>
    </row>
    <row r="1571" spans="1:8" x14ac:dyDescent="0.35">
      <c r="A1571" t="s">
        <v>6</v>
      </c>
      <c r="B1571" t="s">
        <v>12</v>
      </c>
      <c r="C1571" t="s">
        <v>9</v>
      </c>
      <c r="D1571">
        <v>62</v>
      </c>
      <c r="E1571">
        <v>5</v>
      </c>
      <c r="F1571">
        <v>8.06</v>
      </c>
      <c r="G1571">
        <v>48.54</v>
      </c>
      <c r="H1571">
        <v>3009.48</v>
      </c>
    </row>
    <row r="1572" spans="1:8" x14ac:dyDescent="0.35">
      <c r="A1572" t="s">
        <v>6</v>
      </c>
      <c r="B1572" t="s">
        <v>12</v>
      </c>
      <c r="C1572" t="s">
        <v>11</v>
      </c>
      <c r="D1572">
        <v>269</v>
      </c>
      <c r="E1572">
        <v>23</v>
      </c>
      <c r="F1572">
        <v>8.5500000000000007</v>
      </c>
      <c r="G1572">
        <v>50.14</v>
      </c>
      <c r="H1572">
        <v>13487.66</v>
      </c>
    </row>
    <row r="1573" spans="1:8" x14ac:dyDescent="0.35">
      <c r="A1573" t="s">
        <v>7</v>
      </c>
      <c r="B1573" t="s">
        <v>12</v>
      </c>
      <c r="C1573" t="s">
        <v>10</v>
      </c>
      <c r="D1573">
        <v>57</v>
      </c>
      <c r="E1573">
        <v>1</v>
      </c>
      <c r="F1573">
        <v>1.75</v>
      </c>
      <c r="G1573">
        <v>34.64</v>
      </c>
      <c r="H1573">
        <v>1974.48</v>
      </c>
    </row>
    <row r="1574" spans="1:8" x14ac:dyDescent="0.35">
      <c r="A1574" t="s">
        <v>6</v>
      </c>
      <c r="B1574" t="s">
        <v>12</v>
      </c>
      <c r="C1574" t="s">
        <v>11</v>
      </c>
      <c r="D1574">
        <v>218</v>
      </c>
      <c r="E1574">
        <v>12</v>
      </c>
      <c r="F1574">
        <v>5.5</v>
      </c>
      <c r="G1574">
        <v>9.65</v>
      </c>
      <c r="H1574">
        <v>2103.6999999999998</v>
      </c>
    </row>
    <row r="1575" spans="1:8" x14ac:dyDescent="0.35">
      <c r="A1575" t="s">
        <v>6</v>
      </c>
      <c r="B1575" t="s">
        <v>12</v>
      </c>
      <c r="C1575" t="s">
        <v>9</v>
      </c>
      <c r="D1575">
        <v>216</v>
      </c>
      <c r="E1575">
        <v>7</v>
      </c>
      <c r="F1575">
        <v>3.24</v>
      </c>
      <c r="G1575">
        <v>61.65</v>
      </c>
      <c r="H1575">
        <v>13316.4</v>
      </c>
    </row>
    <row r="1576" spans="1:8" x14ac:dyDescent="0.35">
      <c r="A1576" t="s">
        <v>7</v>
      </c>
      <c r="B1576" t="s">
        <v>12</v>
      </c>
      <c r="C1576" t="s">
        <v>10</v>
      </c>
      <c r="D1576">
        <v>62</v>
      </c>
      <c r="E1576">
        <v>4</v>
      </c>
      <c r="F1576">
        <v>6.45</v>
      </c>
      <c r="G1576">
        <v>64.47</v>
      </c>
      <c r="H1576">
        <v>3997.14</v>
      </c>
    </row>
    <row r="1577" spans="1:8" x14ac:dyDescent="0.35">
      <c r="A1577" t="s">
        <v>6</v>
      </c>
      <c r="B1577" t="s">
        <v>12</v>
      </c>
      <c r="C1577" t="s">
        <v>11</v>
      </c>
      <c r="D1577">
        <v>117</v>
      </c>
      <c r="E1577">
        <v>2</v>
      </c>
      <c r="F1577">
        <v>1.71</v>
      </c>
      <c r="G1577">
        <v>56.53</v>
      </c>
      <c r="H1577">
        <v>6614.01</v>
      </c>
    </row>
    <row r="1578" spans="1:8" x14ac:dyDescent="0.35">
      <c r="A1578" t="s">
        <v>5</v>
      </c>
      <c r="B1578" t="s">
        <v>12</v>
      </c>
      <c r="C1578" t="s">
        <v>9</v>
      </c>
      <c r="D1578">
        <v>202</v>
      </c>
      <c r="E1578">
        <v>20</v>
      </c>
      <c r="F1578">
        <v>9.9</v>
      </c>
      <c r="G1578">
        <v>7.61</v>
      </c>
      <c r="H1578">
        <v>1537.22</v>
      </c>
    </row>
    <row r="1579" spans="1:8" x14ac:dyDescent="0.35">
      <c r="A1579" t="s">
        <v>5</v>
      </c>
      <c r="B1579" t="s">
        <v>12</v>
      </c>
      <c r="C1579" t="s">
        <v>9</v>
      </c>
      <c r="D1579">
        <v>187</v>
      </c>
      <c r="E1579">
        <v>1</v>
      </c>
      <c r="F1579">
        <v>0.53</v>
      </c>
      <c r="G1579">
        <v>63.57</v>
      </c>
      <c r="H1579">
        <v>11887.59</v>
      </c>
    </row>
    <row r="1580" spans="1:8" x14ac:dyDescent="0.35">
      <c r="A1580" t="s">
        <v>5</v>
      </c>
      <c r="B1580" t="s">
        <v>12</v>
      </c>
      <c r="C1580" t="s">
        <v>9</v>
      </c>
      <c r="D1580">
        <v>265</v>
      </c>
      <c r="E1580">
        <v>20</v>
      </c>
      <c r="F1580">
        <v>7.55</v>
      </c>
      <c r="G1580">
        <v>13.71</v>
      </c>
      <c r="H1580">
        <v>3633.15</v>
      </c>
    </row>
    <row r="1581" spans="1:8" x14ac:dyDescent="0.35">
      <c r="A1581" t="s">
        <v>6</v>
      </c>
      <c r="B1581" t="s">
        <v>12</v>
      </c>
      <c r="C1581" t="s">
        <v>11</v>
      </c>
      <c r="D1581">
        <v>125</v>
      </c>
      <c r="E1581">
        <v>2</v>
      </c>
      <c r="F1581">
        <v>1.6</v>
      </c>
      <c r="G1581">
        <v>39.380000000000003</v>
      </c>
      <c r="H1581">
        <v>4922.5</v>
      </c>
    </row>
    <row r="1582" spans="1:8" x14ac:dyDescent="0.35">
      <c r="A1582" t="s">
        <v>6</v>
      </c>
      <c r="B1582" t="s">
        <v>12</v>
      </c>
      <c r="C1582" t="s">
        <v>9</v>
      </c>
      <c r="D1582">
        <v>277</v>
      </c>
      <c r="E1582">
        <v>3</v>
      </c>
      <c r="F1582">
        <v>1.08</v>
      </c>
      <c r="G1582">
        <v>27.17</v>
      </c>
      <c r="H1582">
        <v>7526.09</v>
      </c>
    </row>
    <row r="1583" spans="1:8" x14ac:dyDescent="0.35">
      <c r="A1583" t="s">
        <v>6</v>
      </c>
      <c r="B1583" t="s">
        <v>12</v>
      </c>
      <c r="C1583" t="s">
        <v>9</v>
      </c>
      <c r="D1583">
        <v>272</v>
      </c>
      <c r="E1583">
        <v>10</v>
      </c>
      <c r="F1583">
        <v>3.68</v>
      </c>
      <c r="G1583">
        <v>68.91</v>
      </c>
      <c r="H1583">
        <v>18743.52</v>
      </c>
    </row>
    <row r="1584" spans="1:8" x14ac:dyDescent="0.35">
      <c r="A1584" t="s">
        <v>7</v>
      </c>
      <c r="B1584" t="s">
        <v>12</v>
      </c>
      <c r="C1584" t="s">
        <v>10</v>
      </c>
      <c r="D1584">
        <v>143</v>
      </c>
      <c r="E1584">
        <v>6</v>
      </c>
      <c r="F1584">
        <v>4.2</v>
      </c>
      <c r="G1584">
        <v>45.02</v>
      </c>
      <c r="H1584">
        <v>6437.86</v>
      </c>
    </row>
    <row r="1585" spans="1:8" x14ac:dyDescent="0.35">
      <c r="A1585" t="s">
        <v>7</v>
      </c>
      <c r="B1585" t="s">
        <v>12</v>
      </c>
      <c r="C1585" t="s">
        <v>9</v>
      </c>
      <c r="D1585">
        <v>284</v>
      </c>
      <c r="E1585">
        <v>12</v>
      </c>
      <c r="F1585">
        <v>4.2300000000000004</v>
      </c>
      <c r="G1585">
        <v>50.53</v>
      </c>
      <c r="H1585">
        <v>14350.52</v>
      </c>
    </row>
    <row r="1586" spans="1:8" x14ac:dyDescent="0.35">
      <c r="A1586" t="s">
        <v>7</v>
      </c>
      <c r="B1586" t="s">
        <v>12</v>
      </c>
      <c r="C1586" t="s">
        <v>9</v>
      </c>
      <c r="D1586">
        <v>130</v>
      </c>
      <c r="E1586">
        <v>4</v>
      </c>
      <c r="F1586">
        <v>3.08</v>
      </c>
      <c r="G1586">
        <v>9.33</v>
      </c>
      <c r="H1586">
        <v>1212.9000000000001</v>
      </c>
    </row>
    <row r="1587" spans="1:8" x14ac:dyDescent="0.35">
      <c r="A1587" t="s">
        <v>6</v>
      </c>
      <c r="B1587" t="s">
        <v>12</v>
      </c>
      <c r="C1587" t="s">
        <v>11</v>
      </c>
      <c r="D1587">
        <v>201</v>
      </c>
      <c r="E1587">
        <v>16</v>
      </c>
      <c r="F1587">
        <v>7.96</v>
      </c>
      <c r="G1587">
        <v>34.520000000000003</v>
      </c>
      <c r="H1587">
        <v>6938.52</v>
      </c>
    </row>
    <row r="1588" spans="1:8" x14ac:dyDescent="0.35">
      <c r="A1588" t="s">
        <v>7</v>
      </c>
      <c r="B1588" t="s">
        <v>12</v>
      </c>
      <c r="C1588" t="s">
        <v>10</v>
      </c>
      <c r="D1588">
        <v>223</v>
      </c>
      <c r="E1588">
        <v>16</v>
      </c>
      <c r="F1588">
        <v>7.17</v>
      </c>
      <c r="G1588">
        <v>47.2</v>
      </c>
      <c r="H1588">
        <v>10525.6</v>
      </c>
    </row>
    <row r="1589" spans="1:8" x14ac:dyDescent="0.35">
      <c r="A1589" t="s">
        <v>8</v>
      </c>
      <c r="B1589" t="s">
        <v>12</v>
      </c>
      <c r="C1589" t="s">
        <v>9</v>
      </c>
      <c r="D1589">
        <v>248</v>
      </c>
      <c r="E1589">
        <v>24</v>
      </c>
      <c r="F1589">
        <v>9.68</v>
      </c>
      <c r="G1589">
        <v>6.03</v>
      </c>
      <c r="H1589">
        <v>1495.44</v>
      </c>
    </row>
    <row r="1590" spans="1:8" x14ac:dyDescent="0.35">
      <c r="A1590" t="s">
        <v>7</v>
      </c>
      <c r="B1590" t="s">
        <v>12</v>
      </c>
      <c r="C1590" t="s">
        <v>9</v>
      </c>
      <c r="D1590">
        <v>54</v>
      </c>
      <c r="E1590">
        <v>2</v>
      </c>
      <c r="F1590">
        <v>3.7</v>
      </c>
      <c r="G1590">
        <v>35.909999999999997</v>
      </c>
      <c r="H1590">
        <v>1939.14</v>
      </c>
    </row>
    <row r="1591" spans="1:8" x14ac:dyDescent="0.35">
      <c r="A1591" t="s">
        <v>5</v>
      </c>
      <c r="B1591" t="s">
        <v>12</v>
      </c>
      <c r="C1591" t="s">
        <v>9</v>
      </c>
      <c r="D1591">
        <v>128</v>
      </c>
      <c r="E1591">
        <v>2</v>
      </c>
      <c r="F1591">
        <v>1.56</v>
      </c>
      <c r="G1591">
        <v>6.96</v>
      </c>
      <c r="H1591">
        <v>890.88</v>
      </c>
    </row>
    <row r="1592" spans="1:8" x14ac:dyDescent="0.35">
      <c r="A1592" t="s">
        <v>6</v>
      </c>
      <c r="B1592" t="s">
        <v>12</v>
      </c>
      <c r="C1592" t="s">
        <v>9</v>
      </c>
      <c r="D1592">
        <v>219</v>
      </c>
      <c r="E1592">
        <v>10</v>
      </c>
      <c r="F1592">
        <v>4.57</v>
      </c>
      <c r="G1592">
        <v>5.62</v>
      </c>
      <c r="H1592">
        <v>1230.78</v>
      </c>
    </row>
    <row r="1593" spans="1:8" x14ac:dyDescent="0.35">
      <c r="A1593" t="s">
        <v>6</v>
      </c>
      <c r="B1593" t="s">
        <v>12</v>
      </c>
      <c r="C1593" t="s">
        <v>9</v>
      </c>
      <c r="D1593">
        <v>132</v>
      </c>
      <c r="E1593">
        <v>9</v>
      </c>
      <c r="F1593">
        <v>6.82</v>
      </c>
      <c r="G1593">
        <v>34.46</v>
      </c>
      <c r="H1593">
        <v>4548.72</v>
      </c>
    </row>
    <row r="1594" spans="1:8" x14ac:dyDescent="0.35">
      <c r="A1594" t="s">
        <v>6</v>
      </c>
      <c r="B1594" t="s">
        <v>12</v>
      </c>
      <c r="C1594" t="s">
        <v>9</v>
      </c>
      <c r="D1594">
        <v>251</v>
      </c>
      <c r="E1594">
        <v>25</v>
      </c>
      <c r="F1594">
        <v>9.9600000000000009</v>
      </c>
      <c r="G1594">
        <v>22.34</v>
      </c>
      <c r="H1594">
        <v>5607.34</v>
      </c>
    </row>
    <row r="1595" spans="1:8" x14ac:dyDescent="0.35">
      <c r="A1595" t="s">
        <v>5</v>
      </c>
      <c r="B1595" t="s">
        <v>12</v>
      </c>
      <c r="C1595" t="s">
        <v>9</v>
      </c>
      <c r="D1595">
        <v>142</v>
      </c>
      <c r="E1595">
        <v>9</v>
      </c>
      <c r="F1595">
        <v>6.34</v>
      </c>
      <c r="G1595">
        <v>44.1</v>
      </c>
      <c r="H1595">
        <v>6262.2</v>
      </c>
    </row>
    <row r="1596" spans="1:8" x14ac:dyDescent="0.35">
      <c r="A1596" t="s">
        <v>7</v>
      </c>
      <c r="B1596" t="s">
        <v>12</v>
      </c>
      <c r="C1596" t="s">
        <v>9</v>
      </c>
      <c r="D1596">
        <v>126</v>
      </c>
      <c r="E1596">
        <v>7</v>
      </c>
      <c r="F1596">
        <v>5.56</v>
      </c>
      <c r="G1596">
        <v>57.25</v>
      </c>
      <c r="H1596">
        <v>7213.5</v>
      </c>
    </row>
    <row r="1597" spans="1:8" x14ac:dyDescent="0.35">
      <c r="A1597" t="s">
        <v>7</v>
      </c>
      <c r="B1597" t="s">
        <v>12</v>
      </c>
      <c r="C1597" t="s">
        <v>10</v>
      </c>
      <c r="D1597">
        <v>145</v>
      </c>
      <c r="E1597">
        <v>10</v>
      </c>
      <c r="F1597">
        <v>6.9</v>
      </c>
      <c r="G1597">
        <v>16</v>
      </c>
      <c r="H1597">
        <v>2320</v>
      </c>
    </row>
    <row r="1598" spans="1:8" x14ac:dyDescent="0.35">
      <c r="A1598" t="s">
        <v>7</v>
      </c>
      <c r="B1598" t="s">
        <v>12</v>
      </c>
      <c r="C1598" t="s">
        <v>9</v>
      </c>
      <c r="D1598">
        <v>78</v>
      </c>
      <c r="E1598">
        <v>5</v>
      </c>
      <c r="F1598">
        <v>6.41</v>
      </c>
      <c r="G1598">
        <v>44.02</v>
      </c>
      <c r="H1598">
        <v>3433.56</v>
      </c>
    </row>
    <row r="1599" spans="1:8" x14ac:dyDescent="0.35">
      <c r="A1599" t="s">
        <v>6</v>
      </c>
      <c r="B1599" t="s">
        <v>12</v>
      </c>
      <c r="C1599" t="s">
        <v>11</v>
      </c>
      <c r="D1599">
        <v>214</v>
      </c>
      <c r="E1599">
        <v>9</v>
      </c>
      <c r="F1599">
        <v>4.21</v>
      </c>
      <c r="G1599">
        <v>36.43</v>
      </c>
      <c r="H1599">
        <v>7796.02</v>
      </c>
    </row>
    <row r="1600" spans="1:8" x14ac:dyDescent="0.35">
      <c r="A1600" t="s">
        <v>6</v>
      </c>
      <c r="B1600" t="s">
        <v>12</v>
      </c>
      <c r="C1600" t="s">
        <v>11</v>
      </c>
      <c r="D1600">
        <v>71</v>
      </c>
      <c r="E1600">
        <v>4</v>
      </c>
      <c r="F1600">
        <v>5.63</v>
      </c>
      <c r="G1600">
        <v>18.52</v>
      </c>
      <c r="H1600">
        <v>1314.92</v>
      </c>
    </row>
    <row r="1601" spans="1:8" x14ac:dyDescent="0.35">
      <c r="A1601" t="s">
        <v>8</v>
      </c>
      <c r="B1601" t="s">
        <v>12</v>
      </c>
      <c r="C1601" t="s">
        <v>9</v>
      </c>
      <c r="D1601">
        <v>71</v>
      </c>
      <c r="E1601">
        <v>3</v>
      </c>
      <c r="F1601">
        <v>4.2300000000000004</v>
      </c>
      <c r="G1601">
        <v>14.05</v>
      </c>
      <c r="H1601">
        <v>997.55</v>
      </c>
    </row>
    <row r="1602" spans="1:8" x14ac:dyDescent="0.35">
      <c r="A1602" t="s">
        <v>5</v>
      </c>
      <c r="B1602" t="s">
        <v>12</v>
      </c>
      <c r="C1602" t="s">
        <v>9</v>
      </c>
      <c r="D1602">
        <v>245</v>
      </c>
      <c r="E1602">
        <v>12</v>
      </c>
      <c r="F1602">
        <v>4.9000000000000004</v>
      </c>
      <c r="G1602">
        <v>23.95</v>
      </c>
      <c r="H1602">
        <v>5867.75</v>
      </c>
    </row>
    <row r="1603" spans="1:8" x14ac:dyDescent="0.35">
      <c r="A1603" t="s">
        <v>7</v>
      </c>
      <c r="B1603" t="s">
        <v>12</v>
      </c>
      <c r="C1603" t="s">
        <v>9</v>
      </c>
      <c r="D1603">
        <v>181</v>
      </c>
      <c r="E1603">
        <v>0</v>
      </c>
      <c r="F1603">
        <v>0</v>
      </c>
      <c r="G1603">
        <v>10.3</v>
      </c>
      <c r="H1603">
        <v>1864.3</v>
      </c>
    </row>
    <row r="1604" spans="1:8" x14ac:dyDescent="0.35">
      <c r="A1604" t="s">
        <v>8</v>
      </c>
      <c r="B1604" t="s">
        <v>12</v>
      </c>
      <c r="C1604" t="s">
        <v>9</v>
      </c>
      <c r="D1604">
        <v>116</v>
      </c>
      <c r="E1604">
        <v>2</v>
      </c>
      <c r="F1604">
        <v>1.72</v>
      </c>
      <c r="G1604">
        <v>13.36</v>
      </c>
      <c r="H1604">
        <v>1549.76</v>
      </c>
    </row>
    <row r="1605" spans="1:8" x14ac:dyDescent="0.35">
      <c r="A1605" t="s">
        <v>6</v>
      </c>
      <c r="B1605" t="s">
        <v>12</v>
      </c>
      <c r="C1605" t="s">
        <v>11</v>
      </c>
      <c r="D1605">
        <v>254</v>
      </c>
      <c r="E1605">
        <v>12</v>
      </c>
      <c r="F1605">
        <v>4.72</v>
      </c>
      <c r="G1605">
        <v>23.38</v>
      </c>
      <c r="H1605">
        <v>5938.52</v>
      </c>
    </row>
    <row r="1606" spans="1:8" x14ac:dyDescent="0.35">
      <c r="A1606" t="s">
        <v>5</v>
      </c>
      <c r="B1606" t="s">
        <v>12</v>
      </c>
      <c r="C1606" t="s">
        <v>9</v>
      </c>
      <c r="D1606">
        <v>110</v>
      </c>
      <c r="E1606">
        <v>10</v>
      </c>
      <c r="F1606">
        <v>9.09</v>
      </c>
      <c r="G1606">
        <v>53.91</v>
      </c>
      <c r="H1606">
        <v>5930.1</v>
      </c>
    </row>
    <row r="1607" spans="1:8" x14ac:dyDescent="0.35">
      <c r="A1607" t="s">
        <v>6</v>
      </c>
      <c r="B1607" t="s">
        <v>12</v>
      </c>
      <c r="C1607" t="s">
        <v>9</v>
      </c>
      <c r="D1607">
        <v>110</v>
      </c>
      <c r="E1607">
        <v>6</v>
      </c>
      <c r="F1607">
        <v>5.45</v>
      </c>
      <c r="G1607">
        <v>63.15</v>
      </c>
      <c r="H1607">
        <v>6946.5</v>
      </c>
    </row>
    <row r="1608" spans="1:8" x14ac:dyDescent="0.35">
      <c r="A1608" t="s">
        <v>5</v>
      </c>
      <c r="B1608" t="s">
        <v>12</v>
      </c>
      <c r="C1608" t="s">
        <v>9</v>
      </c>
      <c r="D1608">
        <v>176</v>
      </c>
      <c r="E1608">
        <v>17</v>
      </c>
      <c r="F1608">
        <v>9.66</v>
      </c>
      <c r="G1608">
        <v>19.45</v>
      </c>
      <c r="H1608">
        <v>3423.2</v>
      </c>
    </row>
    <row r="1609" spans="1:8" x14ac:dyDescent="0.35">
      <c r="A1609" t="s">
        <v>8</v>
      </c>
      <c r="B1609" t="s">
        <v>12</v>
      </c>
      <c r="C1609" t="s">
        <v>9</v>
      </c>
      <c r="D1609">
        <v>185</v>
      </c>
      <c r="E1609">
        <v>14</v>
      </c>
      <c r="F1609">
        <v>7.57</v>
      </c>
      <c r="G1609">
        <v>48.11</v>
      </c>
      <c r="H1609">
        <v>8900.35</v>
      </c>
    </row>
    <row r="1610" spans="1:8" x14ac:dyDescent="0.35">
      <c r="A1610" t="s">
        <v>6</v>
      </c>
      <c r="B1610" t="s">
        <v>12</v>
      </c>
      <c r="C1610" t="s">
        <v>11</v>
      </c>
      <c r="D1610">
        <v>191</v>
      </c>
      <c r="E1610">
        <v>3</v>
      </c>
      <c r="F1610">
        <v>1.57</v>
      </c>
      <c r="G1610">
        <v>22.1</v>
      </c>
      <c r="H1610">
        <v>4221.1000000000004</v>
      </c>
    </row>
    <row r="1611" spans="1:8" x14ac:dyDescent="0.35">
      <c r="A1611" t="s">
        <v>7</v>
      </c>
      <c r="B1611" t="s">
        <v>12</v>
      </c>
      <c r="C1611" t="s">
        <v>9</v>
      </c>
      <c r="D1611">
        <v>298</v>
      </c>
      <c r="E1611">
        <v>7</v>
      </c>
      <c r="F1611">
        <v>2.35</v>
      </c>
      <c r="G1611">
        <v>43.04</v>
      </c>
      <c r="H1611">
        <v>12825.92</v>
      </c>
    </row>
    <row r="1612" spans="1:8" x14ac:dyDescent="0.35">
      <c r="A1612" t="s">
        <v>7</v>
      </c>
      <c r="B1612" t="s">
        <v>12</v>
      </c>
      <c r="C1612" t="s">
        <v>9</v>
      </c>
      <c r="D1612">
        <v>162</v>
      </c>
      <c r="E1612">
        <v>9</v>
      </c>
      <c r="F1612">
        <v>5.56</v>
      </c>
      <c r="G1612">
        <v>6.43</v>
      </c>
      <c r="H1612">
        <v>1041.6600000000001</v>
      </c>
    </row>
    <row r="1613" spans="1:8" x14ac:dyDescent="0.35">
      <c r="A1613" t="s">
        <v>8</v>
      </c>
      <c r="B1613" t="s">
        <v>12</v>
      </c>
      <c r="C1613" t="s">
        <v>9</v>
      </c>
      <c r="D1613">
        <v>193</v>
      </c>
      <c r="E1613">
        <v>11</v>
      </c>
      <c r="F1613">
        <v>5.7</v>
      </c>
      <c r="G1613">
        <v>38.21</v>
      </c>
      <c r="H1613">
        <v>7374.53</v>
      </c>
    </row>
    <row r="1614" spans="1:8" x14ac:dyDescent="0.35">
      <c r="A1614" t="s">
        <v>8</v>
      </c>
      <c r="B1614" t="s">
        <v>12</v>
      </c>
      <c r="C1614" t="s">
        <v>9</v>
      </c>
      <c r="D1614">
        <v>82</v>
      </c>
      <c r="E1614">
        <v>4</v>
      </c>
      <c r="F1614">
        <v>4.88</v>
      </c>
      <c r="G1614">
        <v>62.73</v>
      </c>
      <c r="H1614">
        <v>5143.8599999999997</v>
      </c>
    </row>
    <row r="1615" spans="1:8" x14ac:dyDescent="0.35">
      <c r="A1615" t="s">
        <v>6</v>
      </c>
      <c r="B1615" t="s">
        <v>12</v>
      </c>
      <c r="C1615" t="s">
        <v>9</v>
      </c>
      <c r="D1615">
        <v>113</v>
      </c>
      <c r="E1615">
        <v>10</v>
      </c>
      <c r="F1615">
        <v>8.85</v>
      </c>
      <c r="G1615">
        <v>17.71</v>
      </c>
      <c r="H1615">
        <v>2001.23</v>
      </c>
    </row>
    <row r="1616" spans="1:8" x14ac:dyDescent="0.35">
      <c r="A1616" t="s">
        <v>7</v>
      </c>
      <c r="B1616" t="s">
        <v>12</v>
      </c>
      <c r="C1616" t="s">
        <v>9</v>
      </c>
      <c r="D1616">
        <v>284</v>
      </c>
      <c r="E1616">
        <v>19</v>
      </c>
      <c r="F1616">
        <v>6.69</v>
      </c>
      <c r="G1616">
        <v>25.09</v>
      </c>
      <c r="H1616">
        <v>7125.56</v>
      </c>
    </row>
    <row r="1617" spans="1:8" x14ac:dyDescent="0.35">
      <c r="A1617" t="s">
        <v>5</v>
      </c>
      <c r="B1617" t="s">
        <v>12</v>
      </c>
      <c r="C1617" t="s">
        <v>9</v>
      </c>
      <c r="D1617">
        <v>169</v>
      </c>
      <c r="E1617">
        <v>3</v>
      </c>
      <c r="F1617">
        <v>1.78</v>
      </c>
      <c r="G1617">
        <v>47.48</v>
      </c>
      <c r="H1617">
        <v>8024.12</v>
      </c>
    </row>
    <row r="1618" spans="1:8" x14ac:dyDescent="0.35">
      <c r="A1618" t="s">
        <v>8</v>
      </c>
      <c r="B1618" t="s">
        <v>12</v>
      </c>
      <c r="C1618" t="s">
        <v>9</v>
      </c>
      <c r="D1618">
        <v>250</v>
      </c>
      <c r="E1618">
        <v>0</v>
      </c>
      <c r="F1618">
        <v>0</v>
      </c>
      <c r="G1618">
        <v>65.47</v>
      </c>
      <c r="H1618">
        <v>16367.5</v>
      </c>
    </row>
    <row r="1619" spans="1:8" x14ac:dyDescent="0.35">
      <c r="A1619" t="s">
        <v>5</v>
      </c>
      <c r="B1619" t="s">
        <v>12</v>
      </c>
      <c r="C1619" t="s">
        <v>9</v>
      </c>
      <c r="D1619">
        <v>296</v>
      </c>
      <c r="E1619">
        <v>13</v>
      </c>
      <c r="F1619">
        <v>4.3899999999999997</v>
      </c>
      <c r="G1619">
        <v>69.41</v>
      </c>
      <c r="H1619">
        <v>20545.36</v>
      </c>
    </row>
    <row r="1620" spans="1:8" x14ac:dyDescent="0.35">
      <c r="A1620" t="s">
        <v>6</v>
      </c>
      <c r="B1620" t="s">
        <v>12</v>
      </c>
      <c r="C1620" t="s">
        <v>11</v>
      </c>
      <c r="D1620">
        <v>83</v>
      </c>
      <c r="E1620">
        <v>2</v>
      </c>
      <c r="F1620">
        <v>2.41</v>
      </c>
      <c r="G1620">
        <v>64.44</v>
      </c>
      <c r="H1620">
        <v>5348.52</v>
      </c>
    </row>
    <row r="1621" spans="1:8" x14ac:dyDescent="0.35">
      <c r="A1621" t="s">
        <v>8</v>
      </c>
      <c r="B1621" t="s">
        <v>12</v>
      </c>
      <c r="C1621" t="s">
        <v>9</v>
      </c>
      <c r="D1621">
        <v>75</v>
      </c>
      <c r="E1621">
        <v>1</v>
      </c>
      <c r="F1621">
        <v>1.33</v>
      </c>
      <c r="G1621">
        <v>66.989999999999995</v>
      </c>
      <c r="H1621">
        <v>5024.25</v>
      </c>
    </row>
    <row r="1622" spans="1:8" x14ac:dyDescent="0.35">
      <c r="A1622" t="s">
        <v>7</v>
      </c>
      <c r="B1622" t="s">
        <v>12</v>
      </c>
      <c r="C1622" t="s">
        <v>10</v>
      </c>
      <c r="D1622">
        <v>185</v>
      </c>
      <c r="E1622">
        <v>2</v>
      </c>
      <c r="F1622">
        <v>1.08</v>
      </c>
      <c r="G1622">
        <v>50.4</v>
      </c>
      <c r="H1622">
        <v>9324</v>
      </c>
    </row>
    <row r="1623" spans="1:8" x14ac:dyDescent="0.35">
      <c r="A1623" t="s">
        <v>8</v>
      </c>
      <c r="B1623" t="s">
        <v>12</v>
      </c>
      <c r="C1623" t="s">
        <v>9</v>
      </c>
      <c r="D1623">
        <v>175</v>
      </c>
      <c r="E1623">
        <v>10</v>
      </c>
      <c r="F1623">
        <v>5.71</v>
      </c>
      <c r="G1623">
        <v>65.53</v>
      </c>
      <c r="H1623">
        <v>11467.75</v>
      </c>
    </row>
    <row r="1624" spans="1:8" x14ac:dyDescent="0.35">
      <c r="A1624" t="s">
        <v>7</v>
      </c>
      <c r="B1624" t="s">
        <v>12</v>
      </c>
      <c r="C1624" t="s">
        <v>9</v>
      </c>
      <c r="D1624">
        <v>209</v>
      </c>
      <c r="E1624">
        <v>10</v>
      </c>
      <c r="F1624">
        <v>4.78</v>
      </c>
      <c r="G1624">
        <v>19.62</v>
      </c>
      <c r="H1624">
        <v>4100.58</v>
      </c>
    </row>
    <row r="1625" spans="1:8" x14ac:dyDescent="0.35">
      <c r="A1625" t="s">
        <v>7</v>
      </c>
      <c r="B1625" t="s">
        <v>12</v>
      </c>
      <c r="C1625" t="s">
        <v>9</v>
      </c>
      <c r="D1625">
        <v>126</v>
      </c>
      <c r="E1625">
        <v>1</v>
      </c>
      <c r="F1625">
        <v>0.79</v>
      </c>
      <c r="G1625">
        <v>9.0299999999999994</v>
      </c>
      <c r="H1625">
        <v>1137.78</v>
      </c>
    </row>
    <row r="1626" spans="1:8" x14ac:dyDescent="0.35">
      <c r="A1626" t="s">
        <v>5</v>
      </c>
      <c r="B1626" t="s">
        <v>12</v>
      </c>
      <c r="C1626" t="s">
        <v>9</v>
      </c>
      <c r="D1626">
        <v>163</v>
      </c>
      <c r="E1626">
        <v>14</v>
      </c>
      <c r="F1626">
        <v>8.59</v>
      </c>
      <c r="G1626">
        <v>37.24</v>
      </c>
      <c r="H1626">
        <v>6070.12</v>
      </c>
    </row>
    <row r="1627" spans="1:8" x14ac:dyDescent="0.35">
      <c r="A1627" t="s">
        <v>6</v>
      </c>
      <c r="B1627" t="s">
        <v>12</v>
      </c>
      <c r="C1627" t="s">
        <v>11</v>
      </c>
      <c r="D1627">
        <v>150</v>
      </c>
      <c r="E1627">
        <v>10</v>
      </c>
      <c r="F1627">
        <v>6.67</v>
      </c>
      <c r="G1627">
        <v>8.17</v>
      </c>
      <c r="H1627">
        <v>1225.5</v>
      </c>
    </row>
    <row r="1628" spans="1:8" x14ac:dyDescent="0.35">
      <c r="A1628" t="s">
        <v>6</v>
      </c>
      <c r="B1628" t="s">
        <v>12</v>
      </c>
      <c r="C1628" t="s">
        <v>9</v>
      </c>
      <c r="D1628">
        <v>179</v>
      </c>
      <c r="E1628">
        <v>0</v>
      </c>
      <c r="F1628">
        <v>0</v>
      </c>
      <c r="G1628">
        <v>32.54</v>
      </c>
      <c r="H1628">
        <v>5824.66</v>
      </c>
    </row>
    <row r="1629" spans="1:8" x14ac:dyDescent="0.35">
      <c r="A1629" t="s">
        <v>6</v>
      </c>
      <c r="B1629" t="s">
        <v>12</v>
      </c>
      <c r="C1629" t="s">
        <v>11</v>
      </c>
      <c r="D1629">
        <v>223</v>
      </c>
      <c r="E1629">
        <v>7</v>
      </c>
      <c r="F1629">
        <v>3.14</v>
      </c>
      <c r="G1629">
        <v>23.32</v>
      </c>
      <c r="H1629">
        <v>5200.3599999999997</v>
      </c>
    </row>
    <row r="1630" spans="1:8" x14ac:dyDescent="0.35">
      <c r="A1630" t="s">
        <v>8</v>
      </c>
      <c r="B1630" t="s">
        <v>12</v>
      </c>
      <c r="C1630" t="s">
        <v>9</v>
      </c>
      <c r="D1630">
        <v>236</v>
      </c>
      <c r="E1630">
        <v>19</v>
      </c>
      <c r="F1630">
        <v>8.0500000000000007</v>
      </c>
      <c r="G1630">
        <v>26</v>
      </c>
      <c r="H1630">
        <v>6136</v>
      </c>
    </row>
    <row r="1631" spans="1:8" x14ac:dyDescent="0.35">
      <c r="A1631" t="s">
        <v>6</v>
      </c>
      <c r="B1631" t="s">
        <v>12</v>
      </c>
      <c r="C1631" t="s">
        <v>9</v>
      </c>
      <c r="D1631">
        <v>163</v>
      </c>
      <c r="E1631">
        <v>0</v>
      </c>
      <c r="F1631">
        <v>0</v>
      </c>
      <c r="G1631">
        <v>68.12</v>
      </c>
      <c r="H1631">
        <v>11103.56</v>
      </c>
    </row>
    <row r="1632" spans="1:8" x14ac:dyDescent="0.35">
      <c r="A1632" t="s">
        <v>8</v>
      </c>
      <c r="B1632" t="s">
        <v>12</v>
      </c>
      <c r="C1632" t="s">
        <v>9</v>
      </c>
      <c r="D1632">
        <v>122</v>
      </c>
      <c r="E1632">
        <v>0</v>
      </c>
      <c r="F1632">
        <v>0</v>
      </c>
      <c r="G1632">
        <v>11.3</v>
      </c>
      <c r="H1632">
        <v>1378.6</v>
      </c>
    </row>
    <row r="1633" spans="1:8" x14ac:dyDescent="0.35">
      <c r="A1633" t="s">
        <v>7</v>
      </c>
      <c r="B1633" t="s">
        <v>12</v>
      </c>
      <c r="C1633" t="s">
        <v>9</v>
      </c>
      <c r="D1633">
        <v>205</v>
      </c>
      <c r="E1633">
        <v>8</v>
      </c>
      <c r="F1633">
        <v>3.9</v>
      </c>
      <c r="G1633">
        <v>21.35</v>
      </c>
      <c r="H1633">
        <v>4376.75</v>
      </c>
    </row>
    <row r="1634" spans="1:8" x14ac:dyDescent="0.35">
      <c r="A1634" t="s">
        <v>7</v>
      </c>
      <c r="B1634" t="s">
        <v>12</v>
      </c>
      <c r="C1634" t="s">
        <v>9</v>
      </c>
      <c r="D1634">
        <v>208</v>
      </c>
      <c r="E1634">
        <v>6</v>
      </c>
      <c r="F1634">
        <v>2.88</v>
      </c>
      <c r="G1634">
        <v>25.23</v>
      </c>
      <c r="H1634">
        <v>5247.84</v>
      </c>
    </row>
    <row r="1635" spans="1:8" x14ac:dyDescent="0.35">
      <c r="A1635" t="s">
        <v>6</v>
      </c>
      <c r="B1635" t="s">
        <v>12</v>
      </c>
      <c r="C1635" t="s">
        <v>9</v>
      </c>
      <c r="D1635">
        <v>140</v>
      </c>
      <c r="E1635">
        <v>14</v>
      </c>
      <c r="F1635">
        <v>10</v>
      </c>
      <c r="G1635">
        <v>41.24</v>
      </c>
      <c r="H1635">
        <v>5773.6</v>
      </c>
    </row>
    <row r="1636" spans="1:8" x14ac:dyDescent="0.35">
      <c r="A1636" t="s">
        <v>6</v>
      </c>
      <c r="B1636" t="s">
        <v>12</v>
      </c>
      <c r="C1636" t="s">
        <v>9</v>
      </c>
      <c r="D1636">
        <v>76</v>
      </c>
      <c r="E1636">
        <v>6</v>
      </c>
      <c r="F1636">
        <v>7.89</v>
      </c>
      <c r="G1636">
        <v>37.43</v>
      </c>
      <c r="H1636">
        <v>2844.68</v>
      </c>
    </row>
    <row r="1637" spans="1:8" x14ac:dyDescent="0.35">
      <c r="A1637" t="s">
        <v>5</v>
      </c>
      <c r="B1637" t="s">
        <v>12</v>
      </c>
      <c r="C1637" t="s">
        <v>9</v>
      </c>
      <c r="D1637">
        <v>138</v>
      </c>
      <c r="E1637">
        <v>1</v>
      </c>
      <c r="F1637">
        <v>0.72</v>
      </c>
      <c r="G1637">
        <v>28.33</v>
      </c>
      <c r="H1637">
        <v>3909.54</v>
      </c>
    </row>
    <row r="1638" spans="1:8" x14ac:dyDescent="0.35">
      <c r="A1638" t="s">
        <v>7</v>
      </c>
      <c r="B1638" t="s">
        <v>12</v>
      </c>
      <c r="C1638" t="s">
        <v>10</v>
      </c>
      <c r="D1638">
        <v>122</v>
      </c>
      <c r="E1638">
        <v>11</v>
      </c>
      <c r="F1638">
        <v>9.02</v>
      </c>
      <c r="G1638">
        <v>25.5</v>
      </c>
      <c r="H1638">
        <v>3111</v>
      </c>
    </row>
    <row r="1639" spans="1:8" x14ac:dyDescent="0.35">
      <c r="A1639" t="s">
        <v>6</v>
      </c>
      <c r="B1639" t="s">
        <v>12</v>
      </c>
      <c r="C1639" t="s">
        <v>11</v>
      </c>
      <c r="D1639">
        <v>297</v>
      </c>
      <c r="E1639">
        <v>14</v>
      </c>
      <c r="F1639">
        <v>4.71</v>
      </c>
      <c r="G1639">
        <v>64.34</v>
      </c>
      <c r="H1639">
        <v>19108.98</v>
      </c>
    </row>
    <row r="1640" spans="1:8" x14ac:dyDescent="0.35">
      <c r="A1640" t="s">
        <v>6</v>
      </c>
      <c r="B1640" t="s">
        <v>12</v>
      </c>
      <c r="C1640" t="s">
        <v>9</v>
      </c>
      <c r="D1640">
        <v>265</v>
      </c>
      <c r="E1640">
        <v>14</v>
      </c>
      <c r="F1640">
        <v>5.28</v>
      </c>
      <c r="G1640">
        <v>62.82</v>
      </c>
      <c r="H1640">
        <v>16647.3</v>
      </c>
    </row>
    <row r="1641" spans="1:8" x14ac:dyDescent="0.35">
      <c r="A1641" t="s">
        <v>6</v>
      </c>
      <c r="B1641" t="s">
        <v>12</v>
      </c>
      <c r="C1641" t="s">
        <v>9</v>
      </c>
      <c r="D1641">
        <v>56</v>
      </c>
      <c r="E1641">
        <v>1</v>
      </c>
      <c r="F1641">
        <v>1.79</v>
      </c>
      <c r="G1641">
        <v>26.94</v>
      </c>
      <c r="H1641">
        <v>1508.64</v>
      </c>
    </row>
    <row r="1642" spans="1:8" x14ac:dyDescent="0.35">
      <c r="A1642" t="s">
        <v>6</v>
      </c>
      <c r="B1642" t="s">
        <v>12</v>
      </c>
      <c r="C1642" t="s">
        <v>11</v>
      </c>
      <c r="D1642">
        <v>218</v>
      </c>
      <c r="E1642">
        <v>20</v>
      </c>
      <c r="F1642">
        <v>9.17</v>
      </c>
      <c r="G1642">
        <v>59.57</v>
      </c>
      <c r="H1642">
        <v>12986.26</v>
      </c>
    </row>
    <row r="1643" spans="1:8" x14ac:dyDescent="0.35">
      <c r="A1643" t="s">
        <v>6</v>
      </c>
      <c r="B1643" t="s">
        <v>12</v>
      </c>
      <c r="C1643" t="s">
        <v>9</v>
      </c>
      <c r="D1643">
        <v>146</v>
      </c>
      <c r="E1643">
        <v>8</v>
      </c>
      <c r="F1643">
        <v>5.48</v>
      </c>
      <c r="G1643">
        <v>50.03</v>
      </c>
      <c r="H1643">
        <v>7304.38</v>
      </c>
    </row>
    <row r="1644" spans="1:8" x14ac:dyDescent="0.35">
      <c r="A1644" t="s">
        <v>6</v>
      </c>
      <c r="B1644" t="s">
        <v>12</v>
      </c>
      <c r="C1644" t="s">
        <v>9</v>
      </c>
      <c r="D1644">
        <v>123</v>
      </c>
      <c r="E1644">
        <v>0</v>
      </c>
      <c r="F1644">
        <v>0</v>
      </c>
      <c r="G1644">
        <v>23.12</v>
      </c>
      <c r="H1644">
        <v>2843.76</v>
      </c>
    </row>
    <row r="1645" spans="1:8" x14ac:dyDescent="0.35">
      <c r="A1645" t="s">
        <v>6</v>
      </c>
      <c r="B1645" t="s">
        <v>12</v>
      </c>
      <c r="C1645" t="s">
        <v>9</v>
      </c>
      <c r="D1645">
        <v>137</v>
      </c>
      <c r="E1645">
        <v>7</v>
      </c>
      <c r="F1645">
        <v>5.1100000000000003</v>
      </c>
      <c r="G1645">
        <v>29.27</v>
      </c>
      <c r="H1645">
        <v>4009.99</v>
      </c>
    </row>
    <row r="1646" spans="1:8" x14ac:dyDescent="0.35">
      <c r="A1646" t="s">
        <v>6</v>
      </c>
      <c r="B1646" t="s">
        <v>12</v>
      </c>
      <c r="C1646" t="s">
        <v>9</v>
      </c>
      <c r="D1646">
        <v>77</v>
      </c>
      <c r="E1646">
        <v>7</v>
      </c>
      <c r="F1646">
        <v>9.09</v>
      </c>
      <c r="G1646">
        <v>23.34</v>
      </c>
      <c r="H1646">
        <v>1797.18</v>
      </c>
    </row>
    <row r="1647" spans="1:8" x14ac:dyDescent="0.35">
      <c r="A1647" t="s">
        <v>7</v>
      </c>
      <c r="B1647" t="s">
        <v>12</v>
      </c>
      <c r="C1647" t="s">
        <v>9</v>
      </c>
      <c r="D1647">
        <v>72</v>
      </c>
      <c r="E1647">
        <v>6</v>
      </c>
      <c r="F1647">
        <v>8.33</v>
      </c>
      <c r="G1647">
        <v>40.799999999999997</v>
      </c>
      <c r="H1647">
        <v>2937.6</v>
      </c>
    </row>
    <row r="1648" spans="1:8" x14ac:dyDescent="0.35">
      <c r="A1648" t="s">
        <v>6</v>
      </c>
      <c r="B1648" t="s">
        <v>12</v>
      </c>
      <c r="C1648" t="s">
        <v>11</v>
      </c>
      <c r="D1648">
        <v>120</v>
      </c>
      <c r="E1648">
        <v>2</v>
      </c>
      <c r="F1648">
        <v>1.67</v>
      </c>
      <c r="G1648">
        <v>58.63</v>
      </c>
      <c r="H1648">
        <v>7035.6</v>
      </c>
    </row>
    <row r="1649" spans="1:8" x14ac:dyDescent="0.35">
      <c r="A1649" t="s">
        <v>8</v>
      </c>
      <c r="B1649" t="s">
        <v>12</v>
      </c>
      <c r="C1649" t="s">
        <v>9</v>
      </c>
      <c r="D1649">
        <v>77</v>
      </c>
      <c r="E1649">
        <v>2</v>
      </c>
      <c r="F1649">
        <v>2.6</v>
      </c>
      <c r="G1649">
        <v>15.21</v>
      </c>
      <c r="H1649">
        <v>1171.17</v>
      </c>
    </row>
    <row r="1650" spans="1:8" x14ac:dyDescent="0.35">
      <c r="A1650" t="s">
        <v>5</v>
      </c>
      <c r="B1650" t="s">
        <v>12</v>
      </c>
      <c r="C1650" t="s">
        <v>9</v>
      </c>
      <c r="D1650">
        <v>280</v>
      </c>
      <c r="E1650">
        <v>20</v>
      </c>
      <c r="F1650">
        <v>7.14</v>
      </c>
      <c r="G1650">
        <v>25.7</v>
      </c>
      <c r="H1650">
        <v>7196</v>
      </c>
    </row>
    <row r="1651" spans="1:8" x14ac:dyDescent="0.35">
      <c r="A1651" t="s">
        <v>7</v>
      </c>
      <c r="B1651" t="s">
        <v>12</v>
      </c>
      <c r="C1651" t="s">
        <v>9</v>
      </c>
      <c r="D1651">
        <v>101</v>
      </c>
      <c r="E1651">
        <v>3</v>
      </c>
      <c r="F1651">
        <v>2.97</v>
      </c>
      <c r="G1651">
        <v>11.09</v>
      </c>
      <c r="H1651">
        <v>1120.0899999999999</v>
      </c>
    </row>
    <row r="1652" spans="1:8" x14ac:dyDescent="0.35">
      <c r="A1652" t="s">
        <v>5</v>
      </c>
      <c r="B1652" t="s">
        <v>12</v>
      </c>
      <c r="C1652" t="s">
        <v>9</v>
      </c>
      <c r="D1652">
        <v>256</v>
      </c>
      <c r="E1652">
        <v>11</v>
      </c>
      <c r="F1652">
        <v>4.3</v>
      </c>
      <c r="G1652">
        <v>35.57</v>
      </c>
      <c r="H1652">
        <v>9105.92</v>
      </c>
    </row>
    <row r="1653" spans="1:8" x14ac:dyDescent="0.35">
      <c r="A1653" t="s">
        <v>8</v>
      </c>
      <c r="B1653" t="s">
        <v>12</v>
      </c>
      <c r="C1653" t="s">
        <v>9</v>
      </c>
      <c r="D1653">
        <v>241</v>
      </c>
      <c r="E1653">
        <v>6</v>
      </c>
      <c r="F1653">
        <v>2.4900000000000002</v>
      </c>
      <c r="G1653">
        <v>64.48</v>
      </c>
      <c r="H1653">
        <v>15539.68</v>
      </c>
    </row>
    <row r="1654" spans="1:8" x14ac:dyDescent="0.35">
      <c r="A1654" t="s">
        <v>8</v>
      </c>
      <c r="B1654" t="s">
        <v>12</v>
      </c>
      <c r="C1654" t="s">
        <v>9</v>
      </c>
      <c r="D1654">
        <v>293</v>
      </c>
      <c r="E1654">
        <v>14</v>
      </c>
      <c r="F1654">
        <v>4.78</v>
      </c>
      <c r="G1654">
        <v>54.21</v>
      </c>
      <c r="H1654">
        <v>15883.53</v>
      </c>
    </row>
    <row r="1655" spans="1:8" x14ac:dyDescent="0.35">
      <c r="A1655" t="s">
        <v>7</v>
      </c>
      <c r="B1655" t="s">
        <v>12</v>
      </c>
      <c r="C1655" t="s">
        <v>9</v>
      </c>
      <c r="D1655">
        <v>84</v>
      </c>
      <c r="E1655">
        <v>6</v>
      </c>
      <c r="F1655">
        <v>7.14</v>
      </c>
      <c r="G1655">
        <v>27.59</v>
      </c>
      <c r="H1655">
        <v>2317.56</v>
      </c>
    </row>
    <row r="1656" spans="1:8" x14ac:dyDescent="0.35">
      <c r="A1656" t="s">
        <v>7</v>
      </c>
      <c r="B1656" t="s">
        <v>12</v>
      </c>
      <c r="C1656" t="s">
        <v>10</v>
      </c>
      <c r="D1656">
        <v>121</v>
      </c>
      <c r="E1656">
        <v>4</v>
      </c>
      <c r="F1656">
        <v>3.31</v>
      </c>
      <c r="G1656">
        <v>5.13</v>
      </c>
      <c r="H1656">
        <v>620.73</v>
      </c>
    </row>
    <row r="1657" spans="1:8" x14ac:dyDescent="0.35">
      <c r="A1657" t="s">
        <v>5</v>
      </c>
      <c r="B1657" t="s">
        <v>12</v>
      </c>
      <c r="C1657" t="s">
        <v>9</v>
      </c>
      <c r="D1657">
        <v>175</v>
      </c>
      <c r="E1657">
        <v>9</v>
      </c>
      <c r="F1657">
        <v>5.14</v>
      </c>
      <c r="G1657">
        <v>69.63</v>
      </c>
      <c r="H1657">
        <v>12185.25</v>
      </c>
    </row>
    <row r="1658" spans="1:8" x14ac:dyDescent="0.35">
      <c r="A1658" t="s">
        <v>6</v>
      </c>
      <c r="B1658" t="s">
        <v>12</v>
      </c>
      <c r="C1658" t="s">
        <v>9</v>
      </c>
      <c r="D1658">
        <v>259</v>
      </c>
      <c r="E1658">
        <v>23</v>
      </c>
      <c r="F1658">
        <v>8.8800000000000008</v>
      </c>
      <c r="G1658">
        <v>9.31</v>
      </c>
      <c r="H1658">
        <v>2411.29</v>
      </c>
    </row>
    <row r="1659" spans="1:8" x14ac:dyDescent="0.35">
      <c r="A1659" t="s">
        <v>7</v>
      </c>
      <c r="B1659" t="s">
        <v>12</v>
      </c>
      <c r="C1659" t="s">
        <v>9</v>
      </c>
      <c r="D1659">
        <v>155</v>
      </c>
      <c r="E1659">
        <v>7</v>
      </c>
      <c r="F1659">
        <v>4.5199999999999996</v>
      </c>
      <c r="G1659">
        <v>42.71</v>
      </c>
      <c r="H1659">
        <v>6620.05</v>
      </c>
    </row>
    <row r="1660" spans="1:8" x14ac:dyDescent="0.35">
      <c r="A1660" t="s">
        <v>7</v>
      </c>
      <c r="B1660" t="s">
        <v>12</v>
      </c>
      <c r="C1660" t="s">
        <v>10</v>
      </c>
      <c r="D1660">
        <v>222</v>
      </c>
      <c r="E1660">
        <v>10</v>
      </c>
      <c r="F1660">
        <v>4.5</v>
      </c>
      <c r="G1660">
        <v>35.479999999999997</v>
      </c>
      <c r="H1660">
        <v>7876.56</v>
      </c>
    </row>
    <row r="1661" spans="1:8" x14ac:dyDescent="0.35">
      <c r="A1661" t="s">
        <v>7</v>
      </c>
      <c r="B1661" t="s">
        <v>12</v>
      </c>
      <c r="C1661" t="s">
        <v>9</v>
      </c>
      <c r="D1661">
        <v>216</v>
      </c>
      <c r="E1661">
        <v>2</v>
      </c>
      <c r="F1661">
        <v>0.93</v>
      </c>
      <c r="G1661">
        <v>64.040000000000006</v>
      </c>
      <c r="H1661">
        <v>13832.64</v>
      </c>
    </row>
    <row r="1662" spans="1:8" x14ac:dyDescent="0.35">
      <c r="A1662" t="s">
        <v>6</v>
      </c>
      <c r="B1662" t="s">
        <v>12</v>
      </c>
      <c r="C1662" t="s">
        <v>11</v>
      </c>
      <c r="D1662">
        <v>133</v>
      </c>
      <c r="E1662">
        <v>10</v>
      </c>
      <c r="F1662">
        <v>7.52</v>
      </c>
      <c r="G1662">
        <v>27.65</v>
      </c>
      <c r="H1662">
        <v>3677.45</v>
      </c>
    </row>
    <row r="1663" spans="1:8" x14ac:dyDescent="0.35">
      <c r="A1663" t="s">
        <v>7</v>
      </c>
      <c r="B1663" t="s">
        <v>12</v>
      </c>
      <c r="C1663" t="s">
        <v>10</v>
      </c>
      <c r="D1663">
        <v>196</v>
      </c>
      <c r="E1663">
        <v>19</v>
      </c>
      <c r="F1663">
        <v>9.69</v>
      </c>
      <c r="G1663">
        <v>54.69</v>
      </c>
      <c r="H1663">
        <v>10719.24</v>
      </c>
    </row>
    <row r="1664" spans="1:8" x14ac:dyDescent="0.35">
      <c r="A1664" t="s">
        <v>7</v>
      </c>
      <c r="B1664" t="s">
        <v>12</v>
      </c>
      <c r="C1664" t="s">
        <v>9</v>
      </c>
      <c r="D1664">
        <v>120</v>
      </c>
      <c r="E1664">
        <v>10</v>
      </c>
      <c r="F1664">
        <v>8.33</v>
      </c>
      <c r="G1664">
        <v>56.84</v>
      </c>
      <c r="H1664">
        <v>6820.8</v>
      </c>
    </row>
    <row r="1665" spans="1:8" x14ac:dyDescent="0.35">
      <c r="A1665" t="s">
        <v>7</v>
      </c>
      <c r="B1665" t="s">
        <v>12</v>
      </c>
      <c r="C1665" t="s">
        <v>10</v>
      </c>
      <c r="D1665">
        <v>198</v>
      </c>
      <c r="E1665">
        <v>12</v>
      </c>
      <c r="F1665">
        <v>6.06</v>
      </c>
      <c r="G1665">
        <v>41.57</v>
      </c>
      <c r="H1665">
        <v>8230.86</v>
      </c>
    </row>
    <row r="1666" spans="1:8" x14ac:dyDescent="0.35">
      <c r="A1666" t="s">
        <v>5</v>
      </c>
      <c r="B1666" t="s">
        <v>12</v>
      </c>
      <c r="C1666" t="s">
        <v>9</v>
      </c>
      <c r="D1666">
        <v>113</v>
      </c>
      <c r="E1666">
        <v>2</v>
      </c>
      <c r="F1666">
        <v>1.77</v>
      </c>
      <c r="G1666">
        <v>54.83</v>
      </c>
      <c r="H1666">
        <v>6195.79</v>
      </c>
    </row>
    <row r="1667" spans="1:8" x14ac:dyDescent="0.35">
      <c r="A1667" t="s">
        <v>7</v>
      </c>
      <c r="B1667" t="s">
        <v>12</v>
      </c>
      <c r="C1667" t="s">
        <v>10</v>
      </c>
      <c r="D1667">
        <v>75</v>
      </c>
      <c r="E1667">
        <v>6</v>
      </c>
      <c r="F1667">
        <v>8</v>
      </c>
      <c r="G1667">
        <v>19.88</v>
      </c>
      <c r="H1667">
        <v>1491</v>
      </c>
    </row>
    <row r="1668" spans="1:8" x14ac:dyDescent="0.35">
      <c r="A1668" t="s">
        <v>6</v>
      </c>
      <c r="B1668" t="s">
        <v>12</v>
      </c>
      <c r="C1668" t="s">
        <v>9</v>
      </c>
      <c r="D1668">
        <v>298</v>
      </c>
      <c r="E1668">
        <v>24</v>
      </c>
      <c r="F1668">
        <v>8.0500000000000007</v>
      </c>
      <c r="G1668">
        <v>51.96</v>
      </c>
      <c r="H1668">
        <v>15484.08</v>
      </c>
    </row>
    <row r="1669" spans="1:8" x14ac:dyDescent="0.35">
      <c r="A1669" t="s">
        <v>5</v>
      </c>
      <c r="B1669" t="s">
        <v>12</v>
      </c>
      <c r="C1669" t="s">
        <v>9</v>
      </c>
      <c r="D1669">
        <v>123</v>
      </c>
      <c r="E1669">
        <v>12</v>
      </c>
      <c r="F1669">
        <v>9.76</v>
      </c>
      <c r="G1669">
        <v>46.65</v>
      </c>
      <c r="H1669">
        <v>5737.95</v>
      </c>
    </row>
    <row r="1670" spans="1:8" x14ac:dyDescent="0.35">
      <c r="A1670" t="s">
        <v>5</v>
      </c>
      <c r="B1670" t="s">
        <v>12</v>
      </c>
      <c r="C1670" t="s">
        <v>9</v>
      </c>
      <c r="D1670">
        <v>289</v>
      </c>
      <c r="E1670">
        <v>3</v>
      </c>
      <c r="F1670">
        <v>1.04</v>
      </c>
      <c r="G1670">
        <v>51.57</v>
      </c>
      <c r="H1670">
        <v>14903.73</v>
      </c>
    </row>
    <row r="1671" spans="1:8" x14ac:dyDescent="0.35">
      <c r="A1671" t="s">
        <v>7</v>
      </c>
      <c r="B1671" t="s">
        <v>12</v>
      </c>
      <c r="C1671" t="s">
        <v>9</v>
      </c>
      <c r="D1671">
        <v>233</v>
      </c>
      <c r="E1671">
        <v>2</v>
      </c>
      <c r="F1671">
        <v>0.86</v>
      </c>
      <c r="G1671">
        <v>59.6</v>
      </c>
      <c r="H1671">
        <v>13886.8</v>
      </c>
    </row>
    <row r="1672" spans="1:8" x14ac:dyDescent="0.35">
      <c r="A1672" t="s">
        <v>6</v>
      </c>
      <c r="B1672" t="s">
        <v>12</v>
      </c>
      <c r="C1672" t="s">
        <v>9</v>
      </c>
      <c r="D1672">
        <v>81</v>
      </c>
      <c r="E1672">
        <v>5</v>
      </c>
      <c r="F1672">
        <v>6.17</v>
      </c>
      <c r="G1672">
        <v>9.44</v>
      </c>
      <c r="H1672">
        <v>764.64</v>
      </c>
    </row>
    <row r="1673" spans="1:8" x14ac:dyDescent="0.35">
      <c r="A1673" t="s">
        <v>6</v>
      </c>
      <c r="B1673" t="s">
        <v>12</v>
      </c>
      <c r="C1673" t="s">
        <v>9</v>
      </c>
      <c r="D1673">
        <v>200</v>
      </c>
      <c r="E1673">
        <v>15</v>
      </c>
      <c r="F1673">
        <v>7.5</v>
      </c>
      <c r="G1673">
        <v>56.22</v>
      </c>
      <c r="H1673">
        <v>11244</v>
      </c>
    </row>
    <row r="1674" spans="1:8" x14ac:dyDescent="0.35">
      <c r="A1674" t="s">
        <v>6</v>
      </c>
      <c r="B1674" t="s">
        <v>12</v>
      </c>
      <c r="C1674" t="s">
        <v>11</v>
      </c>
      <c r="D1674">
        <v>230</v>
      </c>
      <c r="E1674">
        <v>22</v>
      </c>
      <c r="F1674">
        <v>9.57</v>
      </c>
      <c r="G1674">
        <v>5.51</v>
      </c>
      <c r="H1674">
        <v>1267.3</v>
      </c>
    </row>
    <row r="1675" spans="1:8" x14ac:dyDescent="0.35">
      <c r="A1675" t="s">
        <v>7</v>
      </c>
      <c r="B1675" t="s">
        <v>12</v>
      </c>
      <c r="C1675" t="s">
        <v>9</v>
      </c>
      <c r="D1675">
        <v>296</v>
      </c>
      <c r="E1675">
        <v>1</v>
      </c>
      <c r="F1675">
        <v>0.34</v>
      </c>
      <c r="G1675">
        <v>47.12</v>
      </c>
      <c r="H1675">
        <v>13947.52</v>
      </c>
    </row>
    <row r="1676" spans="1:8" x14ac:dyDescent="0.35">
      <c r="A1676" t="s">
        <v>7</v>
      </c>
      <c r="B1676" t="s">
        <v>12</v>
      </c>
      <c r="C1676" t="s">
        <v>9</v>
      </c>
      <c r="D1676">
        <v>185</v>
      </c>
      <c r="E1676">
        <v>9</v>
      </c>
      <c r="F1676">
        <v>4.8600000000000003</v>
      </c>
      <c r="G1676">
        <v>27.68</v>
      </c>
      <c r="H1676">
        <v>5120.8</v>
      </c>
    </row>
    <row r="1677" spans="1:8" x14ac:dyDescent="0.35">
      <c r="A1677" t="s">
        <v>5</v>
      </c>
      <c r="B1677" t="s">
        <v>12</v>
      </c>
      <c r="C1677" t="s">
        <v>9</v>
      </c>
      <c r="D1677">
        <v>195</v>
      </c>
      <c r="E1677">
        <v>11</v>
      </c>
      <c r="F1677">
        <v>5.64</v>
      </c>
      <c r="G1677">
        <v>45.93</v>
      </c>
      <c r="H1677">
        <v>8956.35</v>
      </c>
    </row>
    <row r="1678" spans="1:8" x14ac:dyDescent="0.35">
      <c r="A1678" t="s">
        <v>5</v>
      </c>
      <c r="B1678" t="s">
        <v>12</v>
      </c>
      <c r="C1678" t="s">
        <v>9</v>
      </c>
      <c r="D1678">
        <v>278</v>
      </c>
      <c r="E1678">
        <v>0</v>
      </c>
      <c r="F1678">
        <v>0</v>
      </c>
      <c r="G1678">
        <v>14</v>
      </c>
      <c r="H1678">
        <v>3892</v>
      </c>
    </row>
    <row r="1679" spans="1:8" x14ac:dyDescent="0.35">
      <c r="A1679" t="s">
        <v>7</v>
      </c>
      <c r="B1679" t="s">
        <v>12</v>
      </c>
      <c r="C1679" t="s">
        <v>10</v>
      </c>
      <c r="D1679">
        <v>293</v>
      </c>
      <c r="E1679">
        <v>1</v>
      </c>
      <c r="F1679">
        <v>0.34</v>
      </c>
      <c r="G1679">
        <v>16.53</v>
      </c>
      <c r="H1679">
        <v>4843.29</v>
      </c>
    </row>
    <row r="1680" spans="1:8" x14ac:dyDescent="0.35">
      <c r="A1680" t="s">
        <v>6</v>
      </c>
      <c r="B1680" t="s">
        <v>12</v>
      </c>
      <c r="C1680" t="s">
        <v>9</v>
      </c>
      <c r="D1680">
        <v>153</v>
      </c>
      <c r="E1680">
        <v>9</v>
      </c>
      <c r="F1680">
        <v>5.88</v>
      </c>
      <c r="G1680">
        <v>43.06</v>
      </c>
      <c r="H1680">
        <v>6588.18</v>
      </c>
    </row>
    <row r="1681" spans="1:8" x14ac:dyDescent="0.35">
      <c r="A1681" t="s">
        <v>5</v>
      </c>
      <c r="B1681" t="s">
        <v>12</v>
      </c>
      <c r="C1681" t="s">
        <v>9</v>
      </c>
      <c r="D1681">
        <v>295</v>
      </c>
      <c r="E1681">
        <v>18</v>
      </c>
      <c r="F1681">
        <v>6.1</v>
      </c>
      <c r="G1681">
        <v>27.54</v>
      </c>
      <c r="H1681">
        <v>8124.3</v>
      </c>
    </row>
    <row r="1682" spans="1:8" x14ac:dyDescent="0.35">
      <c r="A1682" t="s">
        <v>5</v>
      </c>
      <c r="B1682" t="s">
        <v>12</v>
      </c>
      <c r="C1682" t="s">
        <v>9</v>
      </c>
      <c r="D1682">
        <v>256</v>
      </c>
      <c r="E1682">
        <v>24</v>
      </c>
      <c r="F1682">
        <v>9.3800000000000008</v>
      </c>
      <c r="G1682">
        <v>62.03</v>
      </c>
      <c r="H1682">
        <v>15879.68</v>
      </c>
    </row>
    <row r="1683" spans="1:8" x14ac:dyDescent="0.35">
      <c r="A1683" t="s">
        <v>8</v>
      </c>
      <c r="B1683" t="s">
        <v>12</v>
      </c>
      <c r="C1683" t="s">
        <v>9</v>
      </c>
      <c r="D1683">
        <v>73</v>
      </c>
      <c r="E1683">
        <v>1</v>
      </c>
      <c r="F1683">
        <v>1.37</v>
      </c>
      <c r="G1683">
        <v>31.45</v>
      </c>
      <c r="H1683">
        <v>2295.85</v>
      </c>
    </row>
    <row r="1684" spans="1:8" x14ac:dyDescent="0.35">
      <c r="A1684" t="s">
        <v>7</v>
      </c>
      <c r="B1684" t="s">
        <v>12</v>
      </c>
      <c r="C1684" t="s">
        <v>9</v>
      </c>
      <c r="D1684">
        <v>196</v>
      </c>
      <c r="E1684">
        <v>13</v>
      </c>
      <c r="F1684">
        <v>6.63</v>
      </c>
      <c r="G1684">
        <v>38.82</v>
      </c>
      <c r="H1684">
        <v>7608.72</v>
      </c>
    </row>
    <row r="1685" spans="1:8" x14ac:dyDescent="0.35">
      <c r="A1685" t="s">
        <v>6</v>
      </c>
      <c r="B1685" t="s">
        <v>12</v>
      </c>
      <c r="C1685" t="s">
        <v>9</v>
      </c>
      <c r="D1685">
        <v>207</v>
      </c>
      <c r="E1685">
        <v>7</v>
      </c>
      <c r="F1685">
        <v>3.38</v>
      </c>
      <c r="G1685">
        <v>10.51</v>
      </c>
      <c r="H1685">
        <v>2175.5700000000002</v>
      </c>
    </row>
    <row r="1686" spans="1:8" x14ac:dyDescent="0.35">
      <c r="A1686" t="s">
        <v>7</v>
      </c>
      <c r="B1686" t="s">
        <v>12</v>
      </c>
      <c r="C1686" t="s">
        <v>10</v>
      </c>
      <c r="D1686">
        <v>277</v>
      </c>
      <c r="E1686">
        <v>2</v>
      </c>
      <c r="F1686">
        <v>0.72</v>
      </c>
      <c r="G1686">
        <v>61.3</v>
      </c>
      <c r="H1686">
        <v>16980.099999999999</v>
      </c>
    </row>
    <row r="1687" spans="1:8" x14ac:dyDescent="0.35">
      <c r="A1687" t="s">
        <v>7</v>
      </c>
      <c r="B1687" t="s">
        <v>12</v>
      </c>
      <c r="C1687" t="s">
        <v>10</v>
      </c>
      <c r="D1687">
        <v>287</v>
      </c>
      <c r="E1687">
        <v>19</v>
      </c>
      <c r="F1687">
        <v>6.62</v>
      </c>
      <c r="G1687">
        <v>22.99</v>
      </c>
      <c r="H1687">
        <v>6598.13</v>
      </c>
    </row>
    <row r="1688" spans="1:8" x14ac:dyDescent="0.35">
      <c r="A1688" t="s">
        <v>7</v>
      </c>
      <c r="B1688" t="s">
        <v>12</v>
      </c>
      <c r="C1688" t="s">
        <v>10</v>
      </c>
      <c r="D1688">
        <v>150</v>
      </c>
      <c r="E1688">
        <v>1</v>
      </c>
      <c r="F1688">
        <v>0.67</v>
      </c>
      <c r="G1688">
        <v>45.67</v>
      </c>
      <c r="H1688">
        <v>6850.5</v>
      </c>
    </row>
    <row r="1689" spans="1:8" x14ac:dyDescent="0.35">
      <c r="A1689" t="s">
        <v>5</v>
      </c>
      <c r="B1689" t="s">
        <v>12</v>
      </c>
      <c r="C1689" t="s">
        <v>9</v>
      </c>
      <c r="D1689">
        <v>298</v>
      </c>
      <c r="E1689">
        <v>13</v>
      </c>
      <c r="F1689">
        <v>4.3600000000000003</v>
      </c>
      <c r="G1689">
        <v>28.52</v>
      </c>
      <c r="H1689">
        <v>8498.9599999999991</v>
      </c>
    </row>
    <row r="1690" spans="1:8" x14ac:dyDescent="0.35">
      <c r="A1690" t="s">
        <v>7</v>
      </c>
      <c r="B1690" t="s">
        <v>12</v>
      </c>
      <c r="C1690" t="s">
        <v>10</v>
      </c>
      <c r="D1690">
        <v>145</v>
      </c>
      <c r="E1690">
        <v>11</v>
      </c>
      <c r="F1690">
        <v>7.59</v>
      </c>
      <c r="G1690">
        <v>41.55</v>
      </c>
      <c r="H1690">
        <v>6024.75</v>
      </c>
    </row>
    <row r="1691" spans="1:8" x14ac:dyDescent="0.35">
      <c r="A1691" t="s">
        <v>8</v>
      </c>
      <c r="B1691" t="s">
        <v>12</v>
      </c>
      <c r="C1691" t="s">
        <v>9</v>
      </c>
      <c r="D1691">
        <v>284</v>
      </c>
      <c r="E1691">
        <v>9</v>
      </c>
      <c r="F1691">
        <v>3.17</v>
      </c>
      <c r="G1691">
        <v>53.35</v>
      </c>
      <c r="H1691">
        <v>15151.4</v>
      </c>
    </row>
    <row r="1692" spans="1:8" x14ac:dyDescent="0.35">
      <c r="A1692" t="s">
        <v>6</v>
      </c>
      <c r="B1692" t="s">
        <v>12</v>
      </c>
      <c r="C1692" t="s">
        <v>9</v>
      </c>
      <c r="D1692">
        <v>181</v>
      </c>
      <c r="E1692">
        <v>7</v>
      </c>
      <c r="F1692">
        <v>3.87</v>
      </c>
      <c r="G1692">
        <v>17.510000000000002</v>
      </c>
      <c r="H1692">
        <v>3169.31</v>
      </c>
    </row>
    <row r="1693" spans="1:8" x14ac:dyDescent="0.35">
      <c r="A1693" t="s">
        <v>6</v>
      </c>
      <c r="B1693" t="s">
        <v>12</v>
      </c>
      <c r="C1693" t="s">
        <v>11</v>
      </c>
      <c r="D1693">
        <v>180</v>
      </c>
      <c r="E1693">
        <v>3</v>
      </c>
      <c r="F1693">
        <v>1.67</v>
      </c>
      <c r="G1693">
        <v>33.799999999999997</v>
      </c>
      <c r="H1693">
        <v>6084</v>
      </c>
    </row>
    <row r="1694" spans="1:8" x14ac:dyDescent="0.35">
      <c r="A1694" t="s">
        <v>7</v>
      </c>
      <c r="B1694" t="s">
        <v>12</v>
      </c>
      <c r="C1694" t="s">
        <v>10</v>
      </c>
      <c r="D1694">
        <v>102</v>
      </c>
      <c r="E1694">
        <v>6</v>
      </c>
      <c r="F1694">
        <v>5.88</v>
      </c>
      <c r="G1694">
        <v>48.56</v>
      </c>
      <c r="H1694">
        <v>4953.12</v>
      </c>
    </row>
    <row r="1695" spans="1:8" x14ac:dyDescent="0.35">
      <c r="A1695" t="s">
        <v>6</v>
      </c>
      <c r="B1695" t="s">
        <v>12</v>
      </c>
      <c r="C1695" t="s">
        <v>11</v>
      </c>
      <c r="D1695">
        <v>129</v>
      </c>
      <c r="E1695">
        <v>1</v>
      </c>
      <c r="F1695">
        <v>0.78</v>
      </c>
      <c r="G1695">
        <v>28.7</v>
      </c>
      <c r="H1695">
        <v>3702.3</v>
      </c>
    </row>
    <row r="1696" spans="1:8" x14ac:dyDescent="0.35">
      <c r="A1696" t="s">
        <v>6</v>
      </c>
      <c r="B1696" t="s">
        <v>12</v>
      </c>
      <c r="C1696" t="s">
        <v>9</v>
      </c>
      <c r="D1696">
        <v>118</v>
      </c>
      <c r="E1696">
        <v>8</v>
      </c>
      <c r="F1696">
        <v>6.78</v>
      </c>
      <c r="G1696">
        <v>29.56</v>
      </c>
      <c r="H1696">
        <v>3488.08</v>
      </c>
    </row>
    <row r="1697" spans="1:8" x14ac:dyDescent="0.35">
      <c r="A1697" t="s">
        <v>8</v>
      </c>
      <c r="B1697" t="s">
        <v>12</v>
      </c>
      <c r="C1697" t="s">
        <v>9</v>
      </c>
      <c r="D1697">
        <v>260</v>
      </c>
      <c r="E1697">
        <v>12</v>
      </c>
      <c r="F1697">
        <v>4.62</v>
      </c>
      <c r="G1697">
        <v>68.27</v>
      </c>
      <c r="H1697">
        <v>17750.2</v>
      </c>
    </row>
    <row r="1698" spans="1:8" x14ac:dyDescent="0.35">
      <c r="A1698" t="s">
        <v>6</v>
      </c>
      <c r="B1698" t="s">
        <v>12</v>
      </c>
      <c r="C1698" t="s">
        <v>11</v>
      </c>
      <c r="D1698">
        <v>88</v>
      </c>
      <c r="E1698">
        <v>4</v>
      </c>
      <c r="F1698">
        <v>4.55</v>
      </c>
      <c r="G1698">
        <v>20.51</v>
      </c>
      <c r="H1698">
        <v>1804.88</v>
      </c>
    </row>
    <row r="1699" spans="1:8" x14ac:dyDescent="0.35">
      <c r="A1699" t="s">
        <v>7</v>
      </c>
      <c r="B1699" t="s">
        <v>12</v>
      </c>
      <c r="C1699" t="s">
        <v>10</v>
      </c>
      <c r="D1699">
        <v>228</v>
      </c>
      <c r="E1699">
        <v>0</v>
      </c>
      <c r="F1699">
        <v>0</v>
      </c>
      <c r="G1699">
        <v>52.53</v>
      </c>
      <c r="H1699">
        <v>11976.84</v>
      </c>
    </row>
    <row r="1700" spans="1:8" x14ac:dyDescent="0.35">
      <c r="A1700" t="s">
        <v>7</v>
      </c>
      <c r="B1700" t="s">
        <v>12</v>
      </c>
      <c r="C1700" t="s">
        <v>10</v>
      </c>
      <c r="D1700">
        <v>112</v>
      </c>
      <c r="E1700">
        <v>6</v>
      </c>
      <c r="F1700">
        <v>5.36</v>
      </c>
      <c r="G1700">
        <v>31.98</v>
      </c>
      <c r="H1700">
        <v>3581.76</v>
      </c>
    </row>
    <row r="1701" spans="1:8" x14ac:dyDescent="0.35">
      <c r="A1701" t="s">
        <v>6</v>
      </c>
      <c r="B1701" t="s">
        <v>12</v>
      </c>
      <c r="C1701" t="s">
        <v>11</v>
      </c>
      <c r="D1701">
        <v>145</v>
      </c>
      <c r="E1701">
        <v>2</v>
      </c>
      <c r="F1701">
        <v>1.38</v>
      </c>
      <c r="G1701">
        <v>30.54</v>
      </c>
      <c r="H1701">
        <v>4428.3</v>
      </c>
    </row>
    <row r="1702" spans="1:8" x14ac:dyDescent="0.35">
      <c r="A1702" t="s">
        <v>7</v>
      </c>
      <c r="B1702" t="s">
        <v>12</v>
      </c>
      <c r="C1702" t="s">
        <v>10</v>
      </c>
      <c r="D1702">
        <v>175</v>
      </c>
      <c r="E1702">
        <v>16</v>
      </c>
      <c r="F1702">
        <v>9.14</v>
      </c>
      <c r="G1702">
        <v>53.54</v>
      </c>
      <c r="H1702">
        <v>9369.5</v>
      </c>
    </row>
    <row r="1703" spans="1:8" x14ac:dyDescent="0.35">
      <c r="A1703" t="s">
        <v>7</v>
      </c>
      <c r="B1703" t="s">
        <v>12</v>
      </c>
      <c r="C1703" t="s">
        <v>9</v>
      </c>
      <c r="D1703">
        <v>99</v>
      </c>
      <c r="E1703">
        <v>7</v>
      </c>
      <c r="F1703">
        <v>7.07</v>
      </c>
      <c r="G1703">
        <v>43.66</v>
      </c>
      <c r="H1703">
        <v>4322.34</v>
      </c>
    </row>
    <row r="1704" spans="1:8" x14ac:dyDescent="0.35">
      <c r="A1704" t="s">
        <v>5</v>
      </c>
      <c r="B1704" t="s">
        <v>12</v>
      </c>
      <c r="C1704" t="s">
        <v>9</v>
      </c>
      <c r="D1704">
        <v>266</v>
      </c>
      <c r="E1704">
        <v>26</v>
      </c>
      <c r="F1704">
        <v>9.77</v>
      </c>
      <c r="G1704">
        <v>69.63</v>
      </c>
      <c r="H1704">
        <v>18521.580000000002</v>
      </c>
    </row>
    <row r="1705" spans="1:8" x14ac:dyDescent="0.35">
      <c r="A1705" t="s">
        <v>7</v>
      </c>
      <c r="B1705" t="s">
        <v>12</v>
      </c>
      <c r="C1705" t="s">
        <v>10</v>
      </c>
      <c r="D1705">
        <v>195</v>
      </c>
      <c r="E1705">
        <v>6</v>
      </c>
      <c r="F1705">
        <v>3.08</v>
      </c>
      <c r="G1705">
        <v>52.82</v>
      </c>
      <c r="H1705">
        <v>10299.9</v>
      </c>
    </row>
    <row r="1706" spans="1:8" x14ac:dyDescent="0.35">
      <c r="A1706" t="s">
        <v>5</v>
      </c>
      <c r="B1706" t="s">
        <v>12</v>
      </c>
      <c r="C1706" t="s">
        <v>9</v>
      </c>
      <c r="D1706">
        <v>133</v>
      </c>
      <c r="E1706">
        <v>3</v>
      </c>
      <c r="F1706">
        <v>2.2599999999999998</v>
      </c>
      <c r="G1706">
        <v>68.45</v>
      </c>
      <c r="H1706">
        <v>9103.85</v>
      </c>
    </row>
    <row r="1707" spans="1:8" x14ac:dyDescent="0.35">
      <c r="A1707" t="s">
        <v>7</v>
      </c>
      <c r="B1707" t="s">
        <v>12</v>
      </c>
      <c r="C1707" t="s">
        <v>9</v>
      </c>
      <c r="D1707">
        <v>170</v>
      </c>
      <c r="E1707">
        <v>13</v>
      </c>
      <c r="F1707">
        <v>7.65</v>
      </c>
      <c r="G1707">
        <v>63.52</v>
      </c>
      <c r="H1707">
        <v>10798.4</v>
      </c>
    </row>
    <row r="1708" spans="1:8" x14ac:dyDescent="0.35">
      <c r="A1708" t="s">
        <v>8</v>
      </c>
      <c r="B1708" t="s">
        <v>12</v>
      </c>
      <c r="C1708" t="s">
        <v>9</v>
      </c>
      <c r="D1708">
        <v>88</v>
      </c>
      <c r="E1708">
        <v>3</v>
      </c>
      <c r="F1708">
        <v>3.41</v>
      </c>
      <c r="G1708">
        <v>6.41</v>
      </c>
      <c r="H1708">
        <v>564.08000000000004</v>
      </c>
    </row>
    <row r="1709" spans="1:8" x14ac:dyDescent="0.35">
      <c r="A1709" t="s">
        <v>6</v>
      </c>
      <c r="B1709" t="s">
        <v>12</v>
      </c>
      <c r="C1709" t="s">
        <v>9</v>
      </c>
      <c r="D1709">
        <v>215</v>
      </c>
      <c r="E1709">
        <v>17</v>
      </c>
      <c r="F1709">
        <v>7.91</v>
      </c>
      <c r="G1709">
        <v>16.489999999999998</v>
      </c>
      <c r="H1709">
        <v>3545.35</v>
      </c>
    </row>
    <row r="1710" spans="1:8" x14ac:dyDescent="0.35">
      <c r="A1710" t="s">
        <v>8</v>
      </c>
      <c r="B1710" t="s">
        <v>12</v>
      </c>
      <c r="C1710" t="s">
        <v>9</v>
      </c>
      <c r="D1710">
        <v>84</v>
      </c>
      <c r="E1710">
        <v>7</v>
      </c>
      <c r="F1710">
        <v>8.33</v>
      </c>
      <c r="G1710">
        <v>11.65</v>
      </c>
      <c r="H1710">
        <v>978.6</v>
      </c>
    </row>
    <row r="1711" spans="1:8" x14ac:dyDescent="0.35">
      <c r="A1711" t="s">
        <v>7</v>
      </c>
      <c r="B1711" t="s">
        <v>12</v>
      </c>
      <c r="C1711" t="s">
        <v>10</v>
      </c>
      <c r="D1711">
        <v>282</v>
      </c>
      <c r="E1711">
        <v>13</v>
      </c>
      <c r="F1711">
        <v>4.6100000000000003</v>
      </c>
      <c r="G1711">
        <v>52.69</v>
      </c>
      <c r="H1711">
        <v>14858.58</v>
      </c>
    </row>
    <row r="1712" spans="1:8" x14ac:dyDescent="0.35">
      <c r="A1712" t="s">
        <v>7</v>
      </c>
      <c r="B1712" t="s">
        <v>12</v>
      </c>
      <c r="C1712" t="s">
        <v>10</v>
      </c>
      <c r="D1712">
        <v>276</v>
      </c>
      <c r="E1712">
        <v>27</v>
      </c>
      <c r="F1712">
        <v>9.7799999999999994</v>
      </c>
      <c r="G1712">
        <v>25.5</v>
      </c>
      <c r="H1712">
        <v>7038</v>
      </c>
    </row>
    <row r="1713" spans="1:8" x14ac:dyDescent="0.35">
      <c r="A1713" t="s">
        <v>5</v>
      </c>
      <c r="B1713" t="s">
        <v>12</v>
      </c>
      <c r="C1713" t="s">
        <v>9</v>
      </c>
      <c r="D1713">
        <v>115</v>
      </c>
      <c r="E1713">
        <v>2</v>
      </c>
      <c r="F1713">
        <v>1.74</v>
      </c>
      <c r="G1713">
        <v>15.29</v>
      </c>
      <c r="H1713">
        <v>1758.35</v>
      </c>
    </row>
    <row r="1714" spans="1:8" x14ac:dyDescent="0.35">
      <c r="A1714" t="s">
        <v>7</v>
      </c>
      <c r="B1714" t="s">
        <v>12</v>
      </c>
      <c r="C1714" t="s">
        <v>9</v>
      </c>
      <c r="D1714">
        <v>156</v>
      </c>
      <c r="E1714">
        <v>7</v>
      </c>
      <c r="F1714">
        <v>4.49</v>
      </c>
      <c r="G1714">
        <v>11.03</v>
      </c>
      <c r="H1714">
        <v>1720.68</v>
      </c>
    </row>
    <row r="1715" spans="1:8" x14ac:dyDescent="0.35">
      <c r="A1715" t="s">
        <v>7</v>
      </c>
      <c r="B1715" t="s">
        <v>12</v>
      </c>
      <c r="C1715" t="s">
        <v>10</v>
      </c>
      <c r="D1715">
        <v>149</v>
      </c>
      <c r="E1715">
        <v>14</v>
      </c>
      <c r="F1715">
        <v>9.4</v>
      </c>
      <c r="G1715">
        <v>58.45</v>
      </c>
      <c r="H1715">
        <v>8709.0499999999993</v>
      </c>
    </row>
    <row r="1716" spans="1:8" x14ac:dyDescent="0.35">
      <c r="A1716" t="s">
        <v>6</v>
      </c>
      <c r="B1716" t="s">
        <v>12</v>
      </c>
      <c r="C1716" t="s">
        <v>9</v>
      </c>
      <c r="D1716">
        <v>124</v>
      </c>
      <c r="E1716">
        <v>5</v>
      </c>
      <c r="F1716">
        <v>4.03</v>
      </c>
      <c r="G1716">
        <v>66.66</v>
      </c>
      <c r="H1716">
        <v>8265.84</v>
      </c>
    </row>
    <row r="1717" spans="1:8" x14ac:dyDescent="0.35">
      <c r="A1717" t="s">
        <v>6</v>
      </c>
      <c r="B1717" t="s">
        <v>12</v>
      </c>
      <c r="C1717" t="s">
        <v>9</v>
      </c>
      <c r="D1717">
        <v>141</v>
      </c>
      <c r="E1717">
        <v>14</v>
      </c>
      <c r="F1717">
        <v>9.93</v>
      </c>
      <c r="G1717">
        <v>33.97</v>
      </c>
      <c r="H1717">
        <v>4789.7700000000004</v>
      </c>
    </row>
    <row r="1718" spans="1:8" x14ac:dyDescent="0.35">
      <c r="A1718" t="s">
        <v>7</v>
      </c>
      <c r="B1718" t="s">
        <v>12</v>
      </c>
      <c r="C1718" t="s">
        <v>9</v>
      </c>
      <c r="D1718">
        <v>70</v>
      </c>
      <c r="E1718">
        <v>3</v>
      </c>
      <c r="F1718">
        <v>4.29</v>
      </c>
      <c r="G1718">
        <v>57.6</v>
      </c>
      <c r="H1718">
        <v>4032</v>
      </c>
    </row>
    <row r="1719" spans="1:8" x14ac:dyDescent="0.35">
      <c r="A1719" t="s">
        <v>7</v>
      </c>
      <c r="B1719" t="s">
        <v>12</v>
      </c>
      <c r="C1719" t="s">
        <v>9</v>
      </c>
      <c r="D1719">
        <v>244</v>
      </c>
      <c r="E1719">
        <v>24</v>
      </c>
      <c r="F1719">
        <v>9.84</v>
      </c>
      <c r="G1719">
        <v>36.69</v>
      </c>
      <c r="H1719">
        <v>8952.36</v>
      </c>
    </row>
    <row r="1720" spans="1:8" x14ac:dyDescent="0.35">
      <c r="A1720" t="s">
        <v>7</v>
      </c>
      <c r="B1720" t="s">
        <v>12</v>
      </c>
      <c r="C1720" t="s">
        <v>10</v>
      </c>
      <c r="D1720">
        <v>58</v>
      </c>
      <c r="E1720">
        <v>5</v>
      </c>
      <c r="F1720">
        <v>8.6199999999999992</v>
      </c>
      <c r="G1720">
        <v>12.69</v>
      </c>
      <c r="H1720">
        <v>736.02</v>
      </c>
    </row>
    <row r="1721" spans="1:8" x14ac:dyDescent="0.35">
      <c r="A1721" t="s">
        <v>8</v>
      </c>
      <c r="B1721" t="s">
        <v>12</v>
      </c>
      <c r="C1721" t="s">
        <v>9</v>
      </c>
      <c r="D1721">
        <v>254</v>
      </c>
      <c r="E1721">
        <v>19</v>
      </c>
      <c r="F1721">
        <v>7.48</v>
      </c>
      <c r="G1721">
        <v>51.01</v>
      </c>
      <c r="H1721">
        <v>12956.54</v>
      </c>
    </row>
    <row r="1722" spans="1:8" x14ac:dyDescent="0.35">
      <c r="A1722" t="s">
        <v>7</v>
      </c>
      <c r="B1722" t="s">
        <v>12</v>
      </c>
      <c r="C1722" t="s">
        <v>9</v>
      </c>
      <c r="D1722">
        <v>116</v>
      </c>
      <c r="E1722">
        <v>9</v>
      </c>
      <c r="F1722">
        <v>7.76</v>
      </c>
      <c r="G1722">
        <v>47.19</v>
      </c>
      <c r="H1722">
        <v>5474.04</v>
      </c>
    </row>
    <row r="1723" spans="1:8" x14ac:dyDescent="0.35">
      <c r="A1723" t="s">
        <v>7</v>
      </c>
      <c r="B1723" t="s">
        <v>12</v>
      </c>
      <c r="C1723" t="s">
        <v>9</v>
      </c>
      <c r="D1723">
        <v>265</v>
      </c>
      <c r="E1723">
        <v>1</v>
      </c>
      <c r="F1723">
        <v>0.38</v>
      </c>
      <c r="G1723">
        <v>21.15</v>
      </c>
      <c r="H1723">
        <v>5604.75</v>
      </c>
    </row>
    <row r="1724" spans="1:8" x14ac:dyDescent="0.35">
      <c r="A1724" t="s">
        <v>7</v>
      </c>
      <c r="B1724" t="s">
        <v>12</v>
      </c>
      <c r="C1724" t="s">
        <v>9</v>
      </c>
      <c r="D1724">
        <v>251</v>
      </c>
      <c r="E1724">
        <v>10</v>
      </c>
      <c r="F1724">
        <v>3.98</v>
      </c>
      <c r="G1724">
        <v>16.36</v>
      </c>
      <c r="H1724">
        <v>4106.3599999999997</v>
      </c>
    </row>
    <row r="1725" spans="1:8" x14ac:dyDescent="0.35">
      <c r="A1725" t="s">
        <v>6</v>
      </c>
      <c r="B1725" t="s">
        <v>12</v>
      </c>
      <c r="C1725" t="s">
        <v>9</v>
      </c>
      <c r="D1725">
        <v>133</v>
      </c>
      <c r="E1725">
        <v>11</v>
      </c>
      <c r="F1725">
        <v>8.27</v>
      </c>
      <c r="G1725">
        <v>28.86</v>
      </c>
      <c r="H1725">
        <v>3838.38</v>
      </c>
    </row>
    <row r="1726" spans="1:8" x14ac:dyDescent="0.35">
      <c r="A1726" t="s">
        <v>7</v>
      </c>
      <c r="B1726" t="s">
        <v>12</v>
      </c>
      <c r="C1726" t="s">
        <v>9</v>
      </c>
      <c r="D1726">
        <v>179</v>
      </c>
      <c r="E1726">
        <v>8</v>
      </c>
      <c r="F1726">
        <v>4.47</v>
      </c>
      <c r="G1726">
        <v>5.36</v>
      </c>
      <c r="H1726">
        <v>959.44</v>
      </c>
    </row>
    <row r="1727" spans="1:8" x14ac:dyDescent="0.35">
      <c r="A1727" t="s">
        <v>7</v>
      </c>
      <c r="B1727" t="s">
        <v>12</v>
      </c>
      <c r="C1727" t="s">
        <v>10</v>
      </c>
      <c r="D1727">
        <v>53</v>
      </c>
      <c r="E1727">
        <v>2</v>
      </c>
      <c r="F1727">
        <v>3.77</v>
      </c>
      <c r="G1727">
        <v>64.900000000000006</v>
      </c>
      <c r="H1727">
        <v>3439.7</v>
      </c>
    </row>
    <row r="1728" spans="1:8" x14ac:dyDescent="0.35">
      <c r="A1728" t="s">
        <v>6</v>
      </c>
      <c r="B1728" t="s">
        <v>12</v>
      </c>
      <c r="C1728" t="s">
        <v>11</v>
      </c>
      <c r="D1728">
        <v>109</v>
      </c>
      <c r="E1728">
        <v>9</v>
      </c>
      <c r="F1728">
        <v>8.26</v>
      </c>
      <c r="G1728">
        <v>51.77</v>
      </c>
      <c r="H1728">
        <v>5642.93</v>
      </c>
    </row>
    <row r="1729" spans="1:8" x14ac:dyDescent="0.35">
      <c r="A1729" t="s">
        <v>7</v>
      </c>
      <c r="B1729" t="s">
        <v>12</v>
      </c>
      <c r="C1729" t="s">
        <v>9</v>
      </c>
      <c r="D1729">
        <v>143</v>
      </c>
      <c r="E1729">
        <v>10</v>
      </c>
      <c r="F1729">
        <v>6.99</v>
      </c>
      <c r="G1729">
        <v>34.869999999999997</v>
      </c>
      <c r="H1729">
        <v>4986.41</v>
      </c>
    </row>
    <row r="1730" spans="1:8" x14ac:dyDescent="0.35">
      <c r="A1730" t="s">
        <v>6</v>
      </c>
      <c r="B1730" t="s">
        <v>12</v>
      </c>
      <c r="C1730" t="s">
        <v>9</v>
      </c>
      <c r="D1730">
        <v>133</v>
      </c>
      <c r="E1730">
        <v>4</v>
      </c>
      <c r="F1730">
        <v>3.01</v>
      </c>
      <c r="G1730">
        <v>28.62</v>
      </c>
      <c r="H1730">
        <v>3806.46</v>
      </c>
    </row>
    <row r="1731" spans="1:8" x14ac:dyDescent="0.35">
      <c r="A1731" t="s">
        <v>6</v>
      </c>
      <c r="B1731" t="s">
        <v>12</v>
      </c>
      <c r="C1731" t="s">
        <v>9</v>
      </c>
      <c r="D1731">
        <v>274</v>
      </c>
      <c r="E1731">
        <v>9</v>
      </c>
      <c r="F1731">
        <v>3.28</v>
      </c>
      <c r="G1731">
        <v>60.9</v>
      </c>
      <c r="H1731">
        <v>16686.599999999999</v>
      </c>
    </row>
    <row r="1732" spans="1:8" x14ac:dyDescent="0.35">
      <c r="A1732" t="s">
        <v>7</v>
      </c>
      <c r="B1732" t="s">
        <v>12</v>
      </c>
      <c r="C1732" t="s">
        <v>10</v>
      </c>
      <c r="D1732">
        <v>239</v>
      </c>
      <c r="E1732">
        <v>13</v>
      </c>
      <c r="F1732">
        <v>5.44</v>
      </c>
      <c r="G1732">
        <v>69.16</v>
      </c>
      <c r="H1732">
        <v>16529.240000000002</v>
      </c>
    </row>
    <row r="1733" spans="1:8" x14ac:dyDescent="0.35">
      <c r="A1733" t="s">
        <v>6</v>
      </c>
      <c r="B1733" t="s">
        <v>12</v>
      </c>
      <c r="C1733" t="s">
        <v>11</v>
      </c>
      <c r="D1733">
        <v>204</v>
      </c>
      <c r="E1733">
        <v>10</v>
      </c>
      <c r="F1733">
        <v>4.9000000000000004</v>
      </c>
      <c r="G1733">
        <v>50.18</v>
      </c>
      <c r="H1733">
        <v>10236.719999999999</v>
      </c>
    </row>
    <row r="1734" spans="1:8" x14ac:dyDescent="0.35">
      <c r="A1734" t="s">
        <v>6</v>
      </c>
      <c r="B1734" t="s">
        <v>12</v>
      </c>
      <c r="C1734" t="s">
        <v>9</v>
      </c>
      <c r="D1734">
        <v>93</v>
      </c>
      <c r="E1734">
        <v>2</v>
      </c>
      <c r="F1734">
        <v>2.15</v>
      </c>
      <c r="G1734">
        <v>24.84</v>
      </c>
      <c r="H1734">
        <v>2310.12</v>
      </c>
    </row>
    <row r="1735" spans="1:8" x14ac:dyDescent="0.35">
      <c r="A1735" t="s">
        <v>7</v>
      </c>
      <c r="B1735" t="s">
        <v>12</v>
      </c>
      <c r="C1735" t="s">
        <v>10</v>
      </c>
      <c r="D1735">
        <v>195</v>
      </c>
      <c r="E1735">
        <v>14</v>
      </c>
      <c r="F1735">
        <v>7.18</v>
      </c>
      <c r="G1735">
        <v>18.440000000000001</v>
      </c>
      <c r="H1735">
        <v>3595.8</v>
      </c>
    </row>
    <row r="1736" spans="1:8" x14ac:dyDescent="0.35">
      <c r="A1736" t="s">
        <v>6</v>
      </c>
      <c r="B1736" t="s">
        <v>12</v>
      </c>
      <c r="C1736" t="s">
        <v>11</v>
      </c>
      <c r="D1736">
        <v>142</v>
      </c>
      <c r="E1736">
        <v>4</v>
      </c>
      <c r="F1736">
        <v>2.82</v>
      </c>
      <c r="G1736">
        <v>61.91</v>
      </c>
      <c r="H1736">
        <v>8791.2199999999993</v>
      </c>
    </row>
    <row r="1737" spans="1:8" x14ac:dyDescent="0.35">
      <c r="A1737" t="s">
        <v>6</v>
      </c>
      <c r="B1737" t="s">
        <v>12</v>
      </c>
      <c r="C1737" t="s">
        <v>9</v>
      </c>
      <c r="D1737">
        <v>281</v>
      </c>
      <c r="E1737">
        <v>9</v>
      </c>
      <c r="F1737">
        <v>3.2</v>
      </c>
      <c r="G1737">
        <v>48.79</v>
      </c>
      <c r="H1737">
        <v>13709.99</v>
      </c>
    </row>
    <row r="1738" spans="1:8" x14ac:dyDescent="0.35">
      <c r="A1738" t="s">
        <v>5</v>
      </c>
      <c r="B1738" t="s">
        <v>12</v>
      </c>
      <c r="C1738" t="s">
        <v>9</v>
      </c>
      <c r="D1738">
        <v>147</v>
      </c>
      <c r="E1738">
        <v>4</v>
      </c>
      <c r="F1738">
        <v>2.72</v>
      </c>
      <c r="G1738">
        <v>65.209999999999994</v>
      </c>
      <c r="H1738">
        <v>9585.8700000000008</v>
      </c>
    </row>
    <row r="1739" spans="1:8" x14ac:dyDescent="0.35">
      <c r="A1739" t="s">
        <v>7</v>
      </c>
      <c r="B1739" t="s">
        <v>12</v>
      </c>
      <c r="C1739" t="s">
        <v>10</v>
      </c>
      <c r="D1739">
        <v>186</v>
      </c>
      <c r="E1739">
        <v>4</v>
      </c>
      <c r="F1739">
        <v>2.15</v>
      </c>
      <c r="G1739">
        <v>5.99</v>
      </c>
      <c r="H1739">
        <v>1114.1400000000001</v>
      </c>
    </row>
    <row r="1740" spans="1:8" x14ac:dyDescent="0.35">
      <c r="A1740" t="s">
        <v>5</v>
      </c>
      <c r="B1740" t="s">
        <v>12</v>
      </c>
      <c r="C1740" t="s">
        <v>9</v>
      </c>
      <c r="D1740">
        <v>238</v>
      </c>
      <c r="E1740">
        <v>17</v>
      </c>
      <c r="F1740">
        <v>7.14</v>
      </c>
      <c r="G1740">
        <v>10.58</v>
      </c>
      <c r="H1740">
        <v>2518.04</v>
      </c>
    </row>
    <row r="1741" spans="1:8" x14ac:dyDescent="0.35">
      <c r="A1741" t="s">
        <v>6</v>
      </c>
      <c r="B1741" t="s">
        <v>12</v>
      </c>
      <c r="C1741" t="s">
        <v>11</v>
      </c>
      <c r="D1741">
        <v>89</v>
      </c>
      <c r="E1741">
        <v>0</v>
      </c>
      <c r="F1741">
        <v>0</v>
      </c>
      <c r="G1741">
        <v>17.57</v>
      </c>
      <c r="H1741">
        <v>1563.73</v>
      </c>
    </row>
    <row r="1742" spans="1:8" x14ac:dyDescent="0.35">
      <c r="A1742" t="s">
        <v>6</v>
      </c>
      <c r="B1742" t="s">
        <v>12</v>
      </c>
      <c r="C1742" t="s">
        <v>9</v>
      </c>
      <c r="D1742">
        <v>56</v>
      </c>
      <c r="E1742">
        <v>1</v>
      </c>
      <c r="F1742">
        <v>1.79</v>
      </c>
      <c r="G1742">
        <v>26.25</v>
      </c>
      <c r="H1742">
        <v>1470</v>
      </c>
    </row>
    <row r="1743" spans="1:8" x14ac:dyDescent="0.35">
      <c r="A1743" t="s">
        <v>6</v>
      </c>
      <c r="B1743" t="s">
        <v>12</v>
      </c>
      <c r="C1743" t="s">
        <v>9</v>
      </c>
      <c r="D1743">
        <v>230</v>
      </c>
      <c r="E1743">
        <v>8</v>
      </c>
      <c r="F1743">
        <v>3.48</v>
      </c>
      <c r="G1743">
        <v>22.48</v>
      </c>
      <c r="H1743">
        <v>5170.3999999999996</v>
      </c>
    </row>
    <row r="1744" spans="1:8" x14ac:dyDescent="0.35">
      <c r="A1744" t="s">
        <v>7</v>
      </c>
      <c r="B1744" t="s">
        <v>12</v>
      </c>
      <c r="C1744" t="s">
        <v>10</v>
      </c>
      <c r="D1744">
        <v>149</v>
      </c>
      <c r="E1744">
        <v>8</v>
      </c>
      <c r="F1744">
        <v>5.37</v>
      </c>
      <c r="G1744">
        <v>59.22</v>
      </c>
      <c r="H1744">
        <v>8823.7800000000007</v>
      </c>
    </row>
    <row r="1745" spans="1:8" x14ac:dyDescent="0.35">
      <c r="A1745" t="s">
        <v>8</v>
      </c>
      <c r="B1745" t="s">
        <v>12</v>
      </c>
      <c r="C1745" t="s">
        <v>9</v>
      </c>
      <c r="D1745">
        <v>105</v>
      </c>
      <c r="E1745">
        <v>2</v>
      </c>
      <c r="F1745">
        <v>1.9</v>
      </c>
      <c r="G1745">
        <v>61.8</v>
      </c>
      <c r="H1745">
        <v>6489</v>
      </c>
    </row>
    <row r="1746" spans="1:8" x14ac:dyDescent="0.35">
      <c r="A1746" t="s">
        <v>7</v>
      </c>
      <c r="B1746" t="s">
        <v>12</v>
      </c>
      <c r="C1746" t="s">
        <v>9</v>
      </c>
      <c r="D1746">
        <v>200</v>
      </c>
      <c r="E1746">
        <v>7</v>
      </c>
      <c r="F1746">
        <v>3.5</v>
      </c>
      <c r="G1746">
        <v>45.19</v>
      </c>
      <c r="H1746">
        <v>9038</v>
      </c>
    </row>
    <row r="1747" spans="1:8" x14ac:dyDescent="0.35">
      <c r="A1747" t="s">
        <v>6</v>
      </c>
      <c r="B1747" t="s">
        <v>12</v>
      </c>
      <c r="C1747" t="s">
        <v>11</v>
      </c>
      <c r="D1747">
        <v>155</v>
      </c>
      <c r="E1747">
        <v>7</v>
      </c>
      <c r="F1747">
        <v>4.5199999999999996</v>
      </c>
      <c r="G1747">
        <v>32.64</v>
      </c>
      <c r="H1747">
        <v>5059.2</v>
      </c>
    </row>
    <row r="1748" spans="1:8" x14ac:dyDescent="0.35">
      <c r="A1748" t="s">
        <v>5</v>
      </c>
      <c r="B1748" t="s">
        <v>12</v>
      </c>
      <c r="C1748" t="s">
        <v>9</v>
      </c>
      <c r="D1748">
        <v>216</v>
      </c>
      <c r="E1748">
        <v>17</v>
      </c>
      <c r="F1748">
        <v>7.87</v>
      </c>
      <c r="G1748">
        <v>41.53</v>
      </c>
      <c r="H1748">
        <v>8970.48</v>
      </c>
    </row>
    <row r="1749" spans="1:8" x14ac:dyDescent="0.35">
      <c r="A1749" t="s">
        <v>6</v>
      </c>
      <c r="B1749" t="s">
        <v>12</v>
      </c>
      <c r="C1749" t="s">
        <v>11</v>
      </c>
      <c r="D1749">
        <v>223</v>
      </c>
      <c r="E1749">
        <v>19</v>
      </c>
      <c r="F1749">
        <v>8.52</v>
      </c>
      <c r="G1749">
        <v>62.55</v>
      </c>
      <c r="H1749">
        <v>13948.65</v>
      </c>
    </row>
    <row r="1750" spans="1:8" x14ac:dyDescent="0.35">
      <c r="A1750" t="s">
        <v>7</v>
      </c>
      <c r="B1750" t="s">
        <v>12</v>
      </c>
      <c r="C1750" t="s">
        <v>10</v>
      </c>
      <c r="D1750">
        <v>155</v>
      </c>
      <c r="E1750">
        <v>5</v>
      </c>
      <c r="F1750">
        <v>3.23</v>
      </c>
      <c r="G1750">
        <v>52.96</v>
      </c>
      <c r="H1750">
        <v>8208.7999999999993</v>
      </c>
    </row>
    <row r="1751" spans="1:8" x14ac:dyDescent="0.35">
      <c r="A1751" t="s">
        <v>7</v>
      </c>
      <c r="B1751" t="s">
        <v>12</v>
      </c>
      <c r="C1751" t="s">
        <v>9</v>
      </c>
      <c r="D1751">
        <v>96</v>
      </c>
      <c r="E1751">
        <v>8</v>
      </c>
      <c r="F1751">
        <v>8.33</v>
      </c>
      <c r="G1751">
        <v>18.239999999999998</v>
      </c>
      <c r="H1751">
        <v>1751.04</v>
      </c>
    </row>
    <row r="1752" spans="1:8" x14ac:dyDescent="0.35">
      <c r="A1752" t="s">
        <v>5</v>
      </c>
      <c r="B1752" t="s">
        <v>12</v>
      </c>
      <c r="C1752" t="s">
        <v>9</v>
      </c>
      <c r="D1752">
        <v>199</v>
      </c>
      <c r="E1752">
        <v>3</v>
      </c>
      <c r="F1752">
        <v>1.51</v>
      </c>
      <c r="G1752">
        <v>59.48</v>
      </c>
      <c r="H1752">
        <v>11836.52</v>
      </c>
    </row>
    <row r="1753" spans="1:8" x14ac:dyDescent="0.35">
      <c r="A1753" t="s">
        <v>5</v>
      </c>
      <c r="B1753" t="s">
        <v>12</v>
      </c>
      <c r="C1753" t="s">
        <v>9</v>
      </c>
      <c r="D1753">
        <v>175</v>
      </c>
      <c r="E1753">
        <v>4</v>
      </c>
      <c r="F1753">
        <v>2.29</v>
      </c>
      <c r="G1753">
        <v>64.95</v>
      </c>
      <c r="H1753">
        <v>11366.25</v>
      </c>
    </row>
    <row r="1754" spans="1:8" x14ac:dyDescent="0.35">
      <c r="A1754" t="s">
        <v>7</v>
      </c>
      <c r="B1754" t="s">
        <v>12</v>
      </c>
      <c r="C1754" t="s">
        <v>9</v>
      </c>
      <c r="D1754">
        <v>87</v>
      </c>
      <c r="E1754">
        <v>8</v>
      </c>
      <c r="F1754">
        <v>9.1999999999999993</v>
      </c>
      <c r="G1754">
        <v>21.24</v>
      </c>
      <c r="H1754">
        <v>1847.88</v>
      </c>
    </row>
    <row r="1755" spans="1:8" x14ac:dyDescent="0.35">
      <c r="A1755" t="s">
        <v>5</v>
      </c>
      <c r="B1755" t="s">
        <v>12</v>
      </c>
      <c r="C1755" t="s">
        <v>9</v>
      </c>
      <c r="D1755">
        <v>277</v>
      </c>
      <c r="E1755">
        <v>26</v>
      </c>
      <c r="F1755">
        <v>9.39</v>
      </c>
      <c r="G1755">
        <v>17.45</v>
      </c>
      <c r="H1755">
        <v>4833.6499999999996</v>
      </c>
    </row>
    <row r="1756" spans="1:8" x14ac:dyDescent="0.35">
      <c r="A1756" t="s">
        <v>5</v>
      </c>
      <c r="B1756" t="s">
        <v>12</v>
      </c>
      <c r="C1756" t="s">
        <v>9</v>
      </c>
      <c r="D1756">
        <v>132</v>
      </c>
      <c r="E1756">
        <v>11</v>
      </c>
      <c r="F1756">
        <v>8.33</v>
      </c>
      <c r="G1756">
        <v>43.51</v>
      </c>
      <c r="H1756">
        <v>5743.32</v>
      </c>
    </row>
    <row r="1757" spans="1:8" x14ac:dyDescent="0.35">
      <c r="A1757" t="s">
        <v>6</v>
      </c>
      <c r="B1757" t="s">
        <v>12</v>
      </c>
      <c r="C1757" t="s">
        <v>9</v>
      </c>
      <c r="D1757">
        <v>267</v>
      </c>
      <c r="E1757">
        <v>9</v>
      </c>
      <c r="F1757">
        <v>3.37</v>
      </c>
      <c r="G1757">
        <v>23.43</v>
      </c>
      <c r="H1757">
        <v>6255.81</v>
      </c>
    </row>
    <row r="1758" spans="1:8" x14ac:dyDescent="0.35">
      <c r="A1758" t="s">
        <v>8</v>
      </c>
      <c r="B1758" t="s">
        <v>12</v>
      </c>
      <c r="C1758" t="s">
        <v>9</v>
      </c>
      <c r="D1758">
        <v>73</v>
      </c>
      <c r="E1758">
        <v>6</v>
      </c>
      <c r="F1758">
        <v>8.2200000000000006</v>
      </c>
      <c r="G1758">
        <v>32.6</v>
      </c>
      <c r="H1758">
        <v>2379.8000000000002</v>
      </c>
    </row>
    <row r="1759" spans="1:8" x14ac:dyDescent="0.35">
      <c r="A1759" t="s">
        <v>7</v>
      </c>
      <c r="B1759" t="s">
        <v>12</v>
      </c>
      <c r="C1759" t="s">
        <v>10</v>
      </c>
      <c r="D1759">
        <v>294</v>
      </c>
      <c r="E1759">
        <v>12</v>
      </c>
      <c r="F1759">
        <v>4.08</v>
      </c>
      <c r="G1759">
        <v>66.72</v>
      </c>
      <c r="H1759">
        <v>19615.68</v>
      </c>
    </row>
    <row r="1760" spans="1:8" x14ac:dyDescent="0.35">
      <c r="A1760" t="s">
        <v>7</v>
      </c>
      <c r="B1760" t="s">
        <v>12</v>
      </c>
      <c r="C1760" t="s">
        <v>9</v>
      </c>
      <c r="D1760">
        <v>122</v>
      </c>
      <c r="E1760">
        <v>8</v>
      </c>
      <c r="F1760">
        <v>6.56</v>
      </c>
      <c r="G1760">
        <v>48.48</v>
      </c>
      <c r="H1760">
        <v>5914.56</v>
      </c>
    </row>
    <row r="1761" spans="1:8" x14ac:dyDescent="0.35">
      <c r="A1761" t="s">
        <v>5</v>
      </c>
      <c r="B1761" t="s">
        <v>12</v>
      </c>
      <c r="C1761" t="s">
        <v>9</v>
      </c>
      <c r="D1761">
        <v>221</v>
      </c>
      <c r="E1761">
        <v>2</v>
      </c>
      <c r="F1761">
        <v>0.9</v>
      </c>
      <c r="G1761">
        <v>6.73</v>
      </c>
      <c r="H1761">
        <v>1487.33</v>
      </c>
    </row>
    <row r="1762" spans="1:8" x14ac:dyDescent="0.35">
      <c r="A1762" t="s">
        <v>6</v>
      </c>
      <c r="B1762" t="s">
        <v>12</v>
      </c>
      <c r="C1762" t="s">
        <v>9</v>
      </c>
      <c r="D1762">
        <v>212</v>
      </c>
      <c r="E1762">
        <v>17</v>
      </c>
      <c r="F1762">
        <v>8.02</v>
      </c>
      <c r="G1762">
        <v>9.3000000000000007</v>
      </c>
      <c r="H1762">
        <v>1971.6</v>
      </c>
    </row>
    <row r="1763" spans="1:8" x14ac:dyDescent="0.35">
      <c r="A1763" t="s">
        <v>6</v>
      </c>
      <c r="B1763" t="s">
        <v>12</v>
      </c>
      <c r="C1763" t="s">
        <v>9</v>
      </c>
      <c r="D1763">
        <v>113</v>
      </c>
      <c r="E1763">
        <v>2</v>
      </c>
      <c r="F1763">
        <v>1.77</v>
      </c>
      <c r="G1763">
        <v>25.95</v>
      </c>
      <c r="H1763">
        <v>2932.35</v>
      </c>
    </row>
    <row r="1764" spans="1:8" x14ac:dyDescent="0.35">
      <c r="A1764" t="s">
        <v>7</v>
      </c>
      <c r="B1764" t="s">
        <v>12</v>
      </c>
      <c r="C1764" t="s">
        <v>9</v>
      </c>
      <c r="D1764">
        <v>89</v>
      </c>
      <c r="E1764">
        <v>1</v>
      </c>
      <c r="F1764">
        <v>1.1200000000000001</v>
      </c>
      <c r="G1764">
        <v>42.62</v>
      </c>
      <c r="H1764">
        <v>3793.18</v>
      </c>
    </row>
    <row r="1765" spans="1:8" x14ac:dyDescent="0.35">
      <c r="A1765" t="s">
        <v>7</v>
      </c>
      <c r="B1765" t="s">
        <v>12</v>
      </c>
      <c r="C1765" t="s">
        <v>10</v>
      </c>
      <c r="D1765">
        <v>120</v>
      </c>
      <c r="E1765">
        <v>11</v>
      </c>
      <c r="F1765">
        <v>9.17</v>
      </c>
      <c r="G1765">
        <v>65.069999999999993</v>
      </c>
      <c r="H1765">
        <v>7808.4</v>
      </c>
    </row>
    <row r="1766" spans="1:8" x14ac:dyDescent="0.35">
      <c r="A1766" t="s">
        <v>7</v>
      </c>
      <c r="B1766" t="s">
        <v>12</v>
      </c>
      <c r="C1766" t="s">
        <v>9</v>
      </c>
      <c r="D1766">
        <v>261</v>
      </c>
      <c r="E1766">
        <v>24</v>
      </c>
      <c r="F1766">
        <v>9.1999999999999993</v>
      </c>
      <c r="G1766">
        <v>46.19</v>
      </c>
      <c r="H1766">
        <v>12055.59</v>
      </c>
    </row>
    <row r="1767" spans="1:8" x14ac:dyDescent="0.35">
      <c r="A1767" t="s">
        <v>7</v>
      </c>
      <c r="B1767" t="s">
        <v>12</v>
      </c>
      <c r="C1767" t="s">
        <v>10</v>
      </c>
      <c r="D1767">
        <v>195</v>
      </c>
      <c r="E1767">
        <v>1</v>
      </c>
      <c r="F1767">
        <v>0.51</v>
      </c>
      <c r="G1767">
        <v>20.95</v>
      </c>
      <c r="H1767">
        <v>4085.25</v>
      </c>
    </row>
    <row r="1768" spans="1:8" x14ac:dyDescent="0.35">
      <c r="A1768" t="s">
        <v>7</v>
      </c>
      <c r="B1768" t="s">
        <v>12</v>
      </c>
      <c r="C1768" t="s">
        <v>10</v>
      </c>
      <c r="D1768">
        <v>131</v>
      </c>
      <c r="E1768">
        <v>1</v>
      </c>
      <c r="F1768">
        <v>0.76</v>
      </c>
      <c r="G1768">
        <v>54.72</v>
      </c>
      <c r="H1768">
        <v>7168.32</v>
      </c>
    </row>
    <row r="1769" spans="1:8" x14ac:dyDescent="0.35">
      <c r="A1769" t="s">
        <v>5</v>
      </c>
      <c r="B1769" t="s">
        <v>12</v>
      </c>
      <c r="C1769" t="s">
        <v>9</v>
      </c>
      <c r="D1769">
        <v>250</v>
      </c>
      <c r="E1769">
        <v>5</v>
      </c>
      <c r="F1769">
        <v>2</v>
      </c>
      <c r="G1769">
        <v>38.1</v>
      </c>
      <c r="H1769">
        <v>9525</v>
      </c>
    </row>
    <row r="1770" spans="1:8" x14ac:dyDescent="0.35">
      <c r="A1770" t="s">
        <v>7</v>
      </c>
      <c r="B1770" t="s">
        <v>12</v>
      </c>
      <c r="C1770" t="s">
        <v>9</v>
      </c>
      <c r="D1770">
        <v>196</v>
      </c>
      <c r="E1770">
        <v>4</v>
      </c>
      <c r="F1770">
        <v>2.04</v>
      </c>
      <c r="G1770">
        <v>37.29</v>
      </c>
      <c r="H1770">
        <v>7308.84</v>
      </c>
    </row>
    <row r="1771" spans="1:8" x14ac:dyDescent="0.35">
      <c r="A1771" t="s">
        <v>5</v>
      </c>
      <c r="B1771" t="s">
        <v>12</v>
      </c>
      <c r="C1771" t="s">
        <v>9</v>
      </c>
      <c r="D1771">
        <v>300</v>
      </c>
      <c r="E1771">
        <v>27</v>
      </c>
      <c r="F1771">
        <v>9</v>
      </c>
      <c r="G1771">
        <v>32.81</v>
      </c>
      <c r="H1771">
        <v>9843</v>
      </c>
    </row>
    <row r="1772" spans="1:8" x14ac:dyDescent="0.35">
      <c r="A1772" t="s">
        <v>8</v>
      </c>
      <c r="B1772" t="s">
        <v>12</v>
      </c>
      <c r="C1772" t="s">
        <v>9</v>
      </c>
      <c r="D1772">
        <v>253</v>
      </c>
      <c r="E1772">
        <v>24</v>
      </c>
      <c r="F1772">
        <v>9.49</v>
      </c>
      <c r="G1772">
        <v>21.45</v>
      </c>
      <c r="H1772">
        <v>5426.85</v>
      </c>
    </row>
    <row r="1773" spans="1:8" x14ac:dyDescent="0.35">
      <c r="A1773" t="s">
        <v>6</v>
      </c>
      <c r="B1773" t="s">
        <v>12</v>
      </c>
      <c r="C1773" t="s">
        <v>9</v>
      </c>
      <c r="D1773">
        <v>263</v>
      </c>
      <c r="E1773">
        <v>2</v>
      </c>
      <c r="F1773">
        <v>0.76</v>
      </c>
      <c r="G1773">
        <v>9.7899999999999991</v>
      </c>
      <c r="H1773">
        <v>2574.77</v>
      </c>
    </row>
    <row r="1774" spans="1:8" x14ac:dyDescent="0.35">
      <c r="A1774" t="s">
        <v>8</v>
      </c>
      <c r="B1774" t="s">
        <v>12</v>
      </c>
      <c r="C1774" t="s">
        <v>9</v>
      </c>
      <c r="D1774">
        <v>115</v>
      </c>
      <c r="E1774">
        <v>3</v>
      </c>
      <c r="F1774">
        <v>2.61</v>
      </c>
      <c r="G1774">
        <v>69.41</v>
      </c>
      <c r="H1774">
        <v>7982.15</v>
      </c>
    </row>
    <row r="1775" spans="1:8" x14ac:dyDescent="0.35">
      <c r="A1775" t="s">
        <v>8</v>
      </c>
      <c r="B1775" t="s">
        <v>12</v>
      </c>
      <c r="C1775" t="s">
        <v>9</v>
      </c>
      <c r="D1775">
        <v>108</v>
      </c>
      <c r="E1775">
        <v>9</v>
      </c>
      <c r="F1775">
        <v>8.33</v>
      </c>
      <c r="G1775">
        <v>13.33</v>
      </c>
      <c r="H1775">
        <v>1439.64</v>
      </c>
    </row>
    <row r="1776" spans="1:8" x14ac:dyDescent="0.35">
      <c r="A1776" t="s">
        <v>6</v>
      </c>
      <c r="B1776" t="s">
        <v>12</v>
      </c>
      <c r="C1776" t="s">
        <v>9</v>
      </c>
      <c r="D1776">
        <v>270</v>
      </c>
      <c r="E1776">
        <v>15</v>
      </c>
      <c r="F1776">
        <v>5.56</v>
      </c>
      <c r="G1776">
        <v>30.27</v>
      </c>
      <c r="H1776">
        <v>8172.9</v>
      </c>
    </row>
    <row r="1777" spans="1:8" x14ac:dyDescent="0.35">
      <c r="A1777" t="s">
        <v>8</v>
      </c>
      <c r="B1777" t="s">
        <v>12</v>
      </c>
      <c r="C1777" t="s">
        <v>9</v>
      </c>
      <c r="D1777">
        <v>57</v>
      </c>
      <c r="E1777">
        <v>5</v>
      </c>
      <c r="F1777">
        <v>8.77</v>
      </c>
      <c r="G1777">
        <v>38.68</v>
      </c>
      <c r="H1777">
        <v>2204.7600000000002</v>
      </c>
    </row>
    <row r="1778" spans="1:8" x14ac:dyDescent="0.35">
      <c r="A1778" t="s">
        <v>6</v>
      </c>
      <c r="B1778" t="s">
        <v>12</v>
      </c>
      <c r="C1778" t="s">
        <v>11</v>
      </c>
      <c r="D1778">
        <v>50</v>
      </c>
      <c r="E1778">
        <v>3</v>
      </c>
      <c r="F1778">
        <v>6</v>
      </c>
      <c r="G1778">
        <v>47.58</v>
      </c>
      <c r="H1778">
        <v>2379</v>
      </c>
    </row>
    <row r="1779" spans="1:8" x14ac:dyDescent="0.35">
      <c r="A1779" t="s">
        <v>8</v>
      </c>
      <c r="B1779" t="s">
        <v>12</v>
      </c>
      <c r="C1779" t="s">
        <v>9</v>
      </c>
      <c r="D1779">
        <v>145</v>
      </c>
      <c r="E1779">
        <v>4</v>
      </c>
      <c r="F1779">
        <v>2.76</v>
      </c>
      <c r="G1779">
        <v>19.21</v>
      </c>
      <c r="H1779">
        <v>2785.45</v>
      </c>
    </row>
    <row r="1780" spans="1:8" x14ac:dyDescent="0.35">
      <c r="A1780" t="s">
        <v>8</v>
      </c>
      <c r="B1780" t="s">
        <v>12</v>
      </c>
      <c r="C1780" t="s">
        <v>9</v>
      </c>
      <c r="D1780">
        <v>64</v>
      </c>
      <c r="E1780">
        <v>4</v>
      </c>
      <c r="F1780">
        <v>6.25</v>
      </c>
      <c r="G1780">
        <v>35.76</v>
      </c>
      <c r="H1780">
        <v>2288.64</v>
      </c>
    </row>
    <row r="1781" spans="1:8" x14ac:dyDescent="0.35">
      <c r="A1781" t="s">
        <v>6</v>
      </c>
      <c r="B1781" t="s">
        <v>12</v>
      </c>
      <c r="C1781" t="s">
        <v>11</v>
      </c>
      <c r="D1781">
        <v>91</v>
      </c>
      <c r="E1781">
        <v>4</v>
      </c>
      <c r="F1781">
        <v>4.4000000000000004</v>
      </c>
      <c r="G1781">
        <v>17.11</v>
      </c>
      <c r="H1781">
        <v>1557.01</v>
      </c>
    </row>
    <row r="1782" spans="1:8" x14ac:dyDescent="0.35">
      <c r="A1782" t="s">
        <v>7</v>
      </c>
      <c r="B1782" t="s">
        <v>12</v>
      </c>
      <c r="C1782" t="s">
        <v>10</v>
      </c>
      <c r="D1782">
        <v>233</v>
      </c>
      <c r="E1782">
        <v>1</v>
      </c>
      <c r="F1782">
        <v>0.43</v>
      </c>
      <c r="G1782">
        <v>44.95</v>
      </c>
      <c r="H1782">
        <v>10473.35</v>
      </c>
    </row>
    <row r="1783" spans="1:8" x14ac:dyDescent="0.35">
      <c r="A1783" t="s">
        <v>8</v>
      </c>
      <c r="B1783" t="s">
        <v>12</v>
      </c>
      <c r="C1783" t="s">
        <v>9</v>
      </c>
      <c r="D1783">
        <v>208</v>
      </c>
      <c r="E1783">
        <v>4</v>
      </c>
      <c r="F1783">
        <v>1.92</v>
      </c>
      <c r="G1783">
        <v>42.97</v>
      </c>
      <c r="H1783">
        <v>8937.76</v>
      </c>
    </row>
    <row r="1784" spans="1:8" x14ac:dyDescent="0.35">
      <c r="A1784" t="s">
        <v>7</v>
      </c>
      <c r="B1784" t="s">
        <v>12</v>
      </c>
      <c r="C1784" t="s">
        <v>9</v>
      </c>
      <c r="D1784">
        <v>256</v>
      </c>
      <c r="E1784">
        <v>20</v>
      </c>
      <c r="F1784">
        <v>7.81</v>
      </c>
      <c r="G1784">
        <v>23.81</v>
      </c>
      <c r="H1784">
        <v>6095.36</v>
      </c>
    </row>
    <row r="1785" spans="1:8" x14ac:dyDescent="0.35">
      <c r="A1785" t="s">
        <v>5</v>
      </c>
      <c r="B1785" t="s">
        <v>12</v>
      </c>
      <c r="C1785" t="s">
        <v>9</v>
      </c>
      <c r="D1785">
        <v>286</v>
      </c>
      <c r="E1785">
        <v>16</v>
      </c>
      <c r="F1785">
        <v>5.59</v>
      </c>
      <c r="G1785">
        <v>30.55</v>
      </c>
      <c r="H1785">
        <v>8737.2999999999993</v>
      </c>
    </row>
    <row r="1786" spans="1:8" x14ac:dyDescent="0.35">
      <c r="A1786" t="s">
        <v>6</v>
      </c>
      <c r="B1786" t="s">
        <v>12</v>
      </c>
      <c r="C1786" t="s">
        <v>9</v>
      </c>
      <c r="D1786">
        <v>244</v>
      </c>
      <c r="E1786">
        <v>16</v>
      </c>
      <c r="F1786">
        <v>6.56</v>
      </c>
      <c r="G1786">
        <v>40.61</v>
      </c>
      <c r="H1786">
        <v>9908.84</v>
      </c>
    </row>
    <row r="1787" spans="1:8" x14ac:dyDescent="0.35">
      <c r="A1787" t="s">
        <v>6</v>
      </c>
      <c r="B1787" t="s">
        <v>12</v>
      </c>
      <c r="C1787" t="s">
        <v>11</v>
      </c>
      <c r="D1787">
        <v>204</v>
      </c>
      <c r="E1787">
        <v>7</v>
      </c>
      <c r="F1787">
        <v>3.43</v>
      </c>
      <c r="G1787">
        <v>54.55</v>
      </c>
      <c r="H1787">
        <v>11128.2</v>
      </c>
    </row>
    <row r="1788" spans="1:8" x14ac:dyDescent="0.35">
      <c r="A1788" t="s">
        <v>8</v>
      </c>
      <c r="B1788" t="s">
        <v>12</v>
      </c>
      <c r="C1788" t="s">
        <v>9</v>
      </c>
      <c r="D1788">
        <v>296</v>
      </c>
      <c r="E1788">
        <v>5</v>
      </c>
      <c r="F1788">
        <v>1.69</v>
      </c>
      <c r="G1788">
        <v>15.37</v>
      </c>
      <c r="H1788">
        <v>4549.5200000000004</v>
      </c>
    </row>
    <row r="1789" spans="1:8" x14ac:dyDescent="0.35">
      <c r="A1789" t="s">
        <v>5</v>
      </c>
      <c r="B1789" t="s">
        <v>12</v>
      </c>
      <c r="C1789" t="s">
        <v>9</v>
      </c>
      <c r="D1789">
        <v>134</v>
      </c>
      <c r="E1789">
        <v>9</v>
      </c>
      <c r="F1789">
        <v>6.72</v>
      </c>
      <c r="G1789">
        <v>69.790000000000006</v>
      </c>
      <c r="H1789">
        <v>9351.86</v>
      </c>
    </row>
    <row r="1790" spans="1:8" x14ac:dyDescent="0.35">
      <c r="A1790" t="s">
        <v>6</v>
      </c>
      <c r="B1790" t="s">
        <v>12</v>
      </c>
      <c r="C1790" t="s">
        <v>11</v>
      </c>
      <c r="D1790">
        <v>72</v>
      </c>
      <c r="E1790">
        <v>5</v>
      </c>
      <c r="F1790">
        <v>6.94</v>
      </c>
      <c r="G1790">
        <v>56.39</v>
      </c>
      <c r="H1790">
        <v>4060.08</v>
      </c>
    </row>
    <row r="1791" spans="1:8" x14ac:dyDescent="0.35">
      <c r="A1791" t="s">
        <v>7</v>
      </c>
      <c r="B1791" t="s">
        <v>12</v>
      </c>
      <c r="C1791" t="s">
        <v>9</v>
      </c>
      <c r="D1791">
        <v>98</v>
      </c>
      <c r="E1791">
        <v>9</v>
      </c>
      <c r="F1791">
        <v>9.18</v>
      </c>
      <c r="G1791">
        <v>6.03</v>
      </c>
      <c r="H1791">
        <v>590.94000000000005</v>
      </c>
    </row>
    <row r="1792" spans="1:8" x14ac:dyDescent="0.35">
      <c r="A1792" t="s">
        <v>7</v>
      </c>
      <c r="B1792" t="s">
        <v>12</v>
      </c>
      <c r="C1792" t="s">
        <v>10</v>
      </c>
      <c r="D1792">
        <v>93</v>
      </c>
      <c r="E1792">
        <v>0</v>
      </c>
      <c r="F1792">
        <v>0</v>
      </c>
      <c r="G1792">
        <v>21.42</v>
      </c>
      <c r="H1792">
        <v>1992.06</v>
      </c>
    </row>
    <row r="1793" spans="1:8" x14ac:dyDescent="0.35">
      <c r="A1793" t="s">
        <v>6</v>
      </c>
      <c r="B1793" t="s">
        <v>12</v>
      </c>
      <c r="C1793" t="s">
        <v>9</v>
      </c>
      <c r="D1793">
        <v>123</v>
      </c>
      <c r="E1793">
        <v>11</v>
      </c>
      <c r="F1793">
        <v>8.94</v>
      </c>
      <c r="G1793">
        <v>21.54</v>
      </c>
      <c r="H1793">
        <v>2649.42</v>
      </c>
    </row>
    <row r="1794" spans="1:8" x14ac:dyDescent="0.35">
      <c r="A1794" t="s">
        <v>6</v>
      </c>
      <c r="B1794" t="s">
        <v>12</v>
      </c>
      <c r="C1794" t="s">
        <v>9</v>
      </c>
      <c r="D1794">
        <v>85</v>
      </c>
      <c r="E1794">
        <v>0</v>
      </c>
      <c r="F1794">
        <v>0</v>
      </c>
      <c r="G1794">
        <v>38.75</v>
      </c>
      <c r="H1794">
        <v>3293.75</v>
      </c>
    </row>
    <row r="1795" spans="1:8" x14ac:dyDescent="0.35">
      <c r="A1795" t="s">
        <v>6</v>
      </c>
      <c r="B1795" t="s">
        <v>12</v>
      </c>
      <c r="C1795" t="s">
        <v>11</v>
      </c>
      <c r="D1795">
        <v>140</v>
      </c>
      <c r="E1795">
        <v>9</v>
      </c>
      <c r="F1795">
        <v>6.43</v>
      </c>
      <c r="G1795">
        <v>19.16</v>
      </c>
      <c r="H1795">
        <v>2682.4</v>
      </c>
    </row>
    <row r="1796" spans="1:8" x14ac:dyDescent="0.35">
      <c r="A1796" t="s">
        <v>6</v>
      </c>
      <c r="B1796" t="s">
        <v>12</v>
      </c>
      <c r="C1796" t="s">
        <v>9</v>
      </c>
      <c r="D1796">
        <v>71</v>
      </c>
      <c r="E1796">
        <v>0</v>
      </c>
      <c r="F1796">
        <v>0</v>
      </c>
      <c r="G1796">
        <v>13.03</v>
      </c>
      <c r="H1796">
        <v>925.13</v>
      </c>
    </row>
    <row r="1797" spans="1:8" x14ac:dyDescent="0.35">
      <c r="A1797" t="s">
        <v>7</v>
      </c>
      <c r="B1797" t="s">
        <v>12</v>
      </c>
      <c r="C1797" t="s">
        <v>10</v>
      </c>
      <c r="D1797">
        <v>204</v>
      </c>
      <c r="E1797">
        <v>14</v>
      </c>
      <c r="F1797">
        <v>6.86</v>
      </c>
      <c r="G1797">
        <v>18.940000000000001</v>
      </c>
      <c r="H1797">
        <v>3863.76</v>
      </c>
    </row>
    <row r="1798" spans="1:8" x14ac:dyDescent="0.35">
      <c r="A1798" t="s">
        <v>7</v>
      </c>
      <c r="B1798" t="s">
        <v>12</v>
      </c>
      <c r="C1798" t="s">
        <v>9</v>
      </c>
      <c r="D1798">
        <v>88</v>
      </c>
      <c r="E1798">
        <v>3</v>
      </c>
      <c r="F1798">
        <v>3.41</v>
      </c>
      <c r="G1798">
        <v>38.01</v>
      </c>
      <c r="H1798">
        <v>3344.88</v>
      </c>
    </row>
    <row r="1799" spans="1:8" x14ac:dyDescent="0.35">
      <c r="A1799" t="s">
        <v>8</v>
      </c>
      <c r="B1799" t="s">
        <v>12</v>
      </c>
      <c r="C1799" t="s">
        <v>9</v>
      </c>
      <c r="D1799">
        <v>128</v>
      </c>
      <c r="E1799">
        <v>12</v>
      </c>
      <c r="F1799">
        <v>9.3800000000000008</v>
      </c>
      <c r="G1799">
        <v>33.119999999999997</v>
      </c>
      <c r="H1799">
        <v>4239.3599999999997</v>
      </c>
    </row>
    <row r="1800" spans="1:8" x14ac:dyDescent="0.35">
      <c r="A1800" t="s">
        <v>6</v>
      </c>
      <c r="B1800" t="s">
        <v>12</v>
      </c>
      <c r="C1800" t="s">
        <v>11</v>
      </c>
      <c r="D1800">
        <v>266</v>
      </c>
      <c r="E1800">
        <v>16</v>
      </c>
      <c r="F1800">
        <v>6.02</v>
      </c>
      <c r="G1800">
        <v>67.33</v>
      </c>
      <c r="H1800">
        <v>17909.78</v>
      </c>
    </row>
    <row r="1801" spans="1:8" x14ac:dyDescent="0.35">
      <c r="A1801" t="s">
        <v>8</v>
      </c>
      <c r="B1801" t="s">
        <v>12</v>
      </c>
      <c r="C1801" t="s">
        <v>9</v>
      </c>
      <c r="D1801">
        <v>159</v>
      </c>
      <c r="E1801">
        <v>12</v>
      </c>
      <c r="F1801">
        <v>7.55</v>
      </c>
      <c r="G1801">
        <v>41.02</v>
      </c>
      <c r="H1801">
        <v>6522.18</v>
      </c>
    </row>
    <row r="1802" spans="1:8" x14ac:dyDescent="0.35">
      <c r="A1802" t="s">
        <v>6</v>
      </c>
      <c r="B1802" t="s">
        <v>12</v>
      </c>
      <c r="C1802" t="s">
        <v>9</v>
      </c>
      <c r="D1802">
        <v>238</v>
      </c>
      <c r="E1802">
        <v>0</v>
      </c>
      <c r="F1802">
        <v>0</v>
      </c>
      <c r="G1802">
        <v>58.92</v>
      </c>
      <c r="H1802">
        <v>14022.96</v>
      </c>
    </row>
    <row r="1803" spans="1:8" x14ac:dyDescent="0.35">
      <c r="A1803" t="s">
        <v>5</v>
      </c>
      <c r="B1803" t="s">
        <v>12</v>
      </c>
      <c r="C1803" t="s">
        <v>9</v>
      </c>
      <c r="D1803">
        <v>283</v>
      </c>
      <c r="E1803">
        <v>21</v>
      </c>
      <c r="F1803">
        <v>7.42</v>
      </c>
      <c r="G1803">
        <v>39.340000000000003</v>
      </c>
      <c r="H1803">
        <v>11133.22</v>
      </c>
    </row>
    <row r="1804" spans="1:8" x14ac:dyDescent="0.35">
      <c r="A1804" t="s">
        <v>8</v>
      </c>
      <c r="B1804" t="s">
        <v>12</v>
      </c>
      <c r="C1804" t="s">
        <v>9</v>
      </c>
      <c r="D1804">
        <v>279</v>
      </c>
      <c r="E1804">
        <v>4</v>
      </c>
      <c r="F1804">
        <v>1.43</v>
      </c>
      <c r="G1804">
        <v>8.74</v>
      </c>
      <c r="H1804">
        <v>2438.46</v>
      </c>
    </row>
    <row r="1805" spans="1:8" x14ac:dyDescent="0.35">
      <c r="A1805" t="s">
        <v>6</v>
      </c>
      <c r="B1805" t="s">
        <v>12</v>
      </c>
      <c r="C1805" t="s">
        <v>11</v>
      </c>
      <c r="D1805">
        <v>58</v>
      </c>
      <c r="E1805">
        <v>5</v>
      </c>
      <c r="F1805">
        <v>8.6199999999999992</v>
      </c>
      <c r="G1805">
        <v>31.64</v>
      </c>
      <c r="H1805">
        <v>1835.12</v>
      </c>
    </row>
    <row r="1806" spans="1:8" x14ac:dyDescent="0.35">
      <c r="A1806" t="s">
        <v>6</v>
      </c>
      <c r="B1806" t="s">
        <v>12</v>
      </c>
      <c r="C1806" t="s">
        <v>11</v>
      </c>
      <c r="D1806">
        <v>293</v>
      </c>
      <c r="E1806">
        <v>21</v>
      </c>
      <c r="F1806">
        <v>7.17</v>
      </c>
      <c r="G1806">
        <v>12.3</v>
      </c>
      <c r="H1806">
        <v>3603.9</v>
      </c>
    </row>
    <row r="1807" spans="1:8" x14ac:dyDescent="0.35">
      <c r="A1807" t="s">
        <v>7</v>
      </c>
      <c r="B1807" t="s">
        <v>12</v>
      </c>
      <c r="C1807" t="s">
        <v>9</v>
      </c>
      <c r="D1807">
        <v>58</v>
      </c>
      <c r="E1807">
        <v>5</v>
      </c>
      <c r="F1807">
        <v>8.6199999999999992</v>
      </c>
      <c r="G1807">
        <v>7.04</v>
      </c>
      <c r="H1807">
        <v>408.32</v>
      </c>
    </row>
    <row r="1808" spans="1:8" x14ac:dyDescent="0.35">
      <c r="A1808" t="s">
        <v>5</v>
      </c>
      <c r="B1808" t="s">
        <v>12</v>
      </c>
      <c r="C1808" t="s">
        <v>9</v>
      </c>
      <c r="D1808">
        <v>220</v>
      </c>
      <c r="E1808">
        <v>4</v>
      </c>
      <c r="F1808">
        <v>1.82</v>
      </c>
      <c r="G1808">
        <v>48.81</v>
      </c>
      <c r="H1808">
        <v>10738.2</v>
      </c>
    </row>
    <row r="1809" spans="1:8" x14ac:dyDescent="0.35">
      <c r="A1809" t="s">
        <v>6</v>
      </c>
      <c r="B1809" t="s">
        <v>12</v>
      </c>
      <c r="C1809" t="s">
        <v>11</v>
      </c>
      <c r="D1809">
        <v>116</v>
      </c>
      <c r="E1809">
        <v>3</v>
      </c>
      <c r="F1809">
        <v>2.59</v>
      </c>
      <c r="G1809">
        <v>30.42</v>
      </c>
      <c r="H1809">
        <v>3528.72</v>
      </c>
    </row>
    <row r="1810" spans="1:8" x14ac:dyDescent="0.35">
      <c r="A1810" t="s">
        <v>8</v>
      </c>
      <c r="B1810" t="s">
        <v>12</v>
      </c>
      <c r="C1810" t="s">
        <v>9</v>
      </c>
      <c r="D1810">
        <v>234</v>
      </c>
      <c r="E1810">
        <v>3</v>
      </c>
      <c r="F1810">
        <v>1.28</v>
      </c>
      <c r="G1810">
        <v>24.77</v>
      </c>
      <c r="H1810">
        <v>5796.18</v>
      </c>
    </row>
    <row r="1811" spans="1:8" x14ac:dyDescent="0.35">
      <c r="A1811" t="s">
        <v>7</v>
      </c>
      <c r="B1811" t="s">
        <v>12</v>
      </c>
      <c r="C1811" t="s">
        <v>10</v>
      </c>
      <c r="D1811">
        <v>62</v>
      </c>
      <c r="E1811">
        <v>6</v>
      </c>
      <c r="F1811">
        <v>9.68</v>
      </c>
      <c r="G1811">
        <v>25.79</v>
      </c>
      <c r="H1811">
        <v>1598.98</v>
      </c>
    </row>
    <row r="1812" spans="1:8" x14ac:dyDescent="0.35">
      <c r="A1812" t="s">
        <v>7</v>
      </c>
      <c r="B1812" t="s">
        <v>12</v>
      </c>
      <c r="C1812" t="s">
        <v>9</v>
      </c>
      <c r="D1812">
        <v>106</v>
      </c>
      <c r="E1812">
        <v>7</v>
      </c>
      <c r="F1812">
        <v>6.6</v>
      </c>
      <c r="G1812">
        <v>41.91</v>
      </c>
      <c r="H1812">
        <v>4442.46</v>
      </c>
    </row>
    <row r="1813" spans="1:8" x14ac:dyDescent="0.35">
      <c r="A1813" t="s">
        <v>6</v>
      </c>
      <c r="B1813" t="s">
        <v>12</v>
      </c>
      <c r="C1813" t="s">
        <v>11</v>
      </c>
      <c r="D1813">
        <v>295</v>
      </c>
      <c r="E1813">
        <v>4</v>
      </c>
      <c r="F1813">
        <v>1.36</v>
      </c>
      <c r="G1813">
        <v>37.58</v>
      </c>
      <c r="H1813">
        <v>11086.1</v>
      </c>
    </row>
    <row r="1814" spans="1:8" x14ac:dyDescent="0.35">
      <c r="A1814" t="s">
        <v>7</v>
      </c>
      <c r="B1814" t="s">
        <v>12</v>
      </c>
      <c r="C1814" t="s">
        <v>10</v>
      </c>
      <c r="D1814">
        <v>88</v>
      </c>
      <c r="E1814">
        <v>4</v>
      </c>
      <c r="F1814">
        <v>4.55</v>
      </c>
      <c r="G1814">
        <v>34.35</v>
      </c>
      <c r="H1814">
        <v>3022.8</v>
      </c>
    </row>
    <row r="1815" spans="1:8" x14ac:dyDescent="0.35">
      <c r="A1815" t="s">
        <v>8</v>
      </c>
      <c r="B1815" t="s">
        <v>12</v>
      </c>
      <c r="C1815" t="s">
        <v>9</v>
      </c>
      <c r="D1815">
        <v>84</v>
      </c>
      <c r="E1815">
        <v>7</v>
      </c>
      <c r="F1815">
        <v>8.33</v>
      </c>
      <c r="G1815">
        <v>50.62</v>
      </c>
      <c r="H1815">
        <v>4252.08</v>
      </c>
    </row>
    <row r="1816" spans="1:8" x14ac:dyDescent="0.35">
      <c r="A1816" t="s">
        <v>5</v>
      </c>
      <c r="B1816" t="s">
        <v>12</v>
      </c>
      <c r="C1816" t="s">
        <v>9</v>
      </c>
      <c r="D1816">
        <v>172</v>
      </c>
      <c r="E1816">
        <v>9</v>
      </c>
      <c r="F1816">
        <v>5.23</v>
      </c>
      <c r="G1816">
        <v>37.590000000000003</v>
      </c>
      <c r="H1816">
        <v>6465.48</v>
      </c>
    </row>
    <row r="1817" spans="1:8" x14ac:dyDescent="0.35">
      <c r="A1817" t="s">
        <v>8</v>
      </c>
      <c r="B1817" t="s">
        <v>12</v>
      </c>
      <c r="C1817" t="s">
        <v>9</v>
      </c>
      <c r="D1817">
        <v>143</v>
      </c>
      <c r="E1817">
        <v>14</v>
      </c>
      <c r="F1817">
        <v>9.7899999999999991</v>
      </c>
      <c r="G1817">
        <v>20.74</v>
      </c>
      <c r="H1817">
        <v>2965.82</v>
      </c>
    </row>
    <row r="1818" spans="1:8" x14ac:dyDescent="0.35">
      <c r="A1818" t="s">
        <v>7</v>
      </c>
      <c r="B1818" t="s">
        <v>12</v>
      </c>
      <c r="C1818" t="s">
        <v>10</v>
      </c>
      <c r="D1818">
        <v>89</v>
      </c>
      <c r="E1818">
        <v>5</v>
      </c>
      <c r="F1818">
        <v>5.62</v>
      </c>
      <c r="G1818">
        <v>35.11</v>
      </c>
      <c r="H1818">
        <v>3124.79</v>
      </c>
    </row>
    <row r="1819" spans="1:8" x14ac:dyDescent="0.35">
      <c r="A1819" t="s">
        <v>7</v>
      </c>
      <c r="B1819" t="s">
        <v>12</v>
      </c>
      <c r="C1819" t="s">
        <v>10</v>
      </c>
      <c r="D1819">
        <v>104</v>
      </c>
      <c r="E1819">
        <v>5</v>
      </c>
      <c r="F1819">
        <v>4.8099999999999996</v>
      </c>
      <c r="G1819">
        <v>31.57</v>
      </c>
      <c r="H1819">
        <v>3283.28</v>
      </c>
    </row>
    <row r="1820" spans="1:8" x14ac:dyDescent="0.35">
      <c r="A1820" t="s">
        <v>6</v>
      </c>
      <c r="B1820" t="s">
        <v>12</v>
      </c>
      <c r="C1820" t="s">
        <v>11</v>
      </c>
      <c r="D1820">
        <v>90</v>
      </c>
      <c r="E1820">
        <v>8</v>
      </c>
      <c r="F1820">
        <v>8.89</v>
      </c>
      <c r="G1820">
        <v>31.02</v>
      </c>
      <c r="H1820">
        <v>2791.8</v>
      </c>
    </row>
    <row r="1821" spans="1:8" x14ac:dyDescent="0.35">
      <c r="A1821" t="s">
        <v>7</v>
      </c>
      <c r="B1821" t="s">
        <v>12</v>
      </c>
      <c r="C1821" t="s">
        <v>9</v>
      </c>
      <c r="D1821">
        <v>268</v>
      </c>
      <c r="E1821">
        <v>16</v>
      </c>
      <c r="F1821">
        <v>5.97</v>
      </c>
      <c r="G1821">
        <v>12.6</v>
      </c>
      <c r="H1821">
        <v>3376.8</v>
      </c>
    </row>
    <row r="1822" spans="1:8" x14ac:dyDescent="0.35">
      <c r="A1822" t="s">
        <v>5</v>
      </c>
      <c r="B1822" t="s">
        <v>12</v>
      </c>
      <c r="C1822" t="s">
        <v>9</v>
      </c>
      <c r="D1822">
        <v>190</v>
      </c>
      <c r="E1822">
        <v>8</v>
      </c>
      <c r="F1822">
        <v>4.21</v>
      </c>
      <c r="G1822">
        <v>40.590000000000003</v>
      </c>
      <c r="H1822">
        <v>7712.1</v>
      </c>
    </row>
    <row r="1823" spans="1:8" x14ac:dyDescent="0.35">
      <c r="A1823" t="s">
        <v>8</v>
      </c>
      <c r="B1823" t="s">
        <v>12</v>
      </c>
      <c r="C1823" t="s">
        <v>9</v>
      </c>
      <c r="D1823">
        <v>299</v>
      </c>
      <c r="E1823">
        <v>19</v>
      </c>
      <c r="F1823">
        <v>6.35</v>
      </c>
      <c r="G1823">
        <v>45.89</v>
      </c>
      <c r="H1823">
        <v>13721.11</v>
      </c>
    </row>
    <row r="1824" spans="1:8" x14ac:dyDescent="0.35">
      <c r="A1824" t="s">
        <v>7</v>
      </c>
      <c r="B1824" t="s">
        <v>12</v>
      </c>
      <c r="C1824" t="s">
        <v>10</v>
      </c>
      <c r="D1824">
        <v>165</v>
      </c>
      <c r="E1824">
        <v>1</v>
      </c>
      <c r="F1824">
        <v>0.61</v>
      </c>
      <c r="G1824">
        <v>39.94</v>
      </c>
      <c r="H1824">
        <v>6590.1</v>
      </c>
    </row>
    <row r="1825" spans="1:8" x14ac:dyDescent="0.35">
      <c r="A1825" t="s">
        <v>6</v>
      </c>
      <c r="B1825" t="s">
        <v>12</v>
      </c>
      <c r="C1825" t="s">
        <v>11</v>
      </c>
      <c r="D1825">
        <v>183</v>
      </c>
      <c r="E1825">
        <v>3</v>
      </c>
      <c r="F1825">
        <v>1.64</v>
      </c>
      <c r="G1825">
        <v>35.72</v>
      </c>
      <c r="H1825">
        <v>6536.76</v>
      </c>
    </row>
    <row r="1826" spans="1:8" x14ac:dyDescent="0.35">
      <c r="A1826" t="s">
        <v>7</v>
      </c>
      <c r="B1826" t="s">
        <v>12</v>
      </c>
      <c r="C1826" t="s">
        <v>10</v>
      </c>
      <c r="D1826">
        <v>223</v>
      </c>
      <c r="E1826">
        <v>4</v>
      </c>
      <c r="F1826">
        <v>1.79</v>
      </c>
      <c r="G1826">
        <v>32.69</v>
      </c>
      <c r="H1826">
        <v>7289.87</v>
      </c>
    </row>
    <row r="1827" spans="1:8" x14ac:dyDescent="0.35">
      <c r="A1827" t="s">
        <v>7</v>
      </c>
      <c r="B1827" t="s">
        <v>12</v>
      </c>
      <c r="C1827" t="s">
        <v>10</v>
      </c>
      <c r="D1827">
        <v>191</v>
      </c>
      <c r="E1827">
        <v>3</v>
      </c>
      <c r="F1827">
        <v>1.57</v>
      </c>
      <c r="G1827">
        <v>42.28</v>
      </c>
      <c r="H1827">
        <v>8075.48</v>
      </c>
    </row>
    <row r="1828" spans="1:8" x14ac:dyDescent="0.35">
      <c r="A1828" t="s">
        <v>6</v>
      </c>
      <c r="B1828" t="s">
        <v>12</v>
      </c>
      <c r="C1828" t="s">
        <v>9</v>
      </c>
      <c r="D1828">
        <v>113</v>
      </c>
      <c r="E1828">
        <v>7</v>
      </c>
      <c r="F1828">
        <v>6.19</v>
      </c>
      <c r="G1828">
        <v>59.35</v>
      </c>
      <c r="H1828">
        <v>6706.55</v>
      </c>
    </row>
    <row r="1829" spans="1:8" x14ac:dyDescent="0.35">
      <c r="A1829" t="s">
        <v>8</v>
      </c>
      <c r="B1829" t="s">
        <v>12</v>
      </c>
      <c r="C1829" t="s">
        <v>9</v>
      </c>
      <c r="D1829">
        <v>266</v>
      </c>
      <c r="E1829">
        <v>10</v>
      </c>
      <c r="F1829">
        <v>3.76</v>
      </c>
      <c r="G1829">
        <v>46.3</v>
      </c>
      <c r="H1829">
        <v>12315.8</v>
      </c>
    </row>
    <row r="1830" spans="1:8" x14ac:dyDescent="0.35">
      <c r="A1830" t="s">
        <v>7</v>
      </c>
      <c r="B1830" t="s">
        <v>12</v>
      </c>
      <c r="C1830" t="s">
        <v>9</v>
      </c>
      <c r="D1830">
        <v>189</v>
      </c>
      <c r="E1830">
        <v>7</v>
      </c>
      <c r="F1830">
        <v>3.7</v>
      </c>
      <c r="G1830">
        <v>54.03</v>
      </c>
      <c r="H1830">
        <v>10211.67</v>
      </c>
    </row>
    <row r="1831" spans="1:8" x14ac:dyDescent="0.35">
      <c r="A1831" t="s">
        <v>8</v>
      </c>
      <c r="B1831" t="s">
        <v>12</v>
      </c>
      <c r="C1831" t="s">
        <v>9</v>
      </c>
      <c r="D1831">
        <v>150</v>
      </c>
      <c r="E1831">
        <v>5</v>
      </c>
      <c r="F1831">
        <v>3.33</v>
      </c>
      <c r="G1831">
        <v>42.69</v>
      </c>
      <c r="H1831">
        <v>6403.5</v>
      </c>
    </row>
    <row r="1832" spans="1:8" x14ac:dyDescent="0.35">
      <c r="A1832" t="s">
        <v>8</v>
      </c>
      <c r="B1832" t="s">
        <v>12</v>
      </c>
      <c r="C1832" t="s">
        <v>9</v>
      </c>
      <c r="D1832">
        <v>236</v>
      </c>
      <c r="E1832">
        <v>19</v>
      </c>
      <c r="F1832">
        <v>8.0500000000000007</v>
      </c>
      <c r="G1832">
        <v>31.64</v>
      </c>
      <c r="H1832">
        <v>7467.04</v>
      </c>
    </row>
    <row r="1833" spans="1:8" x14ac:dyDescent="0.35">
      <c r="A1833" t="s">
        <v>7</v>
      </c>
      <c r="B1833" t="s">
        <v>12</v>
      </c>
      <c r="C1833" t="s">
        <v>9</v>
      </c>
      <c r="D1833">
        <v>112</v>
      </c>
      <c r="E1833">
        <v>10</v>
      </c>
      <c r="F1833">
        <v>8.93</v>
      </c>
      <c r="G1833">
        <v>43.58</v>
      </c>
      <c r="H1833">
        <v>4880.96</v>
      </c>
    </row>
    <row r="1834" spans="1:8" x14ac:dyDescent="0.35">
      <c r="A1834" t="s">
        <v>6</v>
      </c>
      <c r="B1834" t="s">
        <v>12</v>
      </c>
      <c r="C1834" t="s">
        <v>9</v>
      </c>
      <c r="D1834">
        <v>138</v>
      </c>
      <c r="E1834">
        <v>11</v>
      </c>
      <c r="F1834">
        <v>7.97</v>
      </c>
      <c r="G1834">
        <v>12.93</v>
      </c>
      <c r="H1834">
        <v>1784.34</v>
      </c>
    </row>
    <row r="1835" spans="1:8" x14ac:dyDescent="0.35">
      <c r="A1835" t="s">
        <v>7</v>
      </c>
      <c r="B1835" t="s">
        <v>12</v>
      </c>
      <c r="C1835" t="s">
        <v>9</v>
      </c>
      <c r="D1835">
        <v>159</v>
      </c>
      <c r="E1835">
        <v>6</v>
      </c>
      <c r="F1835">
        <v>3.77</v>
      </c>
      <c r="G1835">
        <v>53.7</v>
      </c>
      <c r="H1835">
        <v>8538.2999999999993</v>
      </c>
    </row>
    <row r="1836" spans="1:8" x14ac:dyDescent="0.35">
      <c r="A1836" t="s">
        <v>6</v>
      </c>
      <c r="B1836" t="s">
        <v>12</v>
      </c>
      <c r="C1836" t="s">
        <v>11</v>
      </c>
      <c r="D1836">
        <v>211</v>
      </c>
      <c r="E1836">
        <v>18</v>
      </c>
      <c r="F1836">
        <v>8.5299999999999994</v>
      </c>
      <c r="G1836">
        <v>10.81</v>
      </c>
      <c r="H1836">
        <v>2280.91</v>
      </c>
    </row>
    <row r="1837" spans="1:8" x14ac:dyDescent="0.35">
      <c r="A1837" t="s">
        <v>5</v>
      </c>
      <c r="B1837" t="s">
        <v>12</v>
      </c>
      <c r="C1837" t="s">
        <v>9</v>
      </c>
      <c r="D1837">
        <v>248</v>
      </c>
      <c r="E1837">
        <v>4</v>
      </c>
      <c r="F1837">
        <v>1.61</v>
      </c>
      <c r="G1837">
        <v>52.69</v>
      </c>
      <c r="H1837">
        <v>13067.12</v>
      </c>
    </row>
    <row r="1838" spans="1:8" x14ac:dyDescent="0.35">
      <c r="A1838" t="s">
        <v>6</v>
      </c>
      <c r="B1838" t="s">
        <v>12</v>
      </c>
      <c r="C1838" t="s">
        <v>11</v>
      </c>
      <c r="D1838">
        <v>214</v>
      </c>
      <c r="E1838">
        <v>17</v>
      </c>
      <c r="F1838">
        <v>7.94</v>
      </c>
      <c r="G1838">
        <v>5.72</v>
      </c>
      <c r="H1838">
        <v>1224.08</v>
      </c>
    </row>
    <row r="1839" spans="1:8" x14ac:dyDescent="0.35">
      <c r="A1839" t="s">
        <v>5</v>
      </c>
      <c r="B1839" t="s">
        <v>12</v>
      </c>
      <c r="C1839" t="s">
        <v>9</v>
      </c>
      <c r="D1839">
        <v>126</v>
      </c>
      <c r="E1839">
        <v>3</v>
      </c>
      <c r="F1839">
        <v>2.38</v>
      </c>
      <c r="G1839">
        <v>66.61</v>
      </c>
      <c r="H1839">
        <v>8392.86</v>
      </c>
    </row>
    <row r="1840" spans="1:8" x14ac:dyDescent="0.35">
      <c r="A1840" t="s">
        <v>7</v>
      </c>
      <c r="B1840" t="s">
        <v>12</v>
      </c>
      <c r="C1840" t="s">
        <v>10</v>
      </c>
      <c r="D1840">
        <v>69</v>
      </c>
      <c r="E1840">
        <v>1</v>
      </c>
      <c r="F1840">
        <v>1.45</v>
      </c>
      <c r="G1840">
        <v>42.6</v>
      </c>
      <c r="H1840">
        <v>2939.4</v>
      </c>
    </row>
    <row r="1841" spans="1:8" x14ac:dyDescent="0.35">
      <c r="A1841" t="s">
        <v>8</v>
      </c>
      <c r="B1841" t="s">
        <v>12</v>
      </c>
      <c r="C1841" t="s">
        <v>9</v>
      </c>
      <c r="D1841">
        <v>245</v>
      </c>
      <c r="E1841">
        <v>21</v>
      </c>
      <c r="F1841">
        <v>8.57</v>
      </c>
      <c r="G1841">
        <v>44.31</v>
      </c>
      <c r="H1841">
        <v>10855.95</v>
      </c>
    </row>
    <row r="1842" spans="1:8" x14ac:dyDescent="0.35">
      <c r="A1842" t="s">
        <v>8</v>
      </c>
      <c r="B1842" t="s">
        <v>12</v>
      </c>
      <c r="C1842" t="s">
        <v>9</v>
      </c>
      <c r="D1842">
        <v>91</v>
      </c>
      <c r="E1842">
        <v>4</v>
      </c>
      <c r="F1842">
        <v>4.4000000000000004</v>
      </c>
      <c r="G1842">
        <v>47.72</v>
      </c>
      <c r="H1842">
        <v>4342.5200000000004</v>
      </c>
    </row>
    <row r="1843" spans="1:8" x14ac:dyDescent="0.35">
      <c r="A1843" t="s">
        <v>8</v>
      </c>
      <c r="B1843" t="s">
        <v>12</v>
      </c>
      <c r="C1843" t="s">
        <v>9</v>
      </c>
      <c r="D1843">
        <v>54</v>
      </c>
      <c r="E1843">
        <v>5</v>
      </c>
      <c r="F1843">
        <v>9.26</v>
      </c>
      <c r="G1843">
        <v>39.979999999999997</v>
      </c>
      <c r="H1843">
        <v>2158.92</v>
      </c>
    </row>
    <row r="1844" spans="1:8" x14ac:dyDescent="0.35">
      <c r="A1844" t="s">
        <v>8</v>
      </c>
      <c r="B1844" t="s">
        <v>12</v>
      </c>
      <c r="C1844" t="s">
        <v>9</v>
      </c>
      <c r="D1844">
        <v>125</v>
      </c>
      <c r="E1844">
        <v>1</v>
      </c>
      <c r="F1844">
        <v>0.8</v>
      </c>
      <c r="G1844">
        <v>37.54</v>
      </c>
      <c r="H1844">
        <v>4692.5</v>
      </c>
    </row>
    <row r="1845" spans="1:8" x14ac:dyDescent="0.35">
      <c r="A1845" t="s">
        <v>7</v>
      </c>
      <c r="B1845" t="s">
        <v>12</v>
      </c>
      <c r="C1845" t="s">
        <v>10</v>
      </c>
      <c r="D1845">
        <v>72</v>
      </c>
      <c r="E1845">
        <v>2</v>
      </c>
      <c r="F1845">
        <v>2.78</v>
      </c>
      <c r="G1845">
        <v>29.14</v>
      </c>
      <c r="H1845">
        <v>2098.08</v>
      </c>
    </row>
    <row r="1846" spans="1:8" x14ac:dyDescent="0.35">
      <c r="A1846" t="s">
        <v>8</v>
      </c>
      <c r="B1846" t="s">
        <v>12</v>
      </c>
      <c r="C1846" t="s">
        <v>9</v>
      </c>
      <c r="D1846">
        <v>280</v>
      </c>
      <c r="E1846">
        <v>2</v>
      </c>
      <c r="F1846">
        <v>0.71</v>
      </c>
      <c r="G1846">
        <v>54.21</v>
      </c>
      <c r="H1846">
        <v>15178.8</v>
      </c>
    </row>
    <row r="1847" spans="1:8" x14ac:dyDescent="0.35">
      <c r="A1847" t="s">
        <v>7</v>
      </c>
      <c r="B1847" t="s">
        <v>12</v>
      </c>
      <c r="C1847" t="s">
        <v>10</v>
      </c>
      <c r="D1847">
        <v>265</v>
      </c>
      <c r="E1847">
        <v>11</v>
      </c>
      <c r="F1847">
        <v>4.1500000000000004</v>
      </c>
      <c r="G1847">
        <v>43.79</v>
      </c>
      <c r="H1847">
        <v>11604.35</v>
      </c>
    </row>
    <row r="1848" spans="1:8" x14ac:dyDescent="0.35">
      <c r="A1848" t="s">
        <v>7</v>
      </c>
      <c r="B1848" t="s">
        <v>12</v>
      </c>
      <c r="C1848" t="s">
        <v>9</v>
      </c>
      <c r="D1848">
        <v>194</v>
      </c>
      <c r="E1848">
        <v>5</v>
      </c>
      <c r="F1848">
        <v>2.58</v>
      </c>
      <c r="G1848">
        <v>34.22</v>
      </c>
      <c r="H1848">
        <v>6638.68</v>
      </c>
    </row>
    <row r="1849" spans="1:8" x14ac:dyDescent="0.35">
      <c r="A1849" t="s">
        <v>5</v>
      </c>
      <c r="B1849" t="s">
        <v>12</v>
      </c>
      <c r="C1849" t="s">
        <v>9</v>
      </c>
      <c r="D1849">
        <v>173</v>
      </c>
      <c r="E1849">
        <v>10</v>
      </c>
      <c r="F1849">
        <v>5.78</v>
      </c>
      <c r="G1849">
        <v>39.29</v>
      </c>
      <c r="H1849">
        <v>6797.17</v>
      </c>
    </row>
    <row r="1850" spans="1:8" x14ac:dyDescent="0.35">
      <c r="A1850" t="s">
        <v>7</v>
      </c>
      <c r="B1850" t="s">
        <v>12</v>
      </c>
      <c r="C1850" t="s">
        <v>10</v>
      </c>
      <c r="D1850">
        <v>157</v>
      </c>
      <c r="E1850">
        <v>2</v>
      </c>
      <c r="F1850">
        <v>1.27</v>
      </c>
      <c r="G1850">
        <v>36.15</v>
      </c>
      <c r="H1850">
        <v>5675.55</v>
      </c>
    </row>
    <row r="1851" spans="1:8" x14ac:dyDescent="0.35">
      <c r="A1851" t="s">
        <v>5</v>
      </c>
      <c r="B1851" t="s">
        <v>12</v>
      </c>
      <c r="C1851" t="s">
        <v>9</v>
      </c>
      <c r="D1851">
        <v>212</v>
      </c>
      <c r="E1851">
        <v>20</v>
      </c>
      <c r="F1851">
        <v>9.43</v>
      </c>
      <c r="G1851">
        <v>45.55</v>
      </c>
      <c r="H1851">
        <v>9656.6</v>
      </c>
    </row>
    <row r="1852" spans="1:8" x14ac:dyDescent="0.35">
      <c r="A1852" t="s">
        <v>8</v>
      </c>
      <c r="B1852" t="s">
        <v>12</v>
      </c>
      <c r="C1852" t="s">
        <v>9</v>
      </c>
      <c r="D1852">
        <v>220</v>
      </c>
      <c r="E1852">
        <v>17</v>
      </c>
      <c r="F1852">
        <v>7.73</v>
      </c>
      <c r="G1852">
        <v>62.57</v>
      </c>
      <c r="H1852">
        <v>13765.4</v>
      </c>
    </row>
    <row r="1853" spans="1:8" x14ac:dyDescent="0.35">
      <c r="A1853" t="s">
        <v>7</v>
      </c>
      <c r="B1853" t="s">
        <v>12</v>
      </c>
      <c r="C1853" t="s">
        <v>10</v>
      </c>
      <c r="D1853">
        <v>189</v>
      </c>
      <c r="E1853">
        <v>11</v>
      </c>
      <c r="F1853">
        <v>5.82</v>
      </c>
      <c r="G1853">
        <v>19.32</v>
      </c>
      <c r="H1853">
        <v>3651.48</v>
      </c>
    </row>
    <row r="1854" spans="1:8" x14ac:dyDescent="0.35">
      <c r="A1854" t="s">
        <v>6</v>
      </c>
      <c r="B1854" t="s">
        <v>12</v>
      </c>
      <c r="C1854" t="s">
        <v>9</v>
      </c>
      <c r="D1854">
        <v>107</v>
      </c>
      <c r="E1854">
        <v>0</v>
      </c>
      <c r="F1854">
        <v>0</v>
      </c>
      <c r="G1854">
        <v>49.16</v>
      </c>
      <c r="H1854">
        <v>5260.12</v>
      </c>
    </row>
    <row r="1855" spans="1:8" x14ac:dyDescent="0.35">
      <c r="A1855" t="s">
        <v>7</v>
      </c>
      <c r="B1855" t="s">
        <v>12</v>
      </c>
      <c r="C1855" t="s">
        <v>9</v>
      </c>
      <c r="D1855">
        <v>62</v>
      </c>
      <c r="E1855">
        <v>0</v>
      </c>
      <c r="F1855">
        <v>0</v>
      </c>
      <c r="G1855">
        <v>37.71</v>
      </c>
      <c r="H1855">
        <v>2338.02</v>
      </c>
    </row>
    <row r="1856" spans="1:8" x14ac:dyDescent="0.35">
      <c r="A1856" t="s">
        <v>6</v>
      </c>
      <c r="B1856" t="s">
        <v>12</v>
      </c>
      <c r="C1856" t="s">
        <v>11</v>
      </c>
      <c r="D1856">
        <v>298</v>
      </c>
      <c r="E1856">
        <v>13</v>
      </c>
      <c r="F1856">
        <v>4.3600000000000003</v>
      </c>
      <c r="G1856">
        <v>44.33</v>
      </c>
      <c r="H1856">
        <v>13210.34</v>
      </c>
    </row>
    <row r="1857" spans="1:8" x14ac:dyDescent="0.35">
      <c r="A1857" t="s">
        <v>6</v>
      </c>
      <c r="B1857" t="s">
        <v>12</v>
      </c>
      <c r="C1857" t="s">
        <v>9</v>
      </c>
      <c r="D1857">
        <v>82</v>
      </c>
      <c r="E1857">
        <v>1</v>
      </c>
      <c r="F1857">
        <v>1.22</v>
      </c>
      <c r="G1857">
        <v>23.01</v>
      </c>
      <c r="H1857">
        <v>1886.82</v>
      </c>
    </row>
    <row r="1858" spans="1:8" x14ac:dyDescent="0.35">
      <c r="A1858" t="s">
        <v>6</v>
      </c>
      <c r="B1858" t="s">
        <v>12</v>
      </c>
      <c r="C1858" t="s">
        <v>11</v>
      </c>
      <c r="D1858">
        <v>257</v>
      </c>
      <c r="E1858">
        <v>20</v>
      </c>
      <c r="F1858">
        <v>7.78</v>
      </c>
      <c r="G1858">
        <v>19.690000000000001</v>
      </c>
      <c r="H1858">
        <v>5060.33</v>
      </c>
    </row>
    <row r="1859" spans="1:8" x14ac:dyDescent="0.35">
      <c r="A1859" t="s">
        <v>7</v>
      </c>
      <c r="B1859" t="s">
        <v>12</v>
      </c>
      <c r="C1859" t="s">
        <v>10</v>
      </c>
      <c r="D1859">
        <v>217</v>
      </c>
      <c r="E1859">
        <v>19</v>
      </c>
      <c r="F1859">
        <v>8.76</v>
      </c>
      <c r="G1859">
        <v>47.45</v>
      </c>
      <c r="H1859">
        <v>10296.65</v>
      </c>
    </row>
    <row r="1860" spans="1:8" x14ac:dyDescent="0.35">
      <c r="A1860" t="s">
        <v>7</v>
      </c>
      <c r="B1860" t="s">
        <v>12</v>
      </c>
      <c r="C1860" t="s">
        <v>10</v>
      </c>
      <c r="D1860">
        <v>206</v>
      </c>
      <c r="E1860">
        <v>4</v>
      </c>
      <c r="F1860">
        <v>1.94</v>
      </c>
      <c r="G1860">
        <v>26.62</v>
      </c>
      <c r="H1860">
        <v>5483.72</v>
      </c>
    </row>
    <row r="1861" spans="1:8" x14ac:dyDescent="0.35">
      <c r="A1861" t="s">
        <v>7</v>
      </c>
      <c r="B1861" t="s">
        <v>12</v>
      </c>
      <c r="C1861" t="s">
        <v>10</v>
      </c>
      <c r="D1861">
        <v>93</v>
      </c>
      <c r="E1861">
        <v>1</v>
      </c>
      <c r="F1861">
        <v>1.08</v>
      </c>
      <c r="G1861">
        <v>22.2</v>
      </c>
      <c r="H1861">
        <v>2064.6</v>
      </c>
    </row>
    <row r="1862" spans="1:8" x14ac:dyDescent="0.35">
      <c r="A1862" t="s">
        <v>7</v>
      </c>
      <c r="B1862" t="s">
        <v>12</v>
      </c>
      <c r="C1862" t="s">
        <v>9</v>
      </c>
      <c r="D1862">
        <v>251</v>
      </c>
      <c r="E1862">
        <v>16</v>
      </c>
      <c r="F1862">
        <v>6.37</v>
      </c>
      <c r="G1862">
        <v>8.86</v>
      </c>
      <c r="H1862">
        <v>2223.86</v>
      </c>
    </row>
    <row r="1863" spans="1:8" x14ac:dyDescent="0.35">
      <c r="A1863" t="s">
        <v>5</v>
      </c>
      <c r="B1863" t="s">
        <v>12</v>
      </c>
      <c r="C1863" t="s">
        <v>9</v>
      </c>
      <c r="D1863">
        <v>211</v>
      </c>
      <c r="E1863">
        <v>16</v>
      </c>
      <c r="F1863">
        <v>7.58</v>
      </c>
      <c r="G1863">
        <v>37.049999999999997</v>
      </c>
      <c r="H1863">
        <v>7817.55</v>
      </c>
    </row>
    <row r="1864" spans="1:8" x14ac:dyDescent="0.35">
      <c r="A1864" t="s">
        <v>6</v>
      </c>
      <c r="B1864" t="s">
        <v>12</v>
      </c>
      <c r="C1864" t="s">
        <v>9</v>
      </c>
      <c r="D1864">
        <v>275</v>
      </c>
      <c r="E1864">
        <v>9</v>
      </c>
      <c r="F1864">
        <v>3.27</v>
      </c>
      <c r="G1864">
        <v>60.08</v>
      </c>
      <c r="H1864">
        <v>16522</v>
      </c>
    </row>
    <row r="1865" spans="1:8" x14ac:dyDescent="0.35">
      <c r="A1865" t="s">
        <v>5</v>
      </c>
      <c r="B1865" t="s">
        <v>12</v>
      </c>
      <c r="C1865" t="s">
        <v>9</v>
      </c>
      <c r="D1865">
        <v>121</v>
      </c>
      <c r="E1865">
        <v>2</v>
      </c>
      <c r="F1865">
        <v>1.65</v>
      </c>
      <c r="G1865">
        <v>5.12</v>
      </c>
      <c r="H1865">
        <v>619.52</v>
      </c>
    </row>
    <row r="1866" spans="1:8" x14ac:dyDescent="0.35">
      <c r="A1866" t="s">
        <v>6</v>
      </c>
      <c r="B1866" t="s">
        <v>12</v>
      </c>
      <c r="C1866" t="s">
        <v>11</v>
      </c>
      <c r="D1866">
        <v>167</v>
      </c>
      <c r="E1866">
        <v>13</v>
      </c>
      <c r="F1866">
        <v>7.78</v>
      </c>
      <c r="G1866">
        <v>49.14</v>
      </c>
      <c r="H1866">
        <v>8206.3799999999992</v>
      </c>
    </row>
    <row r="1867" spans="1:8" x14ac:dyDescent="0.35">
      <c r="A1867" t="s">
        <v>6</v>
      </c>
      <c r="B1867" t="s">
        <v>12</v>
      </c>
      <c r="C1867" t="s">
        <v>11</v>
      </c>
      <c r="D1867">
        <v>254</v>
      </c>
      <c r="E1867">
        <v>17</v>
      </c>
      <c r="F1867">
        <v>6.69</v>
      </c>
      <c r="G1867">
        <v>18.29</v>
      </c>
      <c r="H1867">
        <v>4645.66</v>
      </c>
    </row>
    <row r="1868" spans="1:8" x14ac:dyDescent="0.35">
      <c r="A1868" t="s">
        <v>6</v>
      </c>
      <c r="B1868" t="s">
        <v>12</v>
      </c>
      <c r="C1868" t="s">
        <v>11</v>
      </c>
      <c r="D1868">
        <v>166</v>
      </c>
      <c r="E1868">
        <v>12</v>
      </c>
      <c r="F1868">
        <v>7.23</v>
      </c>
      <c r="G1868">
        <v>10.9</v>
      </c>
      <c r="H1868">
        <v>1809.4</v>
      </c>
    </row>
    <row r="1869" spans="1:8" x14ac:dyDescent="0.35">
      <c r="A1869" t="s">
        <v>7</v>
      </c>
      <c r="B1869" t="s">
        <v>12</v>
      </c>
      <c r="C1869" t="s">
        <v>10</v>
      </c>
      <c r="D1869">
        <v>258</v>
      </c>
      <c r="E1869">
        <v>22</v>
      </c>
      <c r="F1869">
        <v>8.5299999999999994</v>
      </c>
      <c r="G1869">
        <v>38.61</v>
      </c>
      <c r="H1869">
        <v>9961.3799999999992</v>
      </c>
    </row>
    <row r="1870" spans="1:8" x14ac:dyDescent="0.35">
      <c r="A1870" t="s">
        <v>7</v>
      </c>
      <c r="B1870" t="s">
        <v>12</v>
      </c>
      <c r="C1870" t="s">
        <v>10</v>
      </c>
      <c r="D1870">
        <v>199</v>
      </c>
      <c r="E1870">
        <v>14</v>
      </c>
      <c r="F1870">
        <v>7.04</v>
      </c>
      <c r="G1870">
        <v>34.03</v>
      </c>
      <c r="H1870">
        <v>6771.97</v>
      </c>
    </row>
    <row r="1871" spans="1:8" x14ac:dyDescent="0.35">
      <c r="A1871" t="s">
        <v>6</v>
      </c>
      <c r="B1871" t="s">
        <v>12</v>
      </c>
      <c r="C1871" t="s">
        <v>11</v>
      </c>
      <c r="D1871">
        <v>122</v>
      </c>
      <c r="E1871">
        <v>5</v>
      </c>
      <c r="F1871">
        <v>4.0999999999999996</v>
      </c>
      <c r="G1871">
        <v>14.15</v>
      </c>
      <c r="H1871">
        <v>1726.3</v>
      </c>
    </row>
    <row r="1872" spans="1:8" x14ac:dyDescent="0.35">
      <c r="A1872" t="s">
        <v>7</v>
      </c>
      <c r="B1872" t="s">
        <v>12</v>
      </c>
      <c r="C1872" t="s">
        <v>10</v>
      </c>
      <c r="D1872">
        <v>146</v>
      </c>
      <c r="E1872">
        <v>5</v>
      </c>
      <c r="F1872">
        <v>3.42</v>
      </c>
      <c r="G1872">
        <v>14.24</v>
      </c>
      <c r="H1872">
        <v>2079.04</v>
      </c>
    </row>
    <row r="1873" spans="1:8" x14ac:dyDescent="0.35">
      <c r="A1873" t="s">
        <v>6</v>
      </c>
      <c r="B1873" t="s">
        <v>12</v>
      </c>
      <c r="C1873" t="s">
        <v>9</v>
      </c>
      <c r="D1873">
        <v>216</v>
      </c>
      <c r="E1873">
        <v>1</v>
      </c>
      <c r="F1873">
        <v>0.46</v>
      </c>
      <c r="G1873">
        <v>52.16</v>
      </c>
      <c r="H1873">
        <v>11266.56</v>
      </c>
    </row>
    <row r="1874" spans="1:8" x14ac:dyDescent="0.35">
      <c r="A1874" t="s">
        <v>7</v>
      </c>
      <c r="B1874" t="s">
        <v>12</v>
      </c>
      <c r="C1874" t="s">
        <v>9</v>
      </c>
      <c r="D1874">
        <v>137</v>
      </c>
      <c r="E1874">
        <v>5</v>
      </c>
      <c r="F1874">
        <v>3.65</v>
      </c>
      <c r="G1874">
        <v>27.53</v>
      </c>
      <c r="H1874">
        <v>3771.61</v>
      </c>
    </row>
    <row r="1875" spans="1:8" x14ac:dyDescent="0.35">
      <c r="A1875" t="s">
        <v>7</v>
      </c>
      <c r="B1875" t="s">
        <v>12</v>
      </c>
      <c r="C1875" t="s">
        <v>9</v>
      </c>
      <c r="D1875">
        <v>145</v>
      </c>
      <c r="E1875">
        <v>9</v>
      </c>
      <c r="F1875">
        <v>6.21</v>
      </c>
      <c r="G1875">
        <v>44.77</v>
      </c>
      <c r="H1875">
        <v>6491.65</v>
      </c>
    </row>
    <row r="1876" spans="1:8" x14ac:dyDescent="0.35">
      <c r="A1876" t="s">
        <v>5</v>
      </c>
      <c r="B1876" t="s">
        <v>12</v>
      </c>
      <c r="C1876" t="s">
        <v>9</v>
      </c>
      <c r="D1876">
        <v>226</v>
      </c>
      <c r="E1876">
        <v>12</v>
      </c>
      <c r="F1876">
        <v>5.31</v>
      </c>
      <c r="G1876">
        <v>25.59</v>
      </c>
      <c r="H1876">
        <v>5783.34</v>
      </c>
    </row>
    <row r="1877" spans="1:8" x14ac:dyDescent="0.35">
      <c r="A1877" t="s">
        <v>7</v>
      </c>
      <c r="B1877" t="s">
        <v>12</v>
      </c>
      <c r="C1877" t="s">
        <v>9</v>
      </c>
      <c r="D1877">
        <v>261</v>
      </c>
      <c r="E1877">
        <v>19</v>
      </c>
      <c r="F1877">
        <v>7.28</v>
      </c>
      <c r="G1877">
        <v>15.49</v>
      </c>
      <c r="H1877">
        <v>4042.89</v>
      </c>
    </row>
    <row r="1878" spans="1:8" x14ac:dyDescent="0.35">
      <c r="A1878" t="s">
        <v>5</v>
      </c>
      <c r="B1878" t="s">
        <v>12</v>
      </c>
      <c r="C1878" t="s">
        <v>9</v>
      </c>
      <c r="D1878">
        <v>84</v>
      </c>
      <c r="E1878">
        <v>5</v>
      </c>
      <c r="F1878">
        <v>5.95</v>
      </c>
      <c r="G1878">
        <v>36.17</v>
      </c>
      <c r="H1878">
        <v>3038.28</v>
      </c>
    </row>
    <row r="1879" spans="1:8" x14ac:dyDescent="0.35">
      <c r="A1879" t="s">
        <v>6</v>
      </c>
      <c r="B1879" t="s">
        <v>12</v>
      </c>
      <c r="C1879" t="s">
        <v>9</v>
      </c>
      <c r="D1879">
        <v>191</v>
      </c>
      <c r="E1879">
        <v>19</v>
      </c>
      <c r="F1879">
        <v>9.9499999999999993</v>
      </c>
      <c r="G1879">
        <v>26.67</v>
      </c>
      <c r="H1879">
        <v>5093.97</v>
      </c>
    </row>
    <row r="1880" spans="1:8" x14ac:dyDescent="0.35">
      <c r="A1880" t="s">
        <v>6</v>
      </c>
      <c r="B1880" t="s">
        <v>12</v>
      </c>
      <c r="C1880" t="s">
        <v>9</v>
      </c>
      <c r="D1880">
        <v>239</v>
      </c>
      <c r="E1880">
        <v>0</v>
      </c>
      <c r="F1880">
        <v>0</v>
      </c>
      <c r="G1880">
        <v>16.559999999999999</v>
      </c>
      <c r="H1880">
        <v>3957.84</v>
      </c>
    </row>
    <row r="1881" spans="1:8" x14ac:dyDescent="0.35">
      <c r="A1881" t="s">
        <v>5</v>
      </c>
      <c r="B1881" t="s">
        <v>12</v>
      </c>
      <c r="C1881" t="s">
        <v>9</v>
      </c>
      <c r="D1881">
        <v>81</v>
      </c>
      <c r="E1881">
        <v>7</v>
      </c>
      <c r="F1881">
        <v>8.64</v>
      </c>
      <c r="G1881">
        <v>59.35</v>
      </c>
      <c r="H1881">
        <v>4807.3500000000004</v>
      </c>
    </row>
    <row r="1882" spans="1:8" x14ac:dyDescent="0.35">
      <c r="A1882" t="s">
        <v>5</v>
      </c>
      <c r="B1882" t="s">
        <v>12</v>
      </c>
      <c r="C1882" t="s">
        <v>9</v>
      </c>
      <c r="D1882">
        <v>173</v>
      </c>
      <c r="E1882">
        <v>7</v>
      </c>
      <c r="F1882">
        <v>4.05</v>
      </c>
      <c r="G1882">
        <v>50.08</v>
      </c>
      <c r="H1882">
        <v>8663.84</v>
      </c>
    </row>
    <row r="1883" spans="1:8" x14ac:dyDescent="0.35">
      <c r="A1883" t="s">
        <v>8</v>
      </c>
      <c r="B1883" t="s">
        <v>12</v>
      </c>
      <c r="C1883" t="s">
        <v>9</v>
      </c>
      <c r="D1883">
        <v>140</v>
      </c>
      <c r="E1883">
        <v>6</v>
      </c>
      <c r="F1883">
        <v>4.29</v>
      </c>
      <c r="G1883">
        <v>19.86</v>
      </c>
      <c r="H1883">
        <v>2780.4</v>
      </c>
    </row>
    <row r="1884" spans="1:8" x14ac:dyDescent="0.35">
      <c r="A1884" t="s">
        <v>5</v>
      </c>
      <c r="B1884" t="s">
        <v>12</v>
      </c>
      <c r="C1884" t="s">
        <v>9</v>
      </c>
      <c r="D1884">
        <v>286</v>
      </c>
      <c r="E1884">
        <v>19</v>
      </c>
      <c r="F1884">
        <v>6.64</v>
      </c>
      <c r="G1884">
        <v>53.62</v>
      </c>
      <c r="H1884">
        <v>15335.32</v>
      </c>
    </row>
    <row r="1885" spans="1:8" x14ac:dyDescent="0.35">
      <c r="A1885" t="s">
        <v>6</v>
      </c>
      <c r="B1885" t="s">
        <v>12</v>
      </c>
      <c r="C1885" t="s">
        <v>9</v>
      </c>
      <c r="D1885">
        <v>287</v>
      </c>
      <c r="E1885">
        <v>15</v>
      </c>
      <c r="F1885">
        <v>5.23</v>
      </c>
      <c r="G1885">
        <v>35.17</v>
      </c>
      <c r="H1885">
        <v>10093.790000000001</v>
      </c>
    </row>
    <row r="1886" spans="1:8" x14ac:dyDescent="0.35">
      <c r="A1886" t="s">
        <v>7</v>
      </c>
      <c r="B1886" t="s">
        <v>12</v>
      </c>
      <c r="C1886" t="s">
        <v>9</v>
      </c>
      <c r="D1886">
        <v>227</v>
      </c>
      <c r="E1886">
        <v>21</v>
      </c>
      <c r="F1886">
        <v>9.25</v>
      </c>
      <c r="G1886">
        <v>60.16</v>
      </c>
      <c r="H1886">
        <v>13656.32</v>
      </c>
    </row>
    <row r="1887" spans="1:8" x14ac:dyDescent="0.35">
      <c r="A1887" t="s">
        <v>8</v>
      </c>
      <c r="B1887" t="s">
        <v>12</v>
      </c>
      <c r="C1887" t="s">
        <v>9</v>
      </c>
      <c r="D1887">
        <v>274</v>
      </c>
      <c r="E1887">
        <v>10</v>
      </c>
      <c r="F1887">
        <v>3.65</v>
      </c>
      <c r="G1887">
        <v>27.66</v>
      </c>
      <c r="H1887">
        <v>7578.84</v>
      </c>
    </row>
    <row r="1888" spans="1:8" x14ac:dyDescent="0.35">
      <c r="A1888" t="s">
        <v>8</v>
      </c>
      <c r="B1888" t="s">
        <v>12</v>
      </c>
      <c r="C1888" t="s">
        <v>9</v>
      </c>
      <c r="D1888">
        <v>170</v>
      </c>
      <c r="E1888">
        <v>16</v>
      </c>
      <c r="F1888">
        <v>9.41</v>
      </c>
      <c r="G1888">
        <v>31.46</v>
      </c>
      <c r="H1888">
        <v>5348.2</v>
      </c>
    </row>
    <row r="1889" spans="1:8" x14ac:dyDescent="0.35">
      <c r="A1889" t="s">
        <v>6</v>
      </c>
      <c r="B1889" t="s">
        <v>12</v>
      </c>
      <c r="C1889" t="s">
        <v>9</v>
      </c>
      <c r="D1889">
        <v>55</v>
      </c>
      <c r="E1889">
        <v>1</v>
      </c>
      <c r="F1889">
        <v>1.82</v>
      </c>
      <c r="G1889">
        <v>47.5</v>
      </c>
      <c r="H1889">
        <v>2612.5</v>
      </c>
    </row>
    <row r="1890" spans="1:8" x14ac:dyDescent="0.35">
      <c r="A1890" t="s">
        <v>8</v>
      </c>
      <c r="B1890" t="s">
        <v>12</v>
      </c>
      <c r="C1890" t="s">
        <v>9</v>
      </c>
      <c r="D1890">
        <v>53</v>
      </c>
      <c r="E1890">
        <v>4</v>
      </c>
      <c r="F1890">
        <v>7.55</v>
      </c>
      <c r="G1890">
        <v>28.25</v>
      </c>
      <c r="H1890">
        <v>1497.25</v>
      </c>
    </row>
    <row r="1891" spans="1:8" x14ac:dyDescent="0.35">
      <c r="A1891" t="s">
        <v>6</v>
      </c>
      <c r="B1891" t="s">
        <v>12</v>
      </c>
      <c r="C1891" t="s">
        <v>11</v>
      </c>
      <c r="D1891">
        <v>264</v>
      </c>
      <c r="E1891">
        <v>15</v>
      </c>
      <c r="F1891">
        <v>5.68</v>
      </c>
      <c r="G1891">
        <v>23.52</v>
      </c>
      <c r="H1891">
        <v>6209.28</v>
      </c>
    </row>
    <row r="1892" spans="1:8" x14ac:dyDescent="0.35">
      <c r="A1892" t="s">
        <v>5</v>
      </c>
      <c r="B1892" t="s">
        <v>12</v>
      </c>
      <c r="C1892" t="s">
        <v>9</v>
      </c>
      <c r="D1892">
        <v>271</v>
      </c>
      <c r="E1892">
        <v>26</v>
      </c>
      <c r="F1892">
        <v>9.59</v>
      </c>
      <c r="G1892">
        <v>37.909999999999997</v>
      </c>
      <c r="H1892">
        <v>10273.61</v>
      </c>
    </row>
    <row r="1893" spans="1:8" x14ac:dyDescent="0.35">
      <c r="A1893" t="s">
        <v>8</v>
      </c>
      <c r="B1893" t="s">
        <v>12</v>
      </c>
      <c r="C1893" t="s">
        <v>9</v>
      </c>
      <c r="D1893">
        <v>275</v>
      </c>
      <c r="E1893">
        <v>20</v>
      </c>
      <c r="F1893">
        <v>7.27</v>
      </c>
      <c r="G1893">
        <v>64.56</v>
      </c>
      <c r="H1893">
        <v>17754</v>
      </c>
    </row>
    <row r="1894" spans="1:8" x14ac:dyDescent="0.35">
      <c r="A1894" t="s">
        <v>6</v>
      </c>
      <c r="B1894" t="s">
        <v>12</v>
      </c>
      <c r="C1894" t="s">
        <v>9</v>
      </c>
      <c r="D1894">
        <v>119</v>
      </c>
      <c r="E1894">
        <v>6</v>
      </c>
      <c r="F1894">
        <v>5.04</v>
      </c>
      <c r="G1894">
        <v>24.96</v>
      </c>
      <c r="H1894">
        <v>2970.24</v>
      </c>
    </row>
    <row r="1895" spans="1:8" x14ac:dyDescent="0.35">
      <c r="A1895" t="s">
        <v>6</v>
      </c>
      <c r="B1895" t="s">
        <v>12</v>
      </c>
      <c r="C1895" t="s">
        <v>9</v>
      </c>
      <c r="D1895">
        <v>205</v>
      </c>
      <c r="E1895">
        <v>6</v>
      </c>
      <c r="F1895">
        <v>2.93</v>
      </c>
      <c r="G1895">
        <v>42.1</v>
      </c>
      <c r="H1895">
        <v>8630.5</v>
      </c>
    </row>
    <row r="1896" spans="1:8" x14ac:dyDescent="0.35">
      <c r="A1896" t="s">
        <v>7</v>
      </c>
      <c r="B1896" t="s">
        <v>12</v>
      </c>
      <c r="C1896" t="s">
        <v>9</v>
      </c>
      <c r="D1896">
        <v>187</v>
      </c>
      <c r="E1896">
        <v>17</v>
      </c>
      <c r="F1896">
        <v>9.09</v>
      </c>
      <c r="G1896">
        <v>5.82</v>
      </c>
      <c r="H1896">
        <v>1088.3399999999999</v>
      </c>
    </row>
    <row r="1897" spans="1:8" x14ac:dyDescent="0.35">
      <c r="A1897" t="s">
        <v>7</v>
      </c>
      <c r="B1897" t="s">
        <v>12</v>
      </c>
      <c r="C1897" t="s">
        <v>9</v>
      </c>
      <c r="D1897">
        <v>177</v>
      </c>
      <c r="E1897">
        <v>6</v>
      </c>
      <c r="F1897">
        <v>3.39</v>
      </c>
      <c r="G1897">
        <v>62.79</v>
      </c>
      <c r="H1897">
        <v>11113.83</v>
      </c>
    </row>
    <row r="1898" spans="1:8" x14ac:dyDescent="0.35">
      <c r="A1898" t="s">
        <v>6</v>
      </c>
      <c r="B1898" t="s">
        <v>12</v>
      </c>
      <c r="C1898" t="s">
        <v>9</v>
      </c>
      <c r="D1898">
        <v>113</v>
      </c>
      <c r="E1898">
        <v>10</v>
      </c>
      <c r="F1898">
        <v>8.85</v>
      </c>
      <c r="G1898">
        <v>56.15</v>
      </c>
      <c r="H1898">
        <v>6344.95</v>
      </c>
    </row>
    <row r="1899" spans="1:8" x14ac:dyDescent="0.35">
      <c r="A1899" t="s">
        <v>5</v>
      </c>
      <c r="B1899" t="s">
        <v>12</v>
      </c>
      <c r="C1899" t="s">
        <v>9</v>
      </c>
      <c r="D1899">
        <v>193</v>
      </c>
      <c r="E1899">
        <v>12</v>
      </c>
      <c r="F1899">
        <v>6.22</v>
      </c>
      <c r="G1899">
        <v>36.4</v>
      </c>
      <c r="H1899">
        <v>7025.2</v>
      </c>
    </row>
    <row r="1900" spans="1:8" x14ac:dyDescent="0.35">
      <c r="A1900" t="s">
        <v>5</v>
      </c>
      <c r="B1900" t="s">
        <v>12</v>
      </c>
      <c r="C1900" t="s">
        <v>9</v>
      </c>
      <c r="D1900">
        <v>190</v>
      </c>
      <c r="E1900">
        <v>14</v>
      </c>
      <c r="F1900">
        <v>7.37</v>
      </c>
      <c r="G1900">
        <v>43.6</v>
      </c>
      <c r="H1900">
        <v>8284</v>
      </c>
    </row>
    <row r="1901" spans="1:8" x14ac:dyDescent="0.35">
      <c r="A1901" t="s">
        <v>5</v>
      </c>
      <c r="B1901" t="s">
        <v>12</v>
      </c>
      <c r="C1901" t="s">
        <v>9</v>
      </c>
      <c r="D1901">
        <v>210</v>
      </c>
      <c r="E1901">
        <v>16</v>
      </c>
      <c r="F1901">
        <v>7.62</v>
      </c>
      <c r="G1901">
        <v>53.47</v>
      </c>
      <c r="H1901">
        <v>11228.7</v>
      </c>
    </row>
    <row r="1902" spans="1:8" x14ac:dyDescent="0.35">
      <c r="A1902" t="s">
        <v>5</v>
      </c>
      <c r="B1902" t="s">
        <v>12</v>
      </c>
      <c r="C1902" t="s">
        <v>9</v>
      </c>
      <c r="D1902">
        <v>233</v>
      </c>
      <c r="E1902">
        <v>14</v>
      </c>
      <c r="F1902">
        <v>6.01</v>
      </c>
      <c r="G1902">
        <v>41.11</v>
      </c>
      <c r="H1902">
        <v>9578.6299999999992</v>
      </c>
    </row>
    <row r="1903" spans="1:8" x14ac:dyDescent="0.35">
      <c r="A1903" t="s">
        <v>6</v>
      </c>
      <c r="B1903" t="s">
        <v>12</v>
      </c>
      <c r="C1903" t="s">
        <v>11</v>
      </c>
      <c r="D1903">
        <v>252</v>
      </c>
      <c r="E1903">
        <v>0</v>
      </c>
      <c r="F1903">
        <v>0</v>
      </c>
      <c r="G1903">
        <v>46.92</v>
      </c>
      <c r="H1903">
        <v>11823.84</v>
      </c>
    </row>
    <row r="1904" spans="1:8" x14ac:dyDescent="0.35">
      <c r="A1904" t="s">
        <v>6</v>
      </c>
      <c r="B1904" t="s">
        <v>12</v>
      </c>
      <c r="C1904" t="s">
        <v>9</v>
      </c>
      <c r="D1904">
        <v>278</v>
      </c>
      <c r="E1904">
        <v>19</v>
      </c>
      <c r="F1904">
        <v>6.83</v>
      </c>
      <c r="G1904">
        <v>13.44</v>
      </c>
      <c r="H1904">
        <v>3736.32</v>
      </c>
    </row>
    <row r="1905" spans="1:8" x14ac:dyDescent="0.35">
      <c r="A1905" t="s">
        <v>8</v>
      </c>
      <c r="B1905" t="s">
        <v>12</v>
      </c>
      <c r="C1905" t="s">
        <v>9</v>
      </c>
      <c r="D1905">
        <v>120</v>
      </c>
      <c r="E1905">
        <v>5</v>
      </c>
      <c r="F1905">
        <v>4.17</v>
      </c>
      <c r="G1905">
        <v>52.14</v>
      </c>
      <c r="H1905">
        <v>6256.8</v>
      </c>
    </row>
    <row r="1906" spans="1:8" x14ac:dyDescent="0.35">
      <c r="A1906" t="s">
        <v>6</v>
      </c>
      <c r="B1906" t="s">
        <v>12</v>
      </c>
      <c r="C1906" t="s">
        <v>9</v>
      </c>
      <c r="D1906">
        <v>257</v>
      </c>
      <c r="E1906">
        <v>16</v>
      </c>
      <c r="F1906">
        <v>6.23</v>
      </c>
      <c r="G1906">
        <v>12.61</v>
      </c>
      <c r="H1906">
        <v>3240.77</v>
      </c>
    </row>
    <row r="1907" spans="1:8" x14ac:dyDescent="0.35">
      <c r="A1907" t="s">
        <v>6</v>
      </c>
      <c r="B1907" t="s">
        <v>12</v>
      </c>
      <c r="C1907" t="s">
        <v>9</v>
      </c>
      <c r="D1907">
        <v>247</v>
      </c>
      <c r="E1907">
        <v>5</v>
      </c>
      <c r="F1907">
        <v>2.02</v>
      </c>
      <c r="G1907">
        <v>51.67</v>
      </c>
      <c r="H1907">
        <v>12762.49</v>
      </c>
    </row>
    <row r="1908" spans="1:8" x14ac:dyDescent="0.35">
      <c r="A1908" t="s">
        <v>7</v>
      </c>
      <c r="B1908" t="s">
        <v>12</v>
      </c>
      <c r="C1908" t="s">
        <v>9</v>
      </c>
      <c r="D1908">
        <v>93</v>
      </c>
      <c r="E1908">
        <v>6</v>
      </c>
      <c r="F1908">
        <v>6.45</v>
      </c>
      <c r="G1908">
        <v>28.95</v>
      </c>
      <c r="H1908">
        <v>2692.35</v>
      </c>
    </row>
    <row r="1909" spans="1:8" x14ac:dyDescent="0.35">
      <c r="A1909" t="s">
        <v>6</v>
      </c>
      <c r="B1909" t="s">
        <v>12</v>
      </c>
      <c r="C1909" t="s">
        <v>9</v>
      </c>
      <c r="D1909">
        <v>166</v>
      </c>
      <c r="E1909">
        <v>7</v>
      </c>
      <c r="F1909">
        <v>4.22</v>
      </c>
      <c r="G1909">
        <v>49.5</v>
      </c>
      <c r="H1909">
        <v>8217</v>
      </c>
    </row>
    <row r="1910" spans="1:8" x14ac:dyDescent="0.35">
      <c r="A1910" t="s">
        <v>6</v>
      </c>
      <c r="B1910" t="s">
        <v>12</v>
      </c>
      <c r="C1910" t="s">
        <v>9</v>
      </c>
      <c r="D1910">
        <v>278</v>
      </c>
      <c r="E1910">
        <v>2</v>
      </c>
      <c r="F1910">
        <v>0.72</v>
      </c>
      <c r="G1910">
        <v>57.33</v>
      </c>
      <c r="H1910">
        <v>15937.74</v>
      </c>
    </row>
    <row r="1911" spans="1:8" x14ac:dyDescent="0.35">
      <c r="A1911" t="s">
        <v>5</v>
      </c>
      <c r="B1911" t="s">
        <v>12</v>
      </c>
      <c r="C1911" t="s">
        <v>9</v>
      </c>
      <c r="D1911">
        <v>173</v>
      </c>
      <c r="E1911">
        <v>8</v>
      </c>
      <c r="F1911">
        <v>4.62</v>
      </c>
      <c r="G1911">
        <v>23.3</v>
      </c>
      <c r="H1911">
        <v>4030.9</v>
      </c>
    </row>
    <row r="1912" spans="1:8" x14ac:dyDescent="0.35">
      <c r="A1912" t="s">
        <v>5</v>
      </c>
      <c r="B1912" t="s">
        <v>12</v>
      </c>
      <c r="C1912" t="s">
        <v>9</v>
      </c>
      <c r="D1912">
        <v>121</v>
      </c>
      <c r="E1912">
        <v>3</v>
      </c>
      <c r="F1912">
        <v>2.48</v>
      </c>
      <c r="G1912">
        <v>16.78</v>
      </c>
      <c r="H1912">
        <v>2030.38</v>
      </c>
    </row>
    <row r="1913" spans="1:8" x14ac:dyDescent="0.35">
      <c r="A1913" t="s">
        <v>6</v>
      </c>
      <c r="B1913" t="s">
        <v>12</v>
      </c>
      <c r="C1913" t="s">
        <v>9</v>
      </c>
      <c r="D1913">
        <v>112</v>
      </c>
      <c r="E1913">
        <v>8</v>
      </c>
      <c r="F1913">
        <v>7.14</v>
      </c>
      <c r="G1913">
        <v>26.06</v>
      </c>
      <c r="H1913">
        <v>2918.72</v>
      </c>
    </row>
    <row r="1914" spans="1:8" x14ac:dyDescent="0.35">
      <c r="A1914" t="s">
        <v>8</v>
      </c>
      <c r="B1914" t="s">
        <v>12</v>
      </c>
      <c r="C1914" t="s">
        <v>9</v>
      </c>
      <c r="D1914">
        <v>168</v>
      </c>
      <c r="E1914">
        <v>11</v>
      </c>
      <c r="F1914">
        <v>6.55</v>
      </c>
      <c r="G1914">
        <v>50.08</v>
      </c>
      <c r="H1914">
        <v>8413.44</v>
      </c>
    </row>
    <row r="1915" spans="1:8" x14ac:dyDescent="0.35">
      <c r="A1915" t="s">
        <v>6</v>
      </c>
      <c r="B1915" t="s">
        <v>12</v>
      </c>
      <c r="C1915" t="s">
        <v>9</v>
      </c>
      <c r="D1915">
        <v>83</v>
      </c>
      <c r="E1915">
        <v>0</v>
      </c>
      <c r="F1915">
        <v>0</v>
      </c>
      <c r="G1915">
        <v>43.5</v>
      </c>
      <c r="H1915">
        <v>3610.5</v>
      </c>
    </row>
    <row r="1916" spans="1:8" x14ac:dyDescent="0.35">
      <c r="A1916" t="s">
        <v>7</v>
      </c>
      <c r="B1916" t="s">
        <v>12</v>
      </c>
      <c r="C1916" t="s">
        <v>10</v>
      </c>
      <c r="D1916">
        <v>226</v>
      </c>
      <c r="E1916">
        <v>22</v>
      </c>
      <c r="F1916">
        <v>9.73</v>
      </c>
      <c r="G1916">
        <v>65.36</v>
      </c>
      <c r="H1916">
        <v>14771.36</v>
      </c>
    </row>
    <row r="1917" spans="1:8" x14ac:dyDescent="0.35">
      <c r="A1917" t="s">
        <v>6</v>
      </c>
      <c r="B1917" t="s">
        <v>12</v>
      </c>
      <c r="C1917" t="s">
        <v>11</v>
      </c>
      <c r="D1917">
        <v>291</v>
      </c>
      <c r="E1917">
        <v>7</v>
      </c>
      <c r="F1917">
        <v>2.41</v>
      </c>
      <c r="G1917">
        <v>29.57</v>
      </c>
      <c r="H1917">
        <v>8604.8700000000008</v>
      </c>
    </row>
    <row r="1918" spans="1:8" x14ac:dyDescent="0.35">
      <c r="A1918" t="s">
        <v>6</v>
      </c>
      <c r="B1918" t="s">
        <v>12</v>
      </c>
      <c r="C1918" t="s">
        <v>11</v>
      </c>
      <c r="D1918">
        <v>251</v>
      </c>
      <c r="E1918">
        <v>21</v>
      </c>
      <c r="F1918">
        <v>8.3699999999999992</v>
      </c>
      <c r="G1918">
        <v>31.15</v>
      </c>
      <c r="H1918">
        <v>7818.65</v>
      </c>
    </row>
    <row r="1919" spans="1:8" x14ac:dyDescent="0.35">
      <c r="A1919" t="s">
        <v>6</v>
      </c>
      <c r="B1919" t="s">
        <v>12</v>
      </c>
      <c r="C1919" t="s">
        <v>11</v>
      </c>
      <c r="D1919">
        <v>211</v>
      </c>
      <c r="E1919">
        <v>3</v>
      </c>
      <c r="F1919">
        <v>1.42</v>
      </c>
      <c r="G1919">
        <v>29.31</v>
      </c>
      <c r="H1919">
        <v>6184.41</v>
      </c>
    </row>
    <row r="1920" spans="1:8" x14ac:dyDescent="0.35">
      <c r="A1920" t="s">
        <v>8</v>
      </c>
      <c r="B1920" t="s">
        <v>12</v>
      </c>
      <c r="C1920" t="s">
        <v>9</v>
      </c>
      <c r="D1920">
        <v>222</v>
      </c>
      <c r="E1920">
        <v>3</v>
      </c>
      <c r="F1920">
        <v>1.35</v>
      </c>
      <c r="G1920">
        <v>6.52</v>
      </c>
      <c r="H1920">
        <v>1447.44</v>
      </c>
    </row>
    <row r="1921" spans="1:8" x14ac:dyDescent="0.35">
      <c r="A1921" t="s">
        <v>6</v>
      </c>
      <c r="B1921" t="s">
        <v>12</v>
      </c>
      <c r="C1921" t="s">
        <v>9</v>
      </c>
      <c r="D1921">
        <v>108</v>
      </c>
      <c r="E1921">
        <v>1</v>
      </c>
      <c r="F1921">
        <v>0.93</v>
      </c>
      <c r="G1921">
        <v>21.64</v>
      </c>
      <c r="H1921">
        <v>2337.12</v>
      </c>
    </row>
    <row r="1922" spans="1:8" x14ac:dyDescent="0.35">
      <c r="A1922" t="s">
        <v>6</v>
      </c>
      <c r="B1922" t="s">
        <v>12</v>
      </c>
      <c r="C1922" t="s">
        <v>11</v>
      </c>
      <c r="D1922">
        <v>188</v>
      </c>
      <c r="E1922">
        <v>15</v>
      </c>
      <c r="F1922">
        <v>7.98</v>
      </c>
      <c r="G1922">
        <v>61.78</v>
      </c>
      <c r="H1922">
        <v>11614.64</v>
      </c>
    </row>
    <row r="1923" spans="1:8" x14ac:dyDescent="0.35">
      <c r="A1923" t="s">
        <v>8</v>
      </c>
      <c r="B1923" t="s">
        <v>12</v>
      </c>
      <c r="C1923" t="s">
        <v>9</v>
      </c>
      <c r="D1923">
        <v>93</v>
      </c>
      <c r="E1923">
        <v>1</v>
      </c>
      <c r="F1923">
        <v>1.08</v>
      </c>
      <c r="G1923">
        <v>11.79</v>
      </c>
      <c r="H1923">
        <v>1096.47</v>
      </c>
    </row>
    <row r="1924" spans="1:8" x14ac:dyDescent="0.35">
      <c r="A1924" t="s">
        <v>7</v>
      </c>
      <c r="B1924" t="s">
        <v>12</v>
      </c>
      <c r="C1924" t="s">
        <v>10</v>
      </c>
      <c r="D1924">
        <v>151</v>
      </c>
      <c r="E1924">
        <v>3</v>
      </c>
      <c r="F1924">
        <v>1.99</v>
      </c>
      <c r="G1924">
        <v>44.28</v>
      </c>
      <c r="H1924">
        <v>6686.28</v>
      </c>
    </row>
    <row r="1925" spans="1:8" x14ac:dyDescent="0.35">
      <c r="A1925" t="s">
        <v>7</v>
      </c>
      <c r="B1925" t="s">
        <v>12</v>
      </c>
      <c r="C1925" t="s">
        <v>10</v>
      </c>
      <c r="D1925">
        <v>243</v>
      </c>
      <c r="E1925">
        <v>3</v>
      </c>
      <c r="F1925">
        <v>1.23</v>
      </c>
      <c r="G1925">
        <v>7.55</v>
      </c>
      <c r="H1925">
        <v>1834.65</v>
      </c>
    </row>
    <row r="1926" spans="1:8" x14ac:dyDescent="0.35">
      <c r="A1926" t="s">
        <v>8</v>
      </c>
      <c r="B1926" t="s">
        <v>12</v>
      </c>
      <c r="C1926" t="s">
        <v>9</v>
      </c>
      <c r="D1926">
        <v>263</v>
      </c>
      <c r="E1926">
        <v>18</v>
      </c>
      <c r="F1926">
        <v>6.84</v>
      </c>
      <c r="G1926">
        <v>36.49</v>
      </c>
      <c r="H1926">
        <v>9596.8700000000008</v>
      </c>
    </row>
    <row r="1927" spans="1:8" x14ac:dyDescent="0.35">
      <c r="A1927" t="s">
        <v>6</v>
      </c>
      <c r="B1927" t="s">
        <v>12</v>
      </c>
      <c r="C1927" t="s">
        <v>11</v>
      </c>
      <c r="D1927">
        <v>205</v>
      </c>
      <c r="E1927">
        <v>1</v>
      </c>
      <c r="F1927">
        <v>0.49</v>
      </c>
      <c r="G1927">
        <v>61.87</v>
      </c>
      <c r="H1927">
        <v>12683.35</v>
      </c>
    </row>
    <row r="1928" spans="1:8" x14ac:dyDescent="0.35">
      <c r="A1928" t="s">
        <v>7</v>
      </c>
      <c r="B1928" t="s">
        <v>12</v>
      </c>
      <c r="C1928" t="s">
        <v>10</v>
      </c>
      <c r="D1928">
        <v>249</v>
      </c>
      <c r="E1928">
        <v>1</v>
      </c>
      <c r="F1928">
        <v>0.4</v>
      </c>
      <c r="G1928">
        <v>47.66</v>
      </c>
      <c r="H1928">
        <v>11867.34</v>
      </c>
    </row>
    <row r="1929" spans="1:8" x14ac:dyDescent="0.35">
      <c r="A1929" t="s">
        <v>7</v>
      </c>
      <c r="B1929" t="s">
        <v>12</v>
      </c>
      <c r="C1929" t="s">
        <v>9</v>
      </c>
      <c r="D1929">
        <v>71</v>
      </c>
      <c r="E1929">
        <v>2</v>
      </c>
      <c r="F1929">
        <v>2.82</v>
      </c>
      <c r="G1929">
        <v>53.4</v>
      </c>
      <c r="H1929">
        <v>3791.4</v>
      </c>
    </row>
    <row r="1930" spans="1:8" x14ac:dyDescent="0.35">
      <c r="A1930" t="s">
        <v>5</v>
      </c>
      <c r="B1930" t="s">
        <v>12</v>
      </c>
      <c r="C1930" t="s">
        <v>9</v>
      </c>
      <c r="D1930">
        <v>184</v>
      </c>
      <c r="E1930">
        <v>16</v>
      </c>
      <c r="F1930">
        <v>8.6999999999999993</v>
      </c>
      <c r="G1930">
        <v>19.489999999999998</v>
      </c>
      <c r="H1930">
        <v>3586.16</v>
      </c>
    </row>
    <row r="1931" spans="1:8" x14ac:dyDescent="0.35">
      <c r="A1931" t="s">
        <v>7</v>
      </c>
      <c r="B1931" t="s">
        <v>12</v>
      </c>
      <c r="C1931" t="s">
        <v>9</v>
      </c>
      <c r="D1931">
        <v>216</v>
      </c>
      <c r="E1931">
        <v>16</v>
      </c>
      <c r="F1931">
        <v>7.41</v>
      </c>
      <c r="G1931">
        <v>64.260000000000005</v>
      </c>
      <c r="H1931">
        <v>13880.16</v>
      </c>
    </row>
    <row r="1932" spans="1:8" x14ac:dyDescent="0.35">
      <c r="A1932" t="s">
        <v>5</v>
      </c>
      <c r="B1932" t="s">
        <v>12</v>
      </c>
      <c r="C1932" t="s">
        <v>9</v>
      </c>
      <c r="D1932">
        <v>244</v>
      </c>
      <c r="E1932">
        <v>3</v>
      </c>
      <c r="F1932">
        <v>1.23</v>
      </c>
      <c r="G1932">
        <v>57.76</v>
      </c>
      <c r="H1932">
        <v>14093.44</v>
      </c>
    </row>
    <row r="1933" spans="1:8" x14ac:dyDescent="0.35">
      <c r="A1933" t="s">
        <v>6</v>
      </c>
      <c r="B1933" t="s">
        <v>12</v>
      </c>
      <c r="C1933" t="s">
        <v>11</v>
      </c>
      <c r="D1933">
        <v>231</v>
      </c>
      <c r="E1933">
        <v>12</v>
      </c>
      <c r="F1933">
        <v>5.19</v>
      </c>
      <c r="G1933">
        <v>37.869999999999997</v>
      </c>
      <c r="H1933">
        <v>8747.9699999999993</v>
      </c>
    </row>
    <row r="1934" spans="1:8" x14ac:dyDescent="0.35">
      <c r="A1934" t="s">
        <v>7</v>
      </c>
      <c r="B1934" t="s">
        <v>12</v>
      </c>
      <c r="C1934" t="s">
        <v>10</v>
      </c>
      <c r="D1934">
        <v>74</v>
      </c>
      <c r="E1934">
        <v>1</v>
      </c>
      <c r="F1934">
        <v>1.35</v>
      </c>
      <c r="G1934">
        <v>40.67</v>
      </c>
      <c r="H1934">
        <v>3009.58</v>
      </c>
    </row>
    <row r="1935" spans="1:8" x14ac:dyDescent="0.35">
      <c r="A1935" t="s">
        <v>6</v>
      </c>
      <c r="B1935" t="s">
        <v>12</v>
      </c>
      <c r="C1935" t="s">
        <v>9</v>
      </c>
      <c r="D1935">
        <v>261</v>
      </c>
      <c r="E1935">
        <v>2</v>
      </c>
      <c r="F1935">
        <v>0.77</v>
      </c>
      <c r="G1935">
        <v>50.81</v>
      </c>
      <c r="H1935">
        <v>13261.41</v>
      </c>
    </row>
    <row r="1936" spans="1:8" x14ac:dyDescent="0.35">
      <c r="A1936" t="s">
        <v>8</v>
      </c>
      <c r="B1936" t="s">
        <v>12</v>
      </c>
      <c r="C1936" t="s">
        <v>9</v>
      </c>
      <c r="D1936">
        <v>92</v>
      </c>
      <c r="E1936">
        <v>6</v>
      </c>
      <c r="F1936">
        <v>6.52</v>
      </c>
      <c r="G1936">
        <v>44.32</v>
      </c>
      <c r="H1936">
        <v>4077.44</v>
      </c>
    </row>
    <row r="1937" spans="1:8" x14ac:dyDescent="0.35">
      <c r="A1937" t="s">
        <v>5</v>
      </c>
      <c r="B1937" t="s">
        <v>12</v>
      </c>
      <c r="C1937" t="s">
        <v>9</v>
      </c>
      <c r="D1937">
        <v>154</v>
      </c>
      <c r="E1937">
        <v>11</v>
      </c>
      <c r="F1937">
        <v>7.14</v>
      </c>
      <c r="G1937">
        <v>36.44</v>
      </c>
      <c r="H1937">
        <v>5611.76</v>
      </c>
    </row>
    <row r="1938" spans="1:8" x14ac:dyDescent="0.35">
      <c r="A1938" t="s">
        <v>7</v>
      </c>
      <c r="B1938" t="s">
        <v>12</v>
      </c>
      <c r="C1938" t="s">
        <v>10</v>
      </c>
      <c r="D1938">
        <v>108</v>
      </c>
      <c r="E1938">
        <v>7</v>
      </c>
      <c r="F1938">
        <v>6.48</v>
      </c>
      <c r="G1938">
        <v>24.08</v>
      </c>
      <c r="H1938">
        <v>2600.64</v>
      </c>
    </row>
    <row r="1939" spans="1:8" x14ac:dyDescent="0.35">
      <c r="A1939" t="s">
        <v>5</v>
      </c>
      <c r="B1939" t="s">
        <v>12</v>
      </c>
      <c r="C1939" t="s">
        <v>9</v>
      </c>
      <c r="D1939">
        <v>78</v>
      </c>
      <c r="E1939">
        <v>0</v>
      </c>
      <c r="F1939">
        <v>0</v>
      </c>
      <c r="G1939">
        <v>45.48</v>
      </c>
      <c r="H1939">
        <v>3547.44</v>
      </c>
    </row>
    <row r="1940" spans="1:8" x14ac:dyDescent="0.35">
      <c r="A1940" t="s">
        <v>7</v>
      </c>
      <c r="B1940" t="s">
        <v>12</v>
      </c>
      <c r="C1940" t="s">
        <v>10</v>
      </c>
      <c r="D1940">
        <v>63</v>
      </c>
      <c r="E1940">
        <v>2</v>
      </c>
      <c r="F1940">
        <v>3.17</v>
      </c>
      <c r="G1940">
        <v>18.940000000000001</v>
      </c>
      <c r="H1940">
        <v>1193.22</v>
      </c>
    </row>
    <row r="1941" spans="1:8" x14ac:dyDescent="0.35">
      <c r="A1941" t="s">
        <v>7</v>
      </c>
      <c r="B1941" t="s">
        <v>12</v>
      </c>
      <c r="C1941" t="s">
        <v>10</v>
      </c>
      <c r="D1941">
        <v>188</v>
      </c>
      <c r="E1941">
        <v>5</v>
      </c>
      <c r="F1941">
        <v>2.66</v>
      </c>
      <c r="G1941">
        <v>20.53</v>
      </c>
      <c r="H1941">
        <v>3859.64</v>
      </c>
    </row>
    <row r="1942" spans="1:8" x14ac:dyDescent="0.35">
      <c r="A1942" t="s">
        <v>8</v>
      </c>
      <c r="B1942" t="s">
        <v>12</v>
      </c>
      <c r="C1942" t="s">
        <v>9</v>
      </c>
      <c r="D1942">
        <v>111</v>
      </c>
      <c r="E1942">
        <v>8</v>
      </c>
      <c r="F1942">
        <v>7.21</v>
      </c>
      <c r="G1942">
        <v>24.94</v>
      </c>
      <c r="H1942">
        <v>2768.34</v>
      </c>
    </row>
    <row r="1943" spans="1:8" x14ac:dyDescent="0.35">
      <c r="A1943" t="s">
        <v>6</v>
      </c>
      <c r="B1943" t="s">
        <v>12</v>
      </c>
      <c r="C1943" t="s">
        <v>11</v>
      </c>
      <c r="D1943">
        <v>177</v>
      </c>
      <c r="E1943">
        <v>4</v>
      </c>
      <c r="F1943">
        <v>2.2599999999999998</v>
      </c>
      <c r="G1943">
        <v>48.38</v>
      </c>
      <c r="H1943">
        <v>8563.26</v>
      </c>
    </row>
    <row r="1944" spans="1:8" x14ac:dyDescent="0.35">
      <c r="A1944" t="s">
        <v>7</v>
      </c>
      <c r="B1944" t="s">
        <v>12</v>
      </c>
      <c r="C1944" t="s">
        <v>10</v>
      </c>
      <c r="D1944">
        <v>245</v>
      </c>
      <c r="E1944">
        <v>15</v>
      </c>
      <c r="F1944">
        <v>6.12</v>
      </c>
      <c r="G1944">
        <v>57.51</v>
      </c>
      <c r="H1944">
        <v>14089.95</v>
      </c>
    </row>
    <row r="1945" spans="1:8" x14ac:dyDescent="0.35">
      <c r="A1945" t="s">
        <v>5</v>
      </c>
      <c r="B1945" t="s">
        <v>12</v>
      </c>
      <c r="C1945" t="s">
        <v>9</v>
      </c>
      <c r="D1945">
        <v>68</v>
      </c>
      <c r="E1945">
        <v>5</v>
      </c>
      <c r="F1945">
        <v>7.35</v>
      </c>
      <c r="G1945">
        <v>52.25</v>
      </c>
      <c r="H1945">
        <v>3553</v>
      </c>
    </row>
    <row r="1946" spans="1:8" x14ac:dyDescent="0.35">
      <c r="A1946" t="s">
        <v>5</v>
      </c>
      <c r="B1946" t="s">
        <v>12</v>
      </c>
      <c r="C1946" t="s">
        <v>9</v>
      </c>
      <c r="D1946">
        <v>163</v>
      </c>
      <c r="E1946">
        <v>2</v>
      </c>
      <c r="F1946">
        <v>1.23</v>
      </c>
      <c r="G1946">
        <v>21.58</v>
      </c>
      <c r="H1946">
        <v>3517.54</v>
      </c>
    </row>
    <row r="1947" spans="1:8" x14ac:dyDescent="0.35">
      <c r="A1947" t="s">
        <v>7</v>
      </c>
      <c r="B1947" t="s">
        <v>12</v>
      </c>
      <c r="C1947" t="s">
        <v>9</v>
      </c>
      <c r="D1947">
        <v>232</v>
      </c>
      <c r="E1947">
        <v>8</v>
      </c>
      <c r="F1947">
        <v>3.45</v>
      </c>
      <c r="G1947">
        <v>23.84</v>
      </c>
      <c r="H1947">
        <v>5530.88</v>
      </c>
    </row>
    <row r="1948" spans="1:8" x14ac:dyDescent="0.35">
      <c r="A1948" t="s">
        <v>6</v>
      </c>
      <c r="B1948" t="s">
        <v>12</v>
      </c>
      <c r="C1948" t="s">
        <v>11</v>
      </c>
      <c r="D1948">
        <v>89</v>
      </c>
      <c r="E1948">
        <v>4</v>
      </c>
      <c r="F1948">
        <v>4.49</v>
      </c>
      <c r="G1948">
        <v>48.02</v>
      </c>
      <c r="H1948">
        <v>4273.78</v>
      </c>
    </row>
    <row r="1949" spans="1:8" x14ac:dyDescent="0.35">
      <c r="A1949" t="s">
        <v>6</v>
      </c>
      <c r="B1949" t="s">
        <v>12</v>
      </c>
      <c r="C1949" t="s">
        <v>9</v>
      </c>
      <c r="D1949">
        <v>185</v>
      </c>
      <c r="E1949">
        <v>17</v>
      </c>
      <c r="F1949">
        <v>9.19</v>
      </c>
      <c r="G1949">
        <v>68.319999999999993</v>
      </c>
      <c r="H1949">
        <v>12639.2</v>
      </c>
    </row>
    <row r="1950" spans="1:8" x14ac:dyDescent="0.35">
      <c r="A1950" t="s">
        <v>7</v>
      </c>
      <c r="B1950" t="s">
        <v>12</v>
      </c>
      <c r="C1950" t="s">
        <v>9</v>
      </c>
      <c r="D1950">
        <v>81</v>
      </c>
      <c r="E1950">
        <v>2</v>
      </c>
      <c r="F1950">
        <v>2.4700000000000002</v>
      </c>
      <c r="G1950">
        <v>24.08</v>
      </c>
      <c r="H1950">
        <v>1950.48</v>
      </c>
    </row>
    <row r="1951" spans="1:8" x14ac:dyDescent="0.35">
      <c r="A1951" t="s">
        <v>5</v>
      </c>
      <c r="B1951" t="s">
        <v>12</v>
      </c>
      <c r="C1951" t="s">
        <v>9</v>
      </c>
      <c r="D1951">
        <v>203</v>
      </c>
      <c r="E1951">
        <v>12</v>
      </c>
      <c r="F1951">
        <v>5.91</v>
      </c>
      <c r="G1951">
        <v>17.579999999999998</v>
      </c>
      <c r="H1951">
        <v>3568.74</v>
      </c>
    </row>
    <row r="1952" spans="1:8" x14ac:dyDescent="0.35">
      <c r="A1952" t="s">
        <v>6</v>
      </c>
      <c r="B1952" t="s">
        <v>12</v>
      </c>
      <c r="C1952" t="s">
        <v>9</v>
      </c>
      <c r="D1952">
        <v>103</v>
      </c>
      <c r="E1952">
        <v>10</v>
      </c>
      <c r="F1952">
        <v>9.7100000000000009</v>
      </c>
      <c r="G1952">
        <v>9.7100000000000009</v>
      </c>
      <c r="H1952">
        <v>1000.13</v>
      </c>
    </row>
    <row r="1953" spans="1:8" x14ac:dyDescent="0.35">
      <c r="A1953" t="s">
        <v>8</v>
      </c>
      <c r="B1953" t="s">
        <v>12</v>
      </c>
      <c r="C1953" t="s">
        <v>9</v>
      </c>
      <c r="D1953">
        <v>196</v>
      </c>
      <c r="E1953">
        <v>12</v>
      </c>
      <c r="F1953">
        <v>6.12</v>
      </c>
      <c r="G1953">
        <v>18.22</v>
      </c>
      <c r="H1953">
        <v>3571.12</v>
      </c>
    </row>
    <row r="1954" spans="1:8" x14ac:dyDescent="0.35">
      <c r="A1954" t="s">
        <v>7</v>
      </c>
      <c r="B1954" t="s">
        <v>12</v>
      </c>
      <c r="C1954" t="s">
        <v>9</v>
      </c>
      <c r="D1954">
        <v>87</v>
      </c>
      <c r="E1954">
        <v>2</v>
      </c>
      <c r="F1954">
        <v>2.2999999999999998</v>
      </c>
      <c r="G1954">
        <v>20.98</v>
      </c>
      <c r="H1954">
        <v>1825.26</v>
      </c>
    </row>
    <row r="1955" spans="1:8" x14ac:dyDescent="0.35">
      <c r="A1955" t="s">
        <v>6</v>
      </c>
      <c r="B1955" t="s">
        <v>12</v>
      </c>
      <c r="C1955" t="s">
        <v>11</v>
      </c>
      <c r="D1955">
        <v>264</v>
      </c>
      <c r="E1955">
        <v>1</v>
      </c>
      <c r="F1955">
        <v>0.38</v>
      </c>
      <c r="G1955">
        <v>42.44</v>
      </c>
      <c r="H1955">
        <v>11204.16</v>
      </c>
    </row>
    <row r="1956" spans="1:8" x14ac:dyDescent="0.35">
      <c r="A1956" t="s">
        <v>6</v>
      </c>
      <c r="B1956" t="s">
        <v>12</v>
      </c>
      <c r="C1956" t="s">
        <v>11</v>
      </c>
      <c r="D1956">
        <v>96</v>
      </c>
      <c r="E1956">
        <v>0</v>
      </c>
      <c r="F1956">
        <v>0</v>
      </c>
      <c r="G1956">
        <v>50.02</v>
      </c>
      <c r="H1956">
        <v>4801.92</v>
      </c>
    </row>
    <row r="1957" spans="1:8" x14ac:dyDescent="0.35">
      <c r="A1957" t="s">
        <v>6</v>
      </c>
      <c r="B1957" t="s">
        <v>12</v>
      </c>
      <c r="C1957" t="s">
        <v>9</v>
      </c>
      <c r="D1957">
        <v>131</v>
      </c>
      <c r="E1957">
        <v>6</v>
      </c>
      <c r="F1957">
        <v>4.58</v>
      </c>
      <c r="G1957">
        <v>43.33</v>
      </c>
      <c r="H1957">
        <v>5676.23</v>
      </c>
    </row>
    <row r="1958" spans="1:8" x14ac:dyDescent="0.35">
      <c r="A1958" t="s">
        <v>6</v>
      </c>
      <c r="B1958" t="s">
        <v>12</v>
      </c>
      <c r="C1958" t="s">
        <v>9</v>
      </c>
      <c r="D1958">
        <v>142</v>
      </c>
      <c r="E1958">
        <v>12</v>
      </c>
      <c r="F1958">
        <v>8.4499999999999993</v>
      </c>
      <c r="G1958">
        <v>49.31</v>
      </c>
      <c r="H1958">
        <v>7002.02</v>
      </c>
    </row>
    <row r="1959" spans="1:8" x14ac:dyDescent="0.35">
      <c r="A1959" t="s">
        <v>7</v>
      </c>
      <c r="B1959" t="s">
        <v>12</v>
      </c>
      <c r="C1959" t="s">
        <v>9</v>
      </c>
      <c r="D1959">
        <v>50</v>
      </c>
      <c r="E1959">
        <v>2</v>
      </c>
      <c r="F1959">
        <v>4</v>
      </c>
      <c r="G1959">
        <v>11.35</v>
      </c>
      <c r="H1959">
        <v>567.5</v>
      </c>
    </row>
    <row r="1960" spans="1:8" x14ac:dyDescent="0.35">
      <c r="A1960" t="s">
        <v>6</v>
      </c>
      <c r="B1960" t="s">
        <v>12</v>
      </c>
      <c r="C1960" t="s">
        <v>11</v>
      </c>
      <c r="D1960">
        <v>54</v>
      </c>
      <c r="E1960">
        <v>2</v>
      </c>
      <c r="F1960">
        <v>3.7</v>
      </c>
      <c r="G1960">
        <v>64.36</v>
      </c>
      <c r="H1960">
        <v>3475.44</v>
      </c>
    </row>
    <row r="1961" spans="1:8" x14ac:dyDescent="0.35">
      <c r="A1961" t="s">
        <v>5</v>
      </c>
      <c r="B1961" t="s">
        <v>12</v>
      </c>
      <c r="C1961" t="s">
        <v>9</v>
      </c>
      <c r="D1961">
        <v>201</v>
      </c>
      <c r="E1961">
        <v>11</v>
      </c>
      <c r="F1961">
        <v>5.47</v>
      </c>
      <c r="G1961">
        <v>48.94</v>
      </c>
      <c r="H1961">
        <v>9836.94</v>
      </c>
    </row>
    <row r="1962" spans="1:8" x14ac:dyDescent="0.35">
      <c r="A1962" t="s">
        <v>8</v>
      </c>
      <c r="B1962" t="s">
        <v>12</v>
      </c>
      <c r="C1962" t="s">
        <v>9</v>
      </c>
      <c r="D1962">
        <v>131</v>
      </c>
      <c r="E1962">
        <v>3</v>
      </c>
      <c r="F1962">
        <v>2.29</v>
      </c>
      <c r="G1962">
        <v>64.73</v>
      </c>
      <c r="H1962">
        <v>8479.6299999999992</v>
      </c>
    </row>
    <row r="1963" spans="1:8" x14ac:dyDescent="0.35">
      <c r="A1963" t="s">
        <v>7</v>
      </c>
      <c r="B1963" t="s">
        <v>12</v>
      </c>
      <c r="C1963" t="s">
        <v>9</v>
      </c>
      <c r="D1963">
        <v>119</v>
      </c>
      <c r="E1963">
        <v>8</v>
      </c>
      <c r="F1963">
        <v>6.72</v>
      </c>
      <c r="G1963">
        <v>52.1</v>
      </c>
      <c r="H1963">
        <v>6199.9</v>
      </c>
    </row>
    <row r="1964" spans="1:8" x14ac:dyDescent="0.35">
      <c r="A1964" t="s">
        <v>5</v>
      </c>
      <c r="B1964" t="s">
        <v>12</v>
      </c>
      <c r="C1964" t="s">
        <v>9</v>
      </c>
      <c r="D1964">
        <v>155</v>
      </c>
      <c r="E1964">
        <v>5</v>
      </c>
      <c r="F1964">
        <v>3.23</v>
      </c>
      <c r="G1964">
        <v>27.27</v>
      </c>
      <c r="H1964">
        <v>4226.8500000000004</v>
      </c>
    </row>
    <row r="1965" spans="1:8" x14ac:dyDescent="0.35">
      <c r="A1965" t="s">
        <v>6</v>
      </c>
      <c r="B1965" t="s">
        <v>12</v>
      </c>
      <c r="C1965" t="s">
        <v>9</v>
      </c>
      <c r="D1965">
        <v>294</v>
      </c>
      <c r="E1965">
        <v>29</v>
      </c>
      <c r="F1965">
        <v>9.86</v>
      </c>
      <c r="G1965">
        <v>39.53</v>
      </c>
      <c r="H1965">
        <v>11621.82</v>
      </c>
    </row>
    <row r="1966" spans="1:8" x14ac:dyDescent="0.35">
      <c r="A1966" t="s">
        <v>6</v>
      </c>
      <c r="B1966" t="s">
        <v>12</v>
      </c>
      <c r="C1966" t="s">
        <v>11</v>
      </c>
      <c r="D1966">
        <v>187</v>
      </c>
      <c r="E1966">
        <v>10</v>
      </c>
      <c r="F1966">
        <v>5.35</v>
      </c>
      <c r="G1966">
        <v>47.89</v>
      </c>
      <c r="H1966">
        <v>8955.43</v>
      </c>
    </row>
    <row r="1967" spans="1:8" x14ac:dyDescent="0.35">
      <c r="A1967" t="s">
        <v>7</v>
      </c>
      <c r="B1967" t="s">
        <v>12</v>
      </c>
      <c r="C1967" t="s">
        <v>9</v>
      </c>
      <c r="D1967">
        <v>85</v>
      </c>
      <c r="E1967">
        <v>3</v>
      </c>
      <c r="F1967">
        <v>3.53</v>
      </c>
      <c r="G1967">
        <v>29.51</v>
      </c>
      <c r="H1967">
        <v>2508.35</v>
      </c>
    </row>
    <row r="1968" spans="1:8" x14ac:dyDescent="0.35">
      <c r="A1968" t="s">
        <v>5</v>
      </c>
      <c r="B1968" t="s">
        <v>12</v>
      </c>
      <c r="C1968" t="s">
        <v>9</v>
      </c>
      <c r="D1968">
        <v>73</v>
      </c>
      <c r="E1968">
        <v>4</v>
      </c>
      <c r="F1968">
        <v>5.48</v>
      </c>
      <c r="G1968">
        <v>52.02</v>
      </c>
      <c r="H1968">
        <v>3797.46</v>
      </c>
    </row>
    <row r="1969" spans="1:8" x14ac:dyDescent="0.35">
      <c r="A1969" t="s">
        <v>8</v>
      </c>
      <c r="B1969" t="s">
        <v>12</v>
      </c>
      <c r="C1969" t="s">
        <v>9</v>
      </c>
      <c r="D1969">
        <v>176</v>
      </c>
      <c r="E1969">
        <v>3</v>
      </c>
      <c r="F1969">
        <v>1.7</v>
      </c>
      <c r="G1969">
        <v>64.290000000000006</v>
      </c>
      <c r="H1969">
        <v>11315.04</v>
      </c>
    </row>
    <row r="1970" spans="1:8" x14ac:dyDescent="0.35">
      <c r="A1970" t="s">
        <v>7</v>
      </c>
      <c r="B1970" t="s">
        <v>12</v>
      </c>
      <c r="C1970" t="s">
        <v>10</v>
      </c>
      <c r="D1970">
        <v>112</v>
      </c>
      <c r="E1970">
        <v>8</v>
      </c>
      <c r="F1970">
        <v>7.14</v>
      </c>
      <c r="G1970">
        <v>56.87</v>
      </c>
      <c r="H1970">
        <v>6369.44</v>
      </c>
    </row>
    <row r="1971" spans="1:8" x14ac:dyDescent="0.35">
      <c r="A1971" t="s">
        <v>7</v>
      </c>
      <c r="B1971" t="s">
        <v>12</v>
      </c>
      <c r="C1971" t="s">
        <v>10</v>
      </c>
      <c r="D1971">
        <v>175</v>
      </c>
      <c r="E1971">
        <v>12</v>
      </c>
      <c r="F1971">
        <v>6.86</v>
      </c>
      <c r="G1971">
        <v>22.21</v>
      </c>
      <c r="H1971">
        <v>3886.75</v>
      </c>
    </row>
    <row r="1972" spans="1:8" x14ac:dyDescent="0.35">
      <c r="A1972" t="s">
        <v>7</v>
      </c>
      <c r="B1972" t="s">
        <v>12</v>
      </c>
      <c r="C1972" t="s">
        <v>10</v>
      </c>
      <c r="D1972">
        <v>211</v>
      </c>
      <c r="E1972">
        <v>6</v>
      </c>
      <c r="F1972">
        <v>2.84</v>
      </c>
      <c r="G1972">
        <v>38.840000000000003</v>
      </c>
      <c r="H1972">
        <v>8195.24</v>
      </c>
    </row>
    <row r="1973" spans="1:8" x14ac:dyDescent="0.35">
      <c r="A1973" t="s">
        <v>7</v>
      </c>
      <c r="B1973" t="s">
        <v>12</v>
      </c>
      <c r="C1973" t="s">
        <v>10</v>
      </c>
      <c r="D1973">
        <v>235</v>
      </c>
      <c r="E1973">
        <v>21</v>
      </c>
      <c r="F1973">
        <v>8.94</v>
      </c>
      <c r="G1973">
        <v>16.8</v>
      </c>
      <c r="H1973">
        <v>3948</v>
      </c>
    </row>
    <row r="1974" spans="1:8" x14ac:dyDescent="0.35">
      <c r="A1974" t="s">
        <v>6</v>
      </c>
      <c r="B1974" t="s">
        <v>12</v>
      </c>
      <c r="C1974" t="s">
        <v>9</v>
      </c>
      <c r="D1974">
        <v>225</v>
      </c>
      <c r="E1974">
        <v>20</v>
      </c>
      <c r="F1974">
        <v>8.89</v>
      </c>
      <c r="G1974">
        <v>20.89</v>
      </c>
      <c r="H1974">
        <v>4700.25</v>
      </c>
    </row>
    <row r="1975" spans="1:8" x14ac:dyDescent="0.35">
      <c r="A1975" t="s">
        <v>5</v>
      </c>
      <c r="B1975" t="s">
        <v>12</v>
      </c>
      <c r="C1975" t="s">
        <v>9</v>
      </c>
      <c r="D1975">
        <v>217</v>
      </c>
      <c r="E1975">
        <v>0</v>
      </c>
      <c r="F1975">
        <v>0</v>
      </c>
      <c r="G1975">
        <v>21.95</v>
      </c>
      <c r="H1975">
        <v>4763.1499999999996</v>
      </c>
    </row>
    <row r="1976" spans="1:8" x14ac:dyDescent="0.35">
      <c r="A1976" t="s">
        <v>6</v>
      </c>
      <c r="B1976" t="s">
        <v>12</v>
      </c>
      <c r="C1976" t="s">
        <v>9</v>
      </c>
      <c r="D1976">
        <v>290</v>
      </c>
      <c r="E1976">
        <v>27</v>
      </c>
      <c r="F1976">
        <v>9.31</v>
      </c>
      <c r="G1976">
        <v>34.81</v>
      </c>
      <c r="H1976">
        <v>10094.9</v>
      </c>
    </row>
    <row r="1977" spans="1:8" x14ac:dyDescent="0.35">
      <c r="A1977" t="s">
        <v>8</v>
      </c>
      <c r="B1977" t="s">
        <v>12</v>
      </c>
      <c r="C1977" t="s">
        <v>9</v>
      </c>
      <c r="D1977">
        <v>253</v>
      </c>
      <c r="E1977">
        <v>13</v>
      </c>
      <c r="F1977">
        <v>5.14</v>
      </c>
      <c r="G1977">
        <v>16.239999999999998</v>
      </c>
      <c r="H1977">
        <v>4108.72</v>
      </c>
    </row>
    <row r="1978" spans="1:8" x14ac:dyDescent="0.35">
      <c r="A1978" t="s">
        <v>7</v>
      </c>
      <c r="B1978" t="s">
        <v>12</v>
      </c>
      <c r="C1978" t="s">
        <v>10</v>
      </c>
      <c r="D1978">
        <v>186</v>
      </c>
      <c r="E1978">
        <v>9</v>
      </c>
      <c r="F1978">
        <v>4.84</v>
      </c>
      <c r="G1978">
        <v>28.44</v>
      </c>
      <c r="H1978">
        <v>5289.84</v>
      </c>
    </row>
    <row r="1979" spans="1:8" x14ac:dyDescent="0.35">
      <c r="A1979" t="s">
        <v>6</v>
      </c>
      <c r="B1979" t="s">
        <v>12</v>
      </c>
      <c r="C1979" t="s">
        <v>9</v>
      </c>
      <c r="D1979">
        <v>269</v>
      </c>
      <c r="E1979">
        <v>25</v>
      </c>
      <c r="F1979">
        <v>9.2899999999999991</v>
      </c>
      <c r="G1979">
        <v>25.97</v>
      </c>
      <c r="H1979">
        <v>6985.93</v>
      </c>
    </row>
    <row r="1980" spans="1:8" x14ac:dyDescent="0.35">
      <c r="A1980" t="s">
        <v>6</v>
      </c>
      <c r="B1980" t="s">
        <v>12</v>
      </c>
      <c r="C1980" t="s">
        <v>9</v>
      </c>
      <c r="D1980">
        <v>52</v>
      </c>
      <c r="E1980">
        <v>1</v>
      </c>
      <c r="F1980">
        <v>1.92</v>
      </c>
      <c r="G1980">
        <v>43.17</v>
      </c>
      <c r="H1980">
        <v>2244.84</v>
      </c>
    </row>
    <row r="1981" spans="1:8" x14ac:dyDescent="0.35">
      <c r="A1981" t="s">
        <v>8</v>
      </c>
      <c r="B1981" t="s">
        <v>12</v>
      </c>
      <c r="C1981" t="s">
        <v>9</v>
      </c>
      <c r="D1981">
        <v>105</v>
      </c>
      <c r="E1981">
        <v>4</v>
      </c>
      <c r="F1981">
        <v>3.81</v>
      </c>
      <c r="G1981">
        <v>10.95</v>
      </c>
      <c r="H1981">
        <v>1149.75</v>
      </c>
    </row>
    <row r="1982" spans="1:8" x14ac:dyDescent="0.35">
      <c r="A1982" t="s">
        <v>8</v>
      </c>
      <c r="B1982" t="s">
        <v>12</v>
      </c>
      <c r="C1982" t="s">
        <v>9</v>
      </c>
      <c r="D1982">
        <v>213</v>
      </c>
      <c r="E1982">
        <v>10</v>
      </c>
      <c r="F1982">
        <v>4.6900000000000004</v>
      </c>
      <c r="G1982">
        <v>31.95</v>
      </c>
      <c r="H1982">
        <v>6805.35</v>
      </c>
    </row>
    <row r="1983" spans="1:8" x14ac:dyDescent="0.35">
      <c r="A1983" t="s">
        <v>6</v>
      </c>
      <c r="B1983" t="s">
        <v>12</v>
      </c>
      <c r="C1983" t="s">
        <v>9</v>
      </c>
      <c r="D1983">
        <v>94</v>
      </c>
      <c r="E1983">
        <v>6</v>
      </c>
      <c r="F1983">
        <v>6.38</v>
      </c>
      <c r="G1983">
        <v>49.81</v>
      </c>
      <c r="H1983">
        <v>4682.1400000000003</v>
      </c>
    </row>
    <row r="1984" spans="1:8" x14ac:dyDescent="0.35">
      <c r="A1984" t="s">
        <v>6</v>
      </c>
      <c r="B1984" t="s">
        <v>12</v>
      </c>
      <c r="C1984" t="s">
        <v>9</v>
      </c>
      <c r="D1984">
        <v>82</v>
      </c>
      <c r="E1984">
        <v>4</v>
      </c>
      <c r="F1984">
        <v>4.88</v>
      </c>
      <c r="G1984">
        <v>46.43</v>
      </c>
      <c r="H1984">
        <v>3807.26</v>
      </c>
    </row>
    <row r="1985" spans="1:8" x14ac:dyDescent="0.35">
      <c r="A1985" t="s">
        <v>8</v>
      </c>
      <c r="B1985" t="s">
        <v>12</v>
      </c>
      <c r="C1985" t="s">
        <v>9</v>
      </c>
      <c r="D1985">
        <v>85</v>
      </c>
      <c r="E1985">
        <v>8</v>
      </c>
      <c r="F1985">
        <v>9.41</v>
      </c>
      <c r="G1985">
        <v>54.15</v>
      </c>
      <c r="H1985">
        <v>4602.75</v>
      </c>
    </row>
    <row r="1986" spans="1:8" x14ac:dyDescent="0.35">
      <c r="A1986" t="s">
        <v>7</v>
      </c>
      <c r="B1986" t="s">
        <v>12</v>
      </c>
      <c r="C1986" t="s">
        <v>9</v>
      </c>
      <c r="D1986">
        <v>133</v>
      </c>
      <c r="E1986">
        <v>10</v>
      </c>
      <c r="F1986">
        <v>7.52</v>
      </c>
      <c r="G1986">
        <v>50.23</v>
      </c>
      <c r="H1986">
        <v>6680.59</v>
      </c>
    </row>
    <row r="1987" spans="1:8" x14ac:dyDescent="0.35">
      <c r="A1987" t="s">
        <v>7</v>
      </c>
      <c r="B1987" t="s">
        <v>12</v>
      </c>
      <c r="C1987" t="s">
        <v>9</v>
      </c>
      <c r="D1987">
        <v>50</v>
      </c>
      <c r="E1987">
        <v>0</v>
      </c>
      <c r="F1987">
        <v>0</v>
      </c>
      <c r="G1987">
        <v>61.47</v>
      </c>
      <c r="H1987">
        <v>3073.5</v>
      </c>
    </row>
    <row r="1988" spans="1:8" x14ac:dyDescent="0.35">
      <c r="A1988" t="s">
        <v>8</v>
      </c>
      <c r="B1988" t="s">
        <v>12</v>
      </c>
      <c r="C1988" t="s">
        <v>9</v>
      </c>
      <c r="D1988">
        <v>150</v>
      </c>
      <c r="E1988">
        <v>1</v>
      </c>
      <c r="F1988">
        <v>0.67</v>
      </c>
      <c r="G1988">
        <v>64.81</v>
      </c>
      <c r="H1988">
        <v>9721.5</v>
      </c>
    </row>
    <row r="1989" spans="1:8" x14ac:dyDescent="0.35">
      <c r="A1989" t="s">
        <v>5</v>
      </c>
      <c r="B1989" t="s">
        <v>12</v>
      </c>
      <c r="C1989" t="s">
        <v>9</v>
      </c>
      <c r="D1989">
        <v>209</v>
      </c>
      <c r="E1989">
        <v>16</v>
      </c>
      <c r="F1989">
        <v>7.66</v>
      </c>
      <c r="G1989">
        <v>42.96</v>
      </c>
      <c r="H1989">
        <v>8978.64</v>
      </c>
    </row>
    <row r="1990" spans="1:8" x14ac:dyDescent="0.35">
      <c r="A1990" t="s">
        <v>5</v>
      </c>
      <c r="B1990" t="s">
        <v>12</v>
      </c>
      <c r="C1990" t="s">
        <v>9</v>
      </c>
      <c r="D1990">
        <v>209</v>
      </c>
      <c r="E1990">
        <v>11</v>
      </c>
      <c r="F1990">
        <v>5.26</v>
      </c>
      <c r="G1990">
        <v>45.61</v>
      </c>
      <c r="H1990">
        <v>9532.49</v>
      </c>
    </row>
    <row r="1991" spans="1:8" x14ac:dyDescent="0.35">
      <c r="A1991" t="s">
        <v>7</v>
      </c>
      <c r="B1991" t="s">
        <v>12</v>
      </c>
      <c r="C1991" t="s">
        <v>10</v>
      </c>
      <c r="D1991">
        <v>111</v>
      </c>
      <c r="E1991">
        <v>9</v>
      </c>
      <c r="F1991">
        <v>8.11</v>
      </c>
      <c r="G1991">
        <v>41.25</v>
      </c>
      <c r="H1991">
        <v>4578.75</v>
      </c>
    </row>
    <row r="1992" spans="1:8" x14ac:dyDescent="0.35">
      <c r="A1992" t="s">
        <v>5</v>
      </c>
      <c r="B1992" t="s">
        <v>12</v>
      </c>
      <c r="C1992" t="s">
        <v>9</v>
      </c>
      <c r="D1992">
        <v>104</v>
      </c>
      <c r="E1992">
        <v>1</v>
      </c>
      <c r="F1992">
        <v>0.96</v>
      </c>
      <c r="G1992">
        <v>6.9</v>
      </c>
      <c r="H1992">
        <v>717.6</v>
      </c>
    </row>
    <row r="1993" spans="1:8" x14ac:dyDescent="0.35">
      <c r="A1993" t="s">
        <v>6</v>
      </c>
      <c r="B1993" t="s">
        <v>12</v>
      </c>
      <c r="C1993" t="s">
        <v>9</v>
      </c>
      <c r="D1993">
        <v>156</v>
      </c>
      <c r="E1993">
        <v>10</v>
      </c>
      <c r="F1993">
        <v>6.41</v>
      </c>
      <c r="G1993">
        <v>23.39</v>
      </c>
      <c r="H1993">
        <v>3648.84</v>
      </c>
    </row>
    <row r="1994" spans="1:8" x14ac:dyDescent="0.35">
      <c r="A1994" t="s">
        <v>6</v>
      </c>
      <c r="B1994" t="s">
        <v>12</v>
      </c>
      <c r="C1994" t="s">
        <v>9</v>
      </c>
      <c r="D1994">
        <v>60</v>
      </c>
      <c r="E1994">
        <v>4</v>
      </c>
      <c r="F1994">
        <v>6.67</v>
      </c>
      <c r="G1994">
        <v>10.76</v>
      </c>
      <c r="H1994">
        <v>645.6</v>
      </c>
    </row>
    <row r="1995" spans="1:8" x14ac:dyDescent="0.35">
      <c r="A1995" t="s">
        <v>6</v>
      </c>
      <c r="B1995" t="s">
        <v>12</v>
      </c>
      <c r="C1995" t="s">
        <v>9</v>
      </c>
      <c r="D1995">
        <v>220</v>
      </c>
      <c r="E1995">
        <v>12</v>
      </c>
      <c r="F1995">
        <v>5.45</v>
      </c>
      <c r="G1995">
        <v>49.04</v>
      </c>
      <c r="H1995">
        <v>10788.8</v>
      </c>
    </row>
    <row r="1996" spans="1:8" x14ac:dyDescent="0.35">
      <c r="A1996" t="s">
        <v>8</v>
      </c>
      <c r="B1996" t="s">
        <v>12</v>
      </c>
      <c r="C1996" t="s">
        <v>9</v>
      </c>
      <c r="D1996">
        <v>121</v>
      </c>
      <c r="E1996">
        <v>6</v>
      </c>
      <c r="F1996">
        <v>4.96</v>
      </c>
      <c r="G1996">
        <v>16.350000000000001</v>
      </c>
      <c r="H1996">
        <v>1978.35</v>
      </c>
    </row>
    <row r="1997" spans="1:8" x14ac:dyDescent="0.35">
      <c r="A1997" t="s">
        <v>6</v>
      </c>
      <c r="B1997" t="s">
        <v>12</v>
      </c>
      <c r="C1997" t="s">
        <v>11</v>
      </c>
      <c r="D1997">
        <v>181</v>
      </c>
      <c r="E1997">
        <v>10</v>
      </c>
      <c r="F1997">
        <v>5.52</v>
      </c>
      <c r="G1997">
        <v>39.840000000000003</v>
      </c>
      <c r="H1997">
        <v>7211.04</v>
      </c>
    </row>
    <row r="1998" spans="1:8" x14ac:dyDescent="0.35">
      <c r="A1998" t="s">
        <v>7</v>
      </c>
      <c r="B1998" t="s">
        <v>12</v>
      </c>
      <c r="C1998" t="s">
        <v>9</v>
      </c>
      <c r="D1998">
        <v>200</v>
      </c>
      <c r="E1998">
        <v>16</v>
      </c>
      <c r="F1998">
        <v>8</v>
      </c>
      <c r="G1998">
        <v>40.06</v>
      </c>
      <c r="H1998">
        <v>8012</v>
      </c>
    </row>
    <row r="1999" spans="1:8" x14ac:dyDescent="0.35">
      <c r="A1999" t="s">
        <v>7</v>
      </c>
      <c r="B1999" t="s">
        <v>12</v>
      </c>
      <c r="C1999" t="s">
        <v>9</v>
      </c>
      <c r="D1999">
        <v>236</v>
      </c>
      <c r="E1999">
        <v>3</v>
      </c>
      <c r="F1999">
        <v>1.27</v>
      </c>
      <c r="G1999">
        <v>40.64</v>
      </c>
      <c r="H1999">
        <v>9591.0400000000009</v>
      </c>
    </row>
    <row r="2000" spans="1:8" x14ac:dyDescent="0.35">
      <c r="A2000" t="s">
        <v>7</v>
      </c>
      <c r="B2000" t="s">
        <v>12</v>
      </c>
      <c r="C2000" t="s">
        <v>10</v>
      </c>
      <c r="D2000">
        <v>73</v>
      </c>
      <c r="E2000">
        <v>7</v>
      </c>
      <c r="F2000">
        <v>9.59</v>
      </c>
      <c r="G2000">
        <v>47.35</v>
      </c>
      <c r="H2000">
        <v>3456.55</v>
      </c>
    </row>
    <row r="2001" spans="1:8" x14ac:dyDescent="0.35">
      <c r="A2001" t="s">
        <v>8</v>
      </c>
      <c r="B2001" t="s">
        <v>12</v>
      </c>
      <c r="C2001" t="s">
        <v>9</v>
      </c>
      <c r="D2001">
        <v>68</v>
      </c>
      <c r="E2001">
        <v>4</v>
      </c>
      <c r="F2001">
        <v>5.88</v>
      </c>
      <c r="G2001">
        <v>66.97</v>
      </c>
      <c r="H2001">
        <v>4553.96</v>
      </c>
    </row>
    <row r="2002" spans="1:8" x14ac:dyDescent="0.35">
      <c r="A2002" t="s">
        <v>7</v>
      </c>
      <c r="B2002" t="s">
        <v>12</v>
      </c>
      <c r="C2002" t="s">
        <v>9</v>
      </c>
      <c r="D2002">
        <v>258</v>
      </c>
      <c r="E2002">
        <v>21</v>
      </c>
      <c r="F2002">
        <v>8.14</v>
      </c>
      <c r="G2002">
        <v>9.2100000000000009</v>
      </c>
      <c r="H2002">
        <v>2376.1799999999998</v>
      </c>
    </row>
    <row r="2003" spans="1:8" x14ac:dyDescent="0.35">
      <c r="A2003" t="s">
        <v>6</v>
      </c>
      <c r="B2003" t="s">
        <v>12</v>
      </c>
      <c r="C2003" t="s">
        <v>9</v>
      </c>
      <c r="D2003">
        <v>194</v>
      </c>
      <c r="E2003">
        <v>8</v>
      </c>
      <c r="F2003">
        <v>4.12</v>
      </c>
      <c r="G2003">
        <v>50.23</v>
      </c>
      <c r="H2003">
        <v>9744.6200000000008</v>
      </c>
    </row>
    <row r="2004" spans="1:8" x14ac:dyDescent="0.35">
      <c r="A2004" t="s">
        <v>8</v>
      </c>
      <c r="B2004" t="s">
        <v>12</v>
      </c>
      <c r="C2004" t="s">
        <v>9</v>
      </c>
      <c r="D2004">
        <v>112</v>
      </c>
      <c r="E2004">
        <v>9</v>
      </c>
      <c r="F2004">
        <v>8.0399999999999991</v>
      </c>
      <c r="G2004">
        <v>16.22</v>
      </c>
      <c r="H2004">
        <v>1816.64</v>
      </c>
    </row>
    <row r="2005" spans="1:8" x14ac:dyDescent="0.35">
      <c r="A2005" t="s">
        <v>5</v>
      </c>
      <c r="B2005" t="s">
        <v>12</v>
      </c>
      <c r="C2005" t="s">
        <v>9</v>
      </c>
      <c r="D2005">
        <v>61</v>
      </c>
      <c r="E2005">
        <v>2</v>
      </c>
      <c r="F2005">
        <v>3.28</v>
      </c>
      <c r="G2005">
        <v>47.09</v>
      </c>
      <c r="H2005">
        <v>2872.49</v>
      </c>
    </row>
    <row r="2006" spans="1:8" x14ac:dyDescent="0.35">
      <c r="A2006" t="s">
        <v>7</v>
      </c>
      <c r="B2006" t="s">
        <v>12</v>
      </c>
      <c r="C2006" t="s">
        <v>9</v>
      </c>
      <c r="D2006">
        <v>175</v>
      </c>
      <c r="E2006">
        <v>6</v>
      </c>
      <c r="F2006">
        <v>3.43</v>
      </c>
      <c r="G2006">
        <v>40.33</v>
      </c>
      <c r="H2006">
        <v>7057.75</v>
      </c>
    </row>
    <row r="2007" spans="1:8" x14ac:dyDescent="0.35">
      <c r="A2007" t="s">
        <v>7</v>
      </c>
      <c r="B2007" t="s">
        <v>12</v>
      </c>
      <c r="C2007" t="s">
        <v>10</v>
      </c>
      <c r="D2007">
        <v>131</v>
      </c>
      <c r="E2007">
        <v>10</v>
      </c>
      <c r="F2007">
        <v>7.63</v>
      </c>
      <c r="G2007">
        <v>30.99</v>
      </c>
      <c r="H2007">
        <v>4059.69</v>
      </c>
    </row>
    <row r="2008" spans="1:8" x14ac:dyDescent="0.35">
      <c r="A2008" t="s">
        <v>8</v>
      </c>
      <c r="B2008" t="s">
        <v>12</v>
      </c>
      <c r="C2008" t="s">
        <v>9</v>
      </c>
      <c r="D2008">
        <v>168</v>
      </c>
      <c r="E2008">
        <v>7</v>
      </c>
      <c r="F2008">
        <v>4.17</v>
      </c>
      <c r="G2008">
        <v>18.079999999999998</v>
      </c>
      <c r="H2008">
        <v>3037.44</v>
      </c>
    </row>
    <row r="2009" spans="1:8" x14ac:dyDescent="0.35">
      <c r="A2009" t="s">
        <v>7</v>
      </c>
      <c r="B2009" t="s">
        <v>12</v>
      </c>
      <c r="C2009" t="s">
        <v>10</v>
      </c>
      <c r="D2009">
        <v>241</v>
      </c>
      <c r="E2009">
        <v>10</v>
      </c>
      <c r="F2009">
        <v>4.1500000000000004</v>
      </c>
      <c r="G2009">
        <v>11.54</v>
      </c>
      <c r="H2009">
        <v>2781.14</v>
      </c>
    </row>
    <row r="2010" spans="1:8" x14ac:dyDescent="0.35">
      <c r="A2010" t="s">
        <v>6</v>
      </c>
      <c r="B2010" t="s">
        <v>12</v>
      </c>
      <c r="C2010" t="s">
        <v>9</v>
      </c>
      <c r="D2010">
        <v>127</v>
      </c>
      <c r="E2010">
        <v>0</v>
      </c>
      <c r="F2010">
        <v>0</v>
      </c>
      <c r="G2010">
        <v>64.14</v>
      </c>
      <c r="H2010">
        <v>8145.78</v>
      </c>
    </row>
    <row r="2011" spans="1:8" x14ac:dyDescent="0.35">
      <c r="A2011" t="s">
        <v>7</v>
      </c>
      <c r="B2011" t="s">
        <v>12</v>
      </c>
      <c r="C2011" t="s">
        <v>9</v>
      </c>
      <c r="D2011">
        <v>225</v>
      </c>
      <c r="E2011">
        <v>22</v>
      </c>
      <c r="F2011">
        <v>9.7799999999999994</v>
      </c>
      <c r="G2011">
        <v>28.47</v>
      </c>
      <c r="H2011">
        <v>6405.75</v>
      </c>
    </row>
    <row r="2012" spans="1:8" x14ac:dyDescent="0.35">
      <c r="A2012" t="s">
        <v>7</v>
      </c>
      <c r="B2012" t="s">
        <v>12</v>
      </c>
      <c r="C2012" t="s">
        <v>9</v>
      </c>
      <c r="D2012">
        <v>67</v>
      </c>
      <c r="E2012">
        <v>3</v>
      </c>
      <c r="F2012">
        <v>4.4800000000000004</v>
      </c>
      <c r="G2012">
        <v>12.67</v>
      </c>
      <c r="H2012">
        <v>848.89</v>
      </c>
    </row>
    <row r="2013" spans="1:8" x14ac:dyDescent="0.35">
      <c r="A2013" t="s">
        <v>5</v>
      </c>
      <c r="B2013" t="s">
        <v>12</v>
      </c>
      <c r="C2013" t="s">
        <v>9</v>
      </c>
      <c r="D2013">
        <v>138</v>
      </c>
      <c r="E2013">
        <v>6</v>
      </c>
      <c r="F2013">
        <v>4.3499999999999996</v>
      </c>
      <c r="G2013">
        <v>38.67</v>
      </c>
      <c r="H2013">
        <v>5336.46</v>
      </c>
    </row>
    <row r="2014" spans="1:8" x14ac:dyDescent="0.35">
      <c r="A2014" t="s">
        <v>7</v>
      </c>
      <c r="B2014" t="s">
        <v>12</v>
      </c>
      <c r="C2014" t="s">
        <v>10</v>
      </c>
      <c r="D2014">
        <v>214</v>
      </c>
      <c r="E2014">
        <v>19</v>
      </c>
      <c r="F2014">
        <v>8.8800000000000008</v>
      </c>
      <c r="G2014">
        <v>34.630000000000003</v>
      </c>
      <c r="H2014">
        <v>7410.82</v>
      </c>
    </row>
    <row r="2015" spans="1:8" x14ac:dyDescent="0.35">
      <c r="A2015" t="s">
        <v>7</v>
      </c>
      <c r="B2015" t="s">
        <v>12</v>
      </c>
      <c r="C2015" t="s">
        <v>10</v>
      </c>
      <c r="D2015">
        <v>134</v>
      </c>
      <c r="E2015">
        <v>13</v>
      </c>
      <c r="F2015">
        <v>9.6999999999999993</v>
      </c>
      <c r="G2015">
        <v>45.89</v>
      </c>
      <c r="H2015">
        <v>6149.26</v>
      </c>
    </row>
    <row r="2016" spans="1:8" x14ac:dyDescent="0.35">
      <c r="A2016" t="s">
        <v>6</v>
      </c>
      <c r="B2016" t="s">
        <v>12</v>
      </c>
      <c r="C2016" t="s">
        <v>9</v>
      </c>
      <c r="D2016">
        <v>196</v>
      </c>
      <c r="E2016">
        <v>19</v>
      </c>
      <c r="F2016">
        <v>9.69</v>
      </c>
      <c r="G2016">
        <v>39.159999999999997</v>
      </c>
      <c r="H2016">
        <v>7675.36</v>
      </c>
    </row>
    <row r="2017" spans="1:8" x14ac:dyDescent="0.35">
      <c r="A2017" t="s">
        <v>6</v>
      </c>
      <c r="B2017" t="s">
        <v>12</v>
      </c>
      <c r="C2017" t="s">
        <v>9</v>
      </c>
      <c r="D2017">
        <v>116</v>
      </c>
      <c r="E2017">
        <v>9</v>
      </c>
      <c r="F2017">
        <v>7.76</v>
      </c>
      <c r="G2017">
        <v>28.29</v>
      </c>
      <c r="H2017">
        <v>3281.64</v>
      </c>
    </row>
    <row r="2018" spans="1:8" x14ac:dyDescent="0.35">
      <c r="A2018" t="s">
        <v>6</v>
      </c>
      <c r="B2018" t="s">
        <v>12</v>
      </c>
      <c r="C2018" t="s">
        <v>11</v>
      </c>
      <c r="D2018">
        <v>291</v>
      </c>
      <c r="E2018">
        <v>3</v>
      </c>
      <c r="F2018">
        <v>1.03</v>
      </c>
      <c r="G2018">
        <v>29.54</v>
      </c>
      <c r="H2018">
        <v>8596.14</v>
      </c>
    </row>
    <row r="2019" spans="1:8" x14ac:dyDescent="0.35">
      <c r="A2019" t="s">
        <v>8</v>
      </c>
      <c r="B2019" t="s">
        <v>12</v>
      </c>
      <c r="C2019" t="s">
        <v>9</v>
      </c>
      <c r="D2019">
        <v>280</v>
      </c>
      <c r="E2019">
        <v>14</v>
      </c>
      <c r="F2019">
        <v>5</v>
      </c>
      <c r="G2019">
        <v>31.15</v>
      </c>
      <c r="H2019">
        <v>8722</v>
      </c>
    </row>
    <row r="2020" spans="1:8" x14ac:dyDescent="0.35">
      <c r="A2020" t="s">
        <v>6</v>
      </c>
      <c r="B2020" t="s">
        <v>12</v>
      </c>
      <c r="C2020" t="s">
        <v>11</v>
      </c>
      <c r="D2020">
        <v>229</v>
      </c>
      <c r="E2020">
        <v>17</v>
      </c>
      <c r="F2020">
        <v>7.42</v>
      </c>
      <c r="G2020">
        <v>37.67</v>
      </c>
      <c r="H2020">
        <v>8626.43</v>
      </c>
    </row>
    <row r="2021" spans="1:8" x14ac:dyDescent="0.35">
      <c r="A2021" t="s">
        <v>5</v>
      </c>
      <c r="B2021" t="s">
        <v>12</v>
      </c>
      <c r="C2021" t="s">
        <v>9</v>
      </c>
      <c r="D2021">
        <v>128</v>
      </c>
      <c r="E2021">
        <v>4</v>
      </c>
      <c r="F2021">
        <v>3.12</v>
      </c>
      <c r="G2021">
        <v>28.37</v>
      </c>
      <c r="H2021">
        <v>3631.36</v>
      </c>
    </row>
    <row r="2022" spans="1:8" x14ac:dyDescent="0.35">
      <c r="A2022" t="s">
        <v>7</v>
      </c>
      <c r="B2022" t="s">
        <v>12</v>
      </c>
      <c r="C2022" t="s">
        <v>9</v>
      </c>
      <c r="D2022">
        <v>180</v>
      </c>
      <c r="E2022">
        <v>6</v>
      </c>
      <c r="F2022">
        <v>3.33</v>
      </c>
      <c r="G2022">
        <v>13.55</v>
      </c>
      <c r="H2022">
        <v>2439</v>
      </c>
    </row>
    <row r="2023" spans="1:8" x14ac:dyDescent="0.35">
      <c r="A2023" t="s">
        <v>8</v>
      </c>
      <c r="B2023" t="s">
        <v>12</v>
      </c>
      <c r="C2023" t="s">
        <v>9</v>
      </c>
      <c r="D2023">
        <v>238</v>
      </c>
      <c r="E2023">
        <v>6</v>
      </c>
      <c r="F2023">
        <v>2.52</v>
      </c>
      <c r="G2023">
        <v>29.13</v>
      </c>
      <c r="H2023">
        <v>6932.94</v>
      </c>
    </row>
    <row r="2024" spans="1:8" x14ac:dyDescent="0.35">
      <c r="A2024" t="s">
        <v>5</v>
      </c>
      <c r="B2024" t="s">
        <v>12</v>
      </c>
      <c r="C2024" t="s">
        <v>9</v>
      </c>
      <c r="D2024">
        <v>250</v>
      </c>
      <c r="E2024">
        <v>17</v>
      </c>
      <c r="F2024">
        <v>6.8</v>
      </c>
      <c r="G2024">
        <v>22.07</v>
      </c>
      <c r="H2024">
        <v>5517.5</v>
      </c>
    </row>
    <row r="2025" spans="1:8" x14ac:dyDescent="0.35">
      <c r="A2025" t="s">
        <v>8</v>
      </c>
      <c r="B2025" t="s">
        <v>12</v>
      </c>
      <c r="C2025" t="s">
        <v>9</v>
      </c>
      <c r="D2025">
        <v>147</v>
      </c>
      <c r="E2025">
        <v>13</v>
      </c>
      <c r="F2025">
        <v>8.84</v>
      </c>
      <c r="G2025">
        <v>58.22</v>
      </c>
      <c r="H2025">
        <v>8558.34</v>
      </c>
    </row>
    <row r="2026" spans="1:8" x14ac:dyDescent="0.35">
      <c r="A2026" t="s">
        <v>5</v>
      </c>
      <c r="B2026" t="s">
        <v>12</v>
      </c>
      <c r="C2026" t="s">
        <v>9</v>
      </c>
      <c r="D2026">
        <v>197</v>
      </c>
      <c r="E2026">
        <v>5</v>
      </c>
      <c r="F2026">
        <v>2.54</v>
      </c>
      <c r="G2026">
        <v>46.62</v>
      </c>
      <c r="H2026">
        <v>9184.14</v>
      </c>
    </row>
    <row r="2027" spans="1:8" x14ac:dyDescent="0.35">
      <c r="A2027" t="s">
        <v>6</v>
      </c>
      <c r="B2027" t="s">
        <v>12</v>
      </c>
      <c r="C2027" t="s">
        <v>11</v>
      </c>
      <c r="D2027">
        <v>145</v>
      </c>
      <c r="E2027">
        <v>8</v>
      </c>
      <c r="F2027">
        <v>5.52</v>
      </c>
      <c r="G2027">
        <v>23.92</v>
      </c>
      <c r="H2027">
        <v>3468.4</v>
      </c>
    </row>
    <row r="2028" spans="1:8" x14ac:dyDescent="0.35">
      <c r="A2028" t="s">
        <v>5</v>
      </c>
      <c r="B2028" t="s">
        <v>12</v>
      </c>
      <c r="C2028" t="s">
        <v>9</v>
      </c>
      <c r="D2028">
        <v>126</v>
      </c>
      <c r="E2028">
        <v>3</v>
      </c>
      <c r="F2028">
        <v>2.38</v>
      </c>
      <c r="G2028">
        <v>27.29</v>
      </c>
      <c r="H2028">
        <v>3438.54</v>
      </c>
    </row>
    <row r="2029" spans="1:8" x14ac:dyDescent="0.35">
      <c r="A2029" t="s">
        <v>6</v>
      </c>
      <c r="B2029" t="s">
        <v>12</v>
      </c>
      <c r="C2029" t="s">
        <v>9</v>
      </c>
      <c r="D2029">
        <v>73</v>
      </c>
      <c r="E2029">
        <v>2</v>
      </c>
      <c r="F2029">
        <v>2.74</v>
      </c>
      <c r="G2029">
        <v>40.07</v>
      </c>
      <c r="H2029">
        <v>2925.11</v>
      </c>
    </row>
    <row r="2030" spans="1:8" x14ac:dyDescent="0.35">
      <c r="A2030" t="s">
        <v>6</v>
      </c>
      <c r="B2030" t="s">
        <v>12</v>
      </c>
      <c r="C2030" t="s">
        <v>9</v>
      </c>
      <c r="D2030">
        <v>230</v>
      </c>
      <c r="E2030">
        <v>12</v>
      </c>
      <c r="F2030">
        <v>5.22</v>
      </c>
      <c r="G2030">
        <v>43.57</v>
      </c>
      <c r="H2030">
        <v>10021.1</v>
      </c>
    </row>
    <row r="2031" spans="1:8" x14ac:dyDescent="0.35">
      <c r="A2031" t="s">
        <v>7</v>
      </c>
      <c r="B2031" t="s">
        <v>12</v>
      </c>
      <c r="C2031" t="s">
        <v>10</v>
      </c>
      <c r="D2031">
        <v>130</v>
      </c>
      <c r="E2031">
        <v>7</v>
      </c>
      <c r="F2031">
        <v>5.38</v>
      </c>
      <c r="G2031">
        <v>19.89</v>
      </c>
      <c r="H2031">
        <v>2585.6999999999998</v>
      </c>
    </row>
    <row r="2032" spans="1:8" x14ac:dyDescent="0.35">
      <c r="A2032" t="s">
        <v>7</v>
      </c>
      <c r="B2032" t="s">
        <v>12</v>
      </c>
      <c r="C2032" t="s">
        <v>9</v>
      </c>
      <c r="D2032">
        <v>66</v>
      </c>
      <c r="E2032">
        <v>1</v>
      </c>
      <c r="F2032">
        <v>1.52</v>
      </c>
      <c r="G2032">
        <v>49.88</v>
      </c>
      <c r="H2032">
        <v>3292.08</v>
      </c>
    </row>
    <row r="2033" spans="1:8" x14ac:dyDescent="0.35">
      <c r="A2033" t="s">
        <v>6</v>
      </c>
      <c r="B2033" t="s">
        <v>12</v>
      </c>
      <c r="C2033" t="s">
        <v>11</v>
      </c>
      <c r="D2033">
        <v>65</v>
      </c>
      <c r="E2033">
        <v>5</v>
      </c>
      <c r="F2033">
        <v>7.69</v>
      </c>
      <c r="G2033">
        <v>28.8</v>
      </c>
      <c r="H2033">
        <v>1872</v>
      </c>
    </row>
    <row r="2034" spans="1:8" x14ac:dyDescent="0.35">
      <c r="A2034" t="s">
        <v>8</v>
      </c>
      <c r="B2034" t="s">
        <v>12</v>
      </c>
      <c r="C2034" t="s">
        <v>9</v>
      </c>
      <c r="D2034">
        <v>153</v>
      </c>
      <c r="E2034">
        <v>10</v>
      </c>
      <c r="F2034">
        <v>6.54</v>
      </c>
      <c r="G2034">
        <v>26.47</v>
      </c>
      <c r="H2034">
        <v>4049.91</v>
      </c>
    </row>
    <row r="2035" spans="1:8" x14ac:dyDescent="0.35">
      <c r="A2035" t="s">
        <v>7</v>
      </c>
      <c r="B2035" t="s">
        <v>12</v>
      </c>
      <c r="C2035" t="s">
        <v>9</v>
      </c>
      <c r="D2035">
        <v>196</v>
      </c>
      <c r="E2035">
        <v>14</v>
      </c>
      <c r="F2035">
        <v>7.14</v>
      </c>
      <c r="G2035">
        <v>42.4</v>
      </c>
      <c r="H2035">
        <v>8310.4</v>
      </c>
    </row>
    <row r="2036" spans="1:8" x14ac:dyDescent="0.35">
      <c r="A2036" t="s">
        <v>6</v>
      </c>
      <c r="B2036" t="s">
        <v>12</v>
      </c>
      <c r="C2036" t="s">
        <v>9</v>
      </c>
      <c r="D2036">
        <v>139</v>
      </c>
      <c r="E2036">
        <v>3</v>
      </c>
      <c r="F2036">
        <v>2.16</v>
      </c>
      <c r="G2036">
        <v>47.03</v>
      </c>
      <c r="H2036">
        <v>6537.17</v>
      </c>
    </row>
    <row r="2037" spans="1:8" x14ac:dyDescent="0.35">
      <c r="A2037" t="s">
        <v>6</v>
      </c>
      <c r="B2037" t="s">
        <v>12</v>
      </c>
      <c r="C2037" t="s">
        <v>11</v>
      </c>
      <c r="D2037">
        <v>211</v>
      </c>
      <c r="E2037">
        <v>16</v>
      </c>
      <c r="F2037">
        <v>7.58</v>
      </c>
      <c r="G2037">
        <v>16.62</v>
      </c>
      <c r="H2037">
        <v>3506.82</v>
      </c>
    </row>
    <row r="2038" spans="1:8" x14ac:dyDescent="0.35">
      <c r="A2038" t="s">
        <v>6</v>
      </c>
      <c r="B2038" t="s">
        <v>12</v>
      </c>
      <c r="C2038" t="s">
        <v>11</v>
      </c>
      <c r="D2038">
        <v>255</v>
      </c>
      <c r="E2038">
        <v>23</v>
      </c>
      <c r="F2038">
        <v>9.02</v>
      </c>
      <c r="G2038">
        <v>24.01</v>
      </c>
      <c r="H2038">
        <v>6122.55</v>
      </c>
    </row>
    <row r="2039" spans="1:8" x14ac:dyDescent="0.35">
      <c r="A2039" t="s">
        <v>5</v>
      </c>
      <c r="B2039" t="s">
        <v>12</v>
      </c>
      <c r="C2039" t="s">
        <v>9</v>
      </c>
      <c r="D2039">
        <v>245</v>
      </c>
      <c r="E2039">
        <v>4</v>
      </c>
      <c r="F2039">
        <v>1.63</v>
      </c>
      <c r="G2039">
        <v>40.86</v>
      </c>
      <c r="H2039">
        <v>10010.700000000001</v>
      </c>
    </row>
    <row r="2040" spans="1:8" x14ac:dyDescent="0.35">
      <c r="A2040" t="s">
        <v>7</v>
      </c>
      <c r="B2040" t="s">
        <v>12</v>
      </c>
      <c r="C2040" t="s">
        <v>10</v>
      </c>
      <c r="D2040">
        <v>194</v>
      </c>
      <c r="E2040">
        <v>7</v>
      </c>
      <c r="F2040">
        <v>3.61</v>
      </c>
      <c r="G2040">
        <v>7.67</v>
      </c>
      <c r="H2040">
        <v>1487.98</v>
      </c>
    </row>
    <row r="2041" spans="1:8" x14ac:dyDescent="0.35">
      <c r="A2041" t="s">
        <v>6</v>
      </c>
      <c r="B2041" t="s">
        <v>12</v>
      </c>
      <c r="C2041" t="s">
        <v>11</v>
      </c>
      <c r="D2041">
        <v>134</v>
      </c>
      <c r="E2041">
        <v>5</v>
      </c>
      <c r="F2041">
        <v>3.73</v>
      </c>
      <c r="G2041">
        <v>21.83</v>
      </c>
      <c r="H2041">
        <v>2925.22</v>
      </c>
    </row>
    <row r="2042" spans="1:8" x14ac:dyDescent="0.35">
      <c r="A2042" t="s">
        <v>5</v>
      </c>
      <c r="B2042" t="s">
        <v>12</v>
      </c>
      <c r="C2042" t="s">
        <v>9</v>
      </c>
      <c r="D2042">
        <v>281</v>
      </c>
      <c r="E2042">
        <v>14</v>
      </c>
      <c r="F2042">
        <v>4.9800000000000004</v>
      </c>
      <c r="G2042">
        <v>9.4499999999999993</v>
      </c>
      <c r="H2042">
        <v>2655.45</v>
      </c>
    </row>
    <row r="2043" spans="1:8" x14ac:dyDescent="0.35">
      <c r="A2043" t="s">
        <v>6</v>
      </c>
      <c r="B2043" t="s">
        <v>12</v>
      </c>
      <c r="C2043" t="s">
        <v>9</v>
      </c>
      <c r="D2043">
        <v>86</v>
      </c>
      <c r="E2043">
        <v>0</v>
      </c>
      <c r="F2043">
        <v>0</v>
      </c>
      <c r="G2043">
        <v>9.43</v>
      </c>
      <c r="H2043">
        <v>810.98</v>
      </c>
    </row>
    <row r="2044" spans="1:8" x14ac:dyDescent="0.35">
      <c r="A2044" t="s">
        <v>6</v>
      </c>
      <c r="B2044" t="s">
        <v>12</v>
      </c>
      <c r="C2044" t="s">
        <v>11</v>
      </c>
      <c r="D2044">
        <v>113</v>
      </c>
      <c r="E2044">
        <v>8</v>
      </c>
      <c r="F2044">
        <v>7.08</v>
      </c>
      <c r="G2044">
        <v>58.11</v>
      </c>
      <c r="H2044">
        <v>6566.43</v>
      </c>
    </row>
    <row r="2045" spans="1:8" x14ac:dyDescent="0.35">
      <c r="A2045" t="s">
        <v>8</v>
      </c>
      <c r="B2045" t="s">
        <v>12</v>
      </c>
      <c r="C2045" t="s">
        <v>9</v>
      </c>
      <c r="D2045">
        <v>224</v>
      </c>
      <c r="E2045">
        <v>2</v>
      </c>
      <c r="F2045">
        <v>0.89</v>
      </c>
      <c r="G2045">
        <v>49.7</v>
      </c>
      <c r="H2045">
        <v>11132.8</v>
      </c>
    </row>
    <row r="2046" spans="1:8" x14ac:dyDescent="0.35">
      <c r="A2046" t="s">
        <v>6</v>
      </c>
      <c r="B2046" t="s">
        <v>12</v>
      </c>
      <c r="C2046" t="s">
        <v>9</v>
      </c>
      <c r="D2046">
        <v>181</v>
      </c>
      <c r="E2046">
        <v>12</v>
      </c>
      <c r="F2046">
        <v>6.63</v>
      </c>
      <c r="G2046">
        <v>19.22</v>
      </c>
      <c r="H2046">
        <v>3478.82</v>
      </c>
    </row>
    <row r="2047" spans="1:8" x14ac:dyDescent="0.35">
      <c r="A2047" t="s">
        <v>7</v>
      </c>
      <c r="B2047" t="s">
        <v>12</v>
      </c>
      <c r="C2047" t="s">
        <v>9</v>
      </c>
      <c r="D2047">
        <v>292</v>
      </c>
      <c r="E2047">
        <v>15</v>
      </c>
      <c r="F2047">
        <v>5.14</v>
      </c>
      <c r="G2047">
        <v>48.3</v>
      </c>
      <c r="H2047">
        <v>14103.6</v>
      </c>
    </row>
    <row r="2048" spans="1:8" x14ac:dyDescent="0.35">
      <c r="A2048" t="s">
        <v>7</v>
      </c>
      <c r="B2048" t="s">
        <v>12</v>
      </c>
      <c r="C2048" t="s">
        <v>10</v>
      </c>
      <c r="D2048">
        <v>238</v>
      </c>
      <c r="E2048">
        <v>15</v>
      </c>
      <c r="F2048">
        <v>6.3</v>
      </c>
      <c r="G2048">
        <v>5.01</v>
      </c>
      <c r="H2048">
        <v>1192.3800000000001</v>
      </c>
    </row>
    <row r="2049" spans="1:8" x14ac:dyDescent="0.35">
      <c r="A2049" t="s">
        <v>8</v>
      </c>
      <c r="B2049" t="s">
        <v>12</v>
      </c>
      <c r="C2049" t="s">
        <v>9</v>
      </c>
      <c r="D2049">
        <v>66</v>
      </c>
      <c r="E2049">
        <v>0</v>
      </c>
      <c r="F2049">
        <v>0</v>
      </c>
      <c r="G2049">
        <v>52.4</v>
      </c>
      <c r="H2049">
        <v>3458.4</v>
      </c>
    </row>
    <row r="2050" spans="1:8" x14ac:dyDescent="0.35">
      <c r="A2050" t="s">
        <v>7</v>
      </c>
      <c r="B2050" t="s">
        <v>12</v>
      </c>
      <c r="C2050" t="s">
        <v>9</v>
      </c>
      <c r="D2050">
        <v>261</v>
      </c>
      <c r="E2050">
        <v>12</v>
      </c>
      <c r="F2050">
        <v>4.5999999999999996</v>
      </c>
      <c r="G2050">
        <v>52.39</v>
      </c>
      <c r="H2050">
        <v>13673.79</v>
      </c>
    </row>
    <row r="2051" spans="1:8" x14ac:dyDescent="0.35">
      <c r="A2051" t="s">
        <v>6</v>
      </c>
      <c r="B2051" t="s">
        <v>12</v>
      </c>
      <c r="C2051" t="s">
        <v>9</v>
      </c>
      <c r="D2051">
        <v>177</v>
      </c>
      <c r="E2051">
        <v>16</v>
      </c>
      <c r="F2051">
        <v>9.0399999999999991</v>
      </c>
      <c r="G2051">
        <v>19.010000000000002</v>
      </c>
      <c r="H2051">
        <v>3364.77</v>
      </c>
    </row>
    <row r="2052" spans="1:8" x14ac:dyDescent="0.35">
      <c r="A2052" t="s">
        <v>6</v>
      </c>
      <c r="B2052" t="s">
        <v>12</v>
      </c>
      <c r="C2052" t="s">
        <v>11</v>
      </c>
      <c r="D2052">
        <v>58</v>
      </c>
      <c r="E2052">
        <v>5</v>
      </c>
      <c r="F2052">
        <v>8.6199999999999992</v>
      </c>
      <c r="G2052">
        <v>43.05</v>
      </c>
      <c r="H2052">
        <v>2496.9</v>
      </c>
    </row>
    <row r="2053" spans="1:8" x14ac:dyDescent="0.35">
      <c r="A2053" t="s">
        <v>6</v>
      </c>
      <c r="B2053" t="s">
        <v>12</v>
      </c>
      <c r="C2053" t="s">
        <v>11</v>
      </c>
      <c r="D2053">
        <v>105</v>
      </c>
      <c r="E2053">
        <v>6</v>
      </c>
      <c r="F2053">
        <v>5.71</v>
      </c>
      <c r="G2053">
        <v>52.07</v>
      </c>
      <c r="H2053">
        <v>5467.35</v>
      </c>
    </row>
    <row r="2054" spans="1:8" x14ac:dyDescent="0.35">
      <c r="A2054" t="s">
        <v>5</v>
      </c>
      <c r="B2054" t="s">
        <v>12</v>
      </c>
      <c r="C2054" t="s">
        <v>9</v>
      </c>
      <c r="D2054">
        <v>289</v>
      </c>
      <c r="E2054">
        <v>26</v>
      </c>
      <c r="F2054">
        <v>9</v>
      </c>
      <c r="G2054">
        <v>12.32</v>
      </c>
      <c r="H2054">
        <v>3560.48</v>
      </c>
    </row>
    <row r="2055" spans="1:8" x14ac:dyDescent="0.35">
      <c r="A2055" t="s">
        <v>8</v>
      </c>
      <c r="B2055" t="s">
        <v>12</v>
      </c>
      <c r="C2055" t="s">
        <v>9</v>
      </c>
      <c r="D2055">
        <v>221</v>
      </c>
      <c r="E2055">
        <v>7</v>
      </c>
      <c r="F2055">
        <v>3.17</v>
      </c>
      <c r="G2055">
        <v>55.16</v>
      </c>
      <c r="H2055">
        <v>12190.36</v>
      </c>
    </row>
    <row r="2056" spans="1:8" x14ac:dyDescent="0.35">
      <c r="A2056" t="s">
        <v>6</v>
      </c>
      <c r="B2056" t="s">
        <v>12</v>
      </c>
      <c r="C2056" t="s">
        <v>11</v>
      </c>
      <c r="D2056">
        <v>135</v>
      </c>
      <c r="E2056">
        <v>10</v>
      </c>
      <c r="F2056">
        <v>7.41</v>
      </c>
      <c r="G2056">
        <v>64.55</v>
      </c>
      <c r="H2056">
        <v>8714.25</v>
      </c>
    </row>
    <row r="2057" spans="1:8" x14ac:dyDescent="0.35">
      <c r="A2057" t="s">
        <v>7</v>
      </c>
      <c r="B2057" t="s">
        <v>12</v>
      </c>
      <c r="C2057" t="s">
        <v>10</v>
      </c>
      <c r="D2057">
        <v>107</v>
      </c>
      <c r="E2057">
        <v>1</v>
      </c>
      <c r="F2057">
        <v>0.93</v>
      </c>
      <c r="G2057">
        <v>55.95</v>
      </c>
      <c r="H2057">
        <v>5986.65</v>
      </c>
    </row>
    <row r="2058" spans="1:8" x14ac:dyDescent="0.35">
      <c r="A2058" t="s">
        <v>6</v>
      </c>
      <c r="B2058" t="s">
        <v>12</v>
      </c>
      <c r="C2058" t="s">
        <v>9</v>
      </c>
      <c r="D2058">
        <v>100</v>
      </c>
      <c r="E2058">
        <v>7</v>
      </c>
      <c r="F2058">
        <v>7</v>
      </c>
      <c r="G2058">
        <v>35.99</v>
      </c>
      <c r="H2058">
        <v>3599</v>
      </c>
    </row>
    <row r="2059" spans="1:8" x14ac:dyDescent="0.35">
      <c r="A2059" t="s">
        <v>6</v>
      </c>
      <c r="B2059" t="s">
        <v>12</v>
      </c>
      <c r="C2059" t="s">
        <v>9</v>
      </c>
      <c r="D2059">
        <v>268</v>
      </c>
      <c r="E2059">
        <v>21</v>
      </c>
      <c r="F2059">
        <v>7.84</v>
      </c>
      <c r="G2059">
        <v>15.13</v>
      </c>
      <c r="H2059">
        <v>4054.84</v>
      </c>
    </row>
    <row r="2060" spans="1:8" x14ac:dyDescent="0.35">
      <c r="A2060" t="s">
        <v>6</v>
      </c>
      <c r="B2060" t="s">
        <v>12</v>
      </c>
      <c r="C2060" t="s">
        <v>9</v>
      </c>
      <c r="D2060">
        <v>287</v>
      </c>
      <c r="E2060">
        <v>26</v>
      </c>
      <c r="F2060">
        <v>9.06</v>
      </c>
      <c r="G2060">
        <v>69.36</v>
      </c>
      <c r="H2060">
        <v>19906.32</v>
      </c>
    </row>
    <row r="2061" spans="1:8" x14ac:dyDescent="0.35">
      <c r="A2061" t="s">
        <v>6</v>
      </c>
      <c r="B2061" t="s">
        <v>12</v>
      </c>
      <c r="C2061" t="s">
        <v>11</v>
      </c>
      <c r="D2061">
        <v>292</v>
      </c>
      <c r="E2061">
        <v>6</v>
      </c>
      <c r="F2061">
        <v>2.0499999999999998</v>
      </c>
      <c r="G2061">
        <v>9.14</v>
      </c>
      <c r="H2061">
        <v>2668.88</v>
      </c>
    </row>
    <row r="2062" spans="1:8" x14ac:dyDescent="0.35">
      <c r="A2062" t="s">
        <v>7</v>
      </c>
      <c r="B2062" t="s">
        <v>12</v>
      </c>
      <c r="C2062" t="s">
        <v>9</v>
      </c>
      <c r="D2062">
        <v>232</v>
      </c>
      <c r="E2062">
        <v>16</v>
      </c>
      <c r="F2062">
        <v>6.9</v>
      </c>
      <c r="G2062">
        <v>67.900000000000006</v>
      </c>
      <c r="H2062">
        <v>15752.8</v>
      </c>
    </row>
    <row r="2063" spans="1:8" x14ac:dyDescent="0.35">
      <c r="A2063" t="s">
        <v>8</v>
      </c>
      <c r="B2063" t="s">
        <v>12</v>
      </c>
      <c r="C2063" t="s">
        <v>9</v>
      </c>
      <c r="D2063">
        <v>212</v>
      </c>
      <c r="E2063">
        <v>12</v>
      </c>
      <c r="F2063">
        <v>5.66</v>
      </c>
      <c r="G2063">
        <v>23.79</v>
      </c>
      <c r="H2063">
        <v>5043.4799999999996</v>
      </c>
    </row>
    <row r="2064" spans="1:8" x14ac:dyDescent="0.35">
      <c r="A2064" t="s">
        <v>7</v>
      </c>
      <c r="B2064" t="s">
        <v>12</v>
      </c>
      <c r="C2064" t="s">
        <v>9</v>
      </c>
      <c r="D2064">
        <v>151</v>
      </c>
      <c r="E2064">
        <v>10</v>
      </c>
      <c r="F2064">
        <v>6.62</v>
      </c>
      <c r="G2064">
        <v>27.58</v>
      </c>
      <c r="H2064">
        <v>4164.58</v>
      </c>
    </row>
    <row r="2065" spans="1:8" x14ac:dyDescent="0.35">
      <c r="A2065" t="s">
        <v>8</v>
      </c>
      <c r="B2065" t="s">
        <v>12</v>
      </c>
      <c r="C2065" t="s">
        <v>9</v>
      </c>
      <c r="D2065">
        <v>121</v>
      </c>
      <c r="E2065">
        <v>11</v>
      </c>
      <c r="F2065">
        <v>9.09</v>
      </c>
      <c r="G2065">
        <v>59</v>
      </c>
      <c r="H2065">
        <v>7139</v>
      </c>
    </row>
    <row r="2066" spans="1:8" x14ac:dyDescent="0.35">
      <c r="A2066" t="s">
        <v>7</v>
      </c>
      <c r="B2066" t="s">
        <v>12</v>
      </c>
      <c r="C2066" t="s">
        <v>10</v>
      </c>
      <c r="D2066">
        <v>223</v>
      </c>
      <c r="E2066">
        <v>10</v>
      </c>
      <c r="F2066">
        <v>4.4800000000000004</v>
      </c>
      <c r="G2066">
        <v>44.89</v>
      </c>
      <c r="H2066">
        <v>10010.469999999999</v>
      </c>
    </row>
    <row r="2067" spans="1:8" x14ac:dyDescent="0.35">
      <c r="A2067" t="s">
        <v>5</v>
      </c>
      <c r="B2067" t="s">
        <v>12</v>
      </c>
      <c r="C2067" t="s">
        <v>9</v>
      </c>
      <c r="D2067">
        <v>270</v>
      </c>
      <c r="E2067">
        <v>26</v>
      </c>
      <c r="F2067">
        <v>9.6300000000000008</v>
      </c>
      <c r="G2067">
        <v>37.17</v>
      </c>
      <c r="H2067">
        <v>10035.9</v>
      </c>
    </row>
    <row r="2068" spans="1:8" x14ac:dyDescent="0.35">
      <c r="A2068" t="s">
        <v>8</v>
      </c>
      <c r="B2068" t="s">
        <v>12</v>
      </c>
      <c r="C2068" t="s">
        <v>9</v>
      </c>
      <c r="D2068">
        <v>201</v>
      </c>
      <c r="E2068">
        <v>2</v>
      </c>
      <c r="F2068">
        <v>1</v>
      </c>
      <c r="G2068">
        <v>11.98</v>
      </c>
      <c r="H2068">
        <v>2407.98</v>
      </c>
    </row>
    <row r="2069" spans="1:8" x14ac:dyDescent="0.35">
      <c r="A2069" t="s">
        <v>8</v>
      </c>
      <c r="B2069" t="s">
        <v>12</v>
      </c>
      <c r="C2069" t="s">
        <v>9</v>
      </c>
      <c r="D2069">
        <v>224</v>
      </c>
      <c r="E2069">
        <v>14</v>
      </c>
      <c r="F2069">
        <v>6.25</v>
      </c>
      <c r="G2069">
        <v>13.44</v>
      </c>
      <c r="H2069">
        <v>3010.56</v>
      </c>
    </row>
    <row r="2070" spans="1:8" x14ac:dyDescent="0.35">
      <c r="A2070" t="s">
        <v>6</v>
      </c>
      <c r="B2070" t="s">
        <v>12</v>
      </c>
      <c r="C2070" t="s">
        <v>11</v>
      </c>
      <c r="D2070">
        <v>202</v>
      </c>
      <c r="E2070">
        <v>14</v>
      </c>
      <c r="F2070">
        <v>6.93</v>
      </c>
      <c r="G2070">
        <v>37.049999999999997</v>
      </c>
      <c r="H2070">
        <v>7484.1</v>
      </c>
    </row>
    <row r="2071" spans="1:8" x14ac:dyDescent="0.35">
      <c r="A2071" t="s">
        <v>6</v>
      </c>
      <c r="B2071" t="s">
        <v>12</v>
      </c>
      <c r="C2071" t="s">
        <v>11</v>
      </c>
      <c r="D2071">
        <v>84</v>
      </c>
      <c r="E2071">
        <v>1</v>
      </c>
      <c r="F2071">
        <v>1.19</v>
      </c>
      <c r="G2071">
        <v>62.97</v>
      </c>
      <c r="H2071">
        <v>5289.48</v>
      </c>
    </row>
    <row r="2072" spans="1:8" x14ac:dyDescent="0.35">
      <c r="A2072" t="s">
        <v>7</v>
      </c>
      <c r="B2072" t="s">
        <v>12</v>
      </c>
      <c r="C2072" t="s">
        <v>10</v>
      </c>
      <c r="D2072">
        <v>126</v>
      </c>
      <c r="E2072">
        <v>0</v>
      </c>
      <c r="F2072">
        <v>0</v>
      </c>
      <c r="G2072">
        <v>64.66</v>
      </c>
      <c r="H2072">
        <v>8147.16</v>
      </c>
    </row>
    <row r="2073" spans="1:8" x14ac:dyDescent="0.35">
      <c r="A2073" t="s">
        <v>6</v>
      </c>
      <c r="B2073" t="s">
        <v>12</v>
      </c>
      <c r="C2073" t="s">
        <v>11</v>
      </c>
      <c r="D2073">
        <v>161</v>
      </c>
      <c r="E2073">
        <v>14</v>
      </c>
      <c r="F2073">
        <v>8.6999999999999993</v>
      </c>
      <c r="G2073">
        <v>37.47</v>
      </c>
      <c r="H2073">
        <v>6032.67</v>
      </c>
    </row>
    <row r="2074" spans="1:8" x14ac:dyDescent="0.35">
      <c r="A2074" t="s">
        <v>7</v>
      </c>
      <c r="B2074" t="s">
        <v>12</v>
      </c>
      <c r="C2074" t="s">
        <v>9</v>
      </c>
      <c r="D2074">
        <v>253</v>
      </c>
      <c r="E2074">
        <v>2</v>
      </c>
      <c r="F2074">
        <v>0.79</v>
      </c>
      <c r="G2074">
        <v>14.34</v>
      </c>
      <c r="H2074">
        <v>3628.02</v>
      </c>
    </row>
    <row r="2075" spans="1:8" x14ac:dyDescent="0.35">
      <c r="A2075" t="s">
        <v>7</v>
      </c>
      <c r="B2075" t="s">
        <v>12</v>
      </c>
      <c r="C2075" t="s">
        <v>10</v>
      </c>
      <c r="D2075">
        <v>53</v>
      </c>
      <c r="E2075">
        <v>1</v>
      </c>
      <c r="F2075">
        <v>1.89</v>
      </c>
      <c r="G2075">
        <v>6.92</v>
      </c>
      <c r="H2075">
        <v>366.76</v>
      </c>
    </row>
    <row r="2076" spans="1:8" x14ac:dyDescent="0.35">
      <c r="A2076" t="s">
        <v>5</v>
      </c>
      <c r="B2076" t="s">
        <v>12</v>
      </c>
      <c r="C2076" t="s">
        <v>9</v>
      </c>
      <c r="D2076">
        <v>187</v>
      </c>
      <c r="E2076">
        <v>2</v>
      </c>
      <c r="F2076">
        <v>1.07</v>
      </c>
      <c r="G2076">
        <v>10.69</v>
      </c>
      <c r="H2076">
        <v>1999.03</v>
      </c>
    </row>
    <row r="2077" spans="1:8" x14ac:dyDescent="0.35">
      <c r="A2077" t="s">
        <v>7</v>
      </c>
      <c r="B2077" t="s">
        <v>12</v>
      </c>
      <c r="C2077" t="s">
        <v>9</v>
      </c>
      <c r="D2077">
        <v>197</v>
      </c>
      <c r="E2077">
        <v>16</v>
      </c>
      <c r="F2077">
        <v>8.1199999999999992</v>
      </c>
      <c r="G2077">
        <v>48.65</v>
      </c>
      <c r="H2077">
        <v>9584.0499999999993</v>
      </c>
    </row>
    <row r="2078" spans="1:8" x14ac:dyDescent="0.35">
      <c r="A2078" t="s">
        <v>6</v>
      </c>
      <c r="B2078" t="s">
        <v>12</v>
      </c>
      <c r="C2078" t="s">
        <v>9</v>
      </c>
      <c r="D2078">
        <v>180</v>
      </c>
      <c r="E2078">
        <v>13</v>
      </c>
      <c r="F2078">
        <v>7.22</v>
      </c>
      <c r="G2078">
        <v>6.5</v>
      </c>
      <c r="H2078">
        <v>1170</v>
      </c>
    </row>
    <row r="2079" spans="1:8" x14ac:dyDescent="0.35">
      <c r="A2079" t="s">
        <v>7</v>
      </c>
      <c r="B2079" t="s">
        <v>12</v>
      </c>
      <c r="C2079" t="s">
        <v>10</v>
      </c>
      <c r="D2079">
        <v>176</v>
      </c>
      <c r="E2079">
        <v>10</v>
      </c>
      <c r="F2079">
        <v>5.68</v>
      </c>
      <c r="G2079">
        <v>55.26</v>
      </c>
      <c r="H2079">
        <v>9725.76</v>
      </c>
    </row>
    <row r="2080" spans="1:8" x14ac:dyDescent="0.35">
      <c r="A2080" t="s">
        <v>5</v>
      </c>
      <c r="B2080" t="s">
        <v>12</v>
      </c>
      <c r="C2080" t="s">
        <v>9</v>
      </c>
      <c r="D2080">
        <v>52</v>
      </c>
      <c r="E2080">
        <v>1</v>
      </c>
      <c r="F2080">
        <v>1.92</v>
      </c>
      <c r="G2080">
        <v>29.93</v>
      </c>
      <c r="H2080">
        <v>1556.36</v>
      </c>
    </row>
    <row r="2081" spans="1:8" x14ac:dyDescent="0.35">
      <c r="A2081" t="s">
        <v>8</v>
      </c>
      <c r="B2081" t="s">
        <v>12</v>
      </c>
      <c r="C2081" t="s">
        <v>9</v>
      </c>
      <c r="D2081">
        <v>274</v>
      </c>
      <c r="E2081">
        <v>10</v>
      </c>
      <c r="F2081">
        <v>3.65</v>
      </c>
      <c r="G2081">
        <v>24.83</v>
      </c>
      <c r="H2081">
        <v>6803.42</v>
      </c>
    </row>
    <row r="2082" spans="1:8" x14ac:dyDescent="0.35">
      <c r="A2082" t="s">
        <v>6</v>
      </c>
      <c r="B2082" t="s">
        <v>12</v>
      </c>
      <c r="C2082" t="s">
        <v>9</v>
      </c>
      <c r="D2082">
        <v>132</v>
      </c>
      <c r="E2082">
        <v>5</v>
      </c>
      <c r="F2082">
        <v>3.79</v>
      </c>
      <c r="G2082">
        <v>42.19</v>
      </c>
      <c r="H2082">
        <v>5569.08</v>
      </c>
    </row>
    <row r="2083" spans="1:8" x14ac:dyDescent="0.35">
      <c r="A2083" t="s">
        <v>5</v>
      </c>
      <c r="B2083" t="s">
        <v>12</v>
      </c>
      <c r="C2083" t="s">
        <v>9</v>
      </c>
      <c r="D2083">
        <v>147</v>
      </c>
      <c r="E2083">
        <v>1</v>
      </c>
      <c r="F2083">
        <v>0.68</v>
      </c>
      <c r="G2083">
        <v>52.63</v>
      </c>
      <c r="H2083">
        <v>7736.61</v>
      </c>
    </row>
    <row r="2084" spans="1:8" x14ac:dyDescent="0.35">
      <c r="A2084" t="s">
        <v>6</v>
      </c>
      <c r="B2084" t="s">
        <v>12</v>
      </c>
      <c r="C2084" t="s">
        <v>9</v>
      </c>
      <c r="D2084">
        <v>252</v>
      </c>
      <c r="E2084">
        <v>6</v>
      </c>
      <c r="F2084">
        <v>2.38</v>
      </c>
      <c r="G2084">
        <v>5.72</v>
      </c>
      <c r="H2084">
        <v>1441.44</v>
      </c>
    </row>
    <row r="2085" spans="1:8" x14ac:dyDescent="0.35">
      <c r="A2085" t="s">
        <v>6</v>
      </c>
      <c r="B2085" t="s">
        <v>12</v>
      </c>
      <c r="C2085" t="s">
        <v>9</v>
      </c>
      <c r="D2085">
        <v>211</v>
      </c>
      <c r="E2085">
        <v>1</v>
      </c>
      <c r="F2085">
        <v>0.47</v>
      </c>
      <c r="G2085">
        <v>28.23</v>
      </c>
      <c r="H2085">
        <v>5956.53</v>
      </c>
    </row>
    <row r="2086" spans="1:8" x14ac:dyDescent="0.35">
      <c r="A2086" t="s">
        <v>8</v>
      </c>
      <c r="B2086" t="s">
        <v>12</v>
      </c>
      <c r="C2086" t="s">
        <v>9</v>
      </c>
      <c r="D2086">
        <v>271</v>
      </c>
      <c r="E2086">
        <v>9</v>
      </c>
      <c r="F2086">
        <v>3.32</v>
      </c>
      <c r="G2086">
        <v>26.34</v>
      </c>
      <c r="H2086">
        <v>7138.14</v>
      </c>
    </row>
    <row r="2087" spans="1:8" x14ac:dyDescent="0.35">
      <c r="A2087" t="s">
        <v>7</v>
      </c>
      <c r="B2087" t="s">
        <v>12</v>
      </c>
      <c r="C2087" t="s">
        <v>10</v>
      </c>
      <c r="D2087">
        <v>183</v>
      </c>
      <c r="E2087">
        <v>0</v>
      </c>
      <c r="F2087">
        <v>0</v>
      </c>
      <c r="G2087">
        <v>67.209999999999994</v>
      </c>
      <c r="H2087">
        <v>12299.43</v>
      </c>
    </row>
    <row r="2088" spans="1:8" x14ac:dyDescent="0.35">
      <c r="A2088" t="s">
        <v>7</v>
      </c>
      <c r="B2088" t="s">
        <v>12</v>
      </c>
      <c r="C2088" t="s">
        <v>10</v>
      </c>
      <c r="D2088">
        <v>58</v>
      </c>
      <c r="E2088">
        <v>1</v>
      </c>
      <c r="F2088">
        <v>1.72</v>
      </c>
      <c r="G2088">
        <v>41.84</v>
      </c>
      <c r="H2088">
        <v>2426.7199999999998</v>
      </c>
    </row>
    <row r="2089" spans="1:8" x14ac:dyDescent="0.35">
      <c r="A2089" t="s">
        <v>8</v>
      </c>
      <c r="B2089" t="s">
        <v>12</v>
      </c>
      <c r="C2089" t="s">
        <v>9</v>
      </c>
      <c r="D2089">
        <v>220</v>
      </c>
      <c r="E2089">
        <v>16</v>
      </c>
      <c r="F2089">
        <v>7.27</v>
      </c>
      <c r="G2089">
        <v>6.58</v>
      </c>
      <c r="H2089">
        <v>1447.6</v>
      </c>
    </row>
    <row r="2090" spans="1:8" x14ac:dyDescent="0.35">
      <c r="A2090" t="s">
        <v>5</v>
      </c>
      <c r="B2090" t="s">
        <v>12</v>
      </c>
      <c r="C2090" t="s">
        <v>9</v>
      </c>
      <c r="D2090">
        <v>100</v>
      </c>
      <c r="E2090">
        <v>0</v>
      </c>
      <c r="F2090">
        <v>0</v>
      </c>
      <c r="G2090">
        <v>18.670000000000002</v>
      </c>
      <c r="H2090">
        <v>1867</v>
      </c>
    </row>
    <row r="2091" spans="1:8" x14ac:dyDescent="0.35">
      <c r="A2091" t="s">
        <v>6</v>
      </c>
      <c r="B2091" t="s">
        <v>12</v>
      </c>
      <c r="C2091" t="s">
        <v>9</v>
      </c>
      <c r="D2091">
        <v>223</v>
      </c>
      <c r="E2091">
        <v>17</v>
      </c>
      <c r="F2091">
        <v>7.62</v>
      </c>
      <c r="G2091">
        <v>42.62</v>
      </c>
      <c r="H2091">
        <v>9504.26</v>
      </c>
    </row>
    <row r="2092" spans="1:8" x14ac:dyDescent="0.35">
      <c r="A2092" t="s">
        <v>5</v>
      </c>
      <c r="B2092" t="s">
        <v>12</v>
      </c>
      <c r="C2092" t="s">
        <v>9</v>
      </c>
      <c r="D2092">
        <v>159</v>
      </c>
      <c r="E2092">
        <v>1</v>
      </c>
      <c r="F2092">
        <v>0.63</v>
      </c>
      <c r="G2092">
        <v>36.619999999999997</v>
      </c>
      <c r="H2092">
        <v>5822.58</v>
      </c>
    </row>
    <row r="2093" spans="1:8" x14ac:dyDescent="0.35">
      <c r="A2093" t="s">
        <v>7</v>
      </c>
      <c r="B2093" t="s">
        <v>12</v>
      </c>
      <c r="C2093" t="s">
        <v>10</v>
      </c>
      <c r="D2093">
        <v>187</v>
      </c>
      <c r="E2093">
        <v>0</v>
      </c>
      <c r="F2093">
        <v>0</v>
      </c>
      <c r="G2093">
        <v>34.590000000000003</v>
      </c>
      <c r="H2093">
        <v>6468.33</v>
      </c>
    </row>
    <row r="2094" spans="1:8" x14ac:dyDescent="0.35">
      <c r="A2094" t="s">
        <v>8</v>
      </c>
      <c r="B2094" t="s">
        <v>12</v>
      </c>
      <c r="C2094" t="s">
        <v>9</v>
      </c>
      <c r="D2094">
        <v>265</v>
      </c>
      <c r="E2094">
        <v>0</v>
      </c>
      <c r="F2094">
        <v>0</v>
      </c>
      <c r="G2094">
        <v>35.119999999999997</v>
      </c>
      <c r="H2094">
        <v>9306.7999999999993</v>
      </c>
    </row>
    <row r="2095" spans="1:8" x14ac:dyDescent="0.35">
      <c r="A2095" t="s">
        <v>7</v>
      </c>
      <c r="B2095" t="s">
        <v>12</v>
      </c>
      <c r="C2095" t="s">
        <v>9</v>
      </c>
      <c r="D2095">
        <v>233</v>
      </c>
      <c r="E2095">
        <v>13</v>
      </c>
      <c r="F2095">
        <v>5.58</v>
      </c>
      <c r="G2095">
        <v>19.420000000000002</v>
      </c>
      <c r="H2095">
        <v>4524.8599999999997</v>
      </c>
    </row>
    <row r="2096" spans="1:8" x14ac:dyDescent="0.35">
      <c r="A2096" t="s">
        <v>7</v>
      </c>
      <c r="B2096" t="s">
        <v>12</v>
      </c>
      <c r="C2096" t="s">
        <v>9</v>
      </c>
      <c r="D2096">
        <v>120</v>
      </c>
      <c r="E2096">
        <v>5</v>
      </c>
      <c r="F2096">
        <v>4.17</v>
      </c>
      <c r="G2096">
        <v>43.84</v>
      </c>
      <c r="H2096">
        <v>5260.8</v>
      </c>
    </row>
    <row r="2097" spans="1:8" x14ac:dyDescent="0.35">
      <c r="A2097" t="s">
        <v>5</v>
      </c>
      <c r="B2097" t="s">
        <v>12</v>
      </c>
      <c r="C2097" t="s">
        <v>9</v>
      </c>
      <c r="D2097">
        <v>142</v>
      </c>
      <c r="E2097">
        <v>13</v>
      </c>
      <c r="F2097">
        <v>9.15</v>
      </c>
      <c r="G2097">
        <v>9.56</v>
      </c>
      <c r="H2097">
        <v>1357.52</v>
      </c>
    </row>
    <row r="2098" spans="1:8" x14ac:dyDescent="0.35">
      <c r="A2098" t="s">
        <v>7</v>
      </c>
      <c r="B2098" t="s">
        <v>12</v>
      </c>
      <c r="C2098" t="s">
        <v>10</v>
      </c>
      <c r="D2098">
        <v>57</v>
      </c>
      <c r="E2098">
        <v>0</v>
      </c>
      <c r="F2098">
        <v>0</v>
      </c>
      <c r="G2098">
        <v>56.72</v>
      </c>
      <c r="H2098">
        <v>3233.04</v>
      </c>
    </row>
    <row r="2099" spans="1:8" x14ac:dyDescent="0.35">
      <c r="A2099" t="s">
        <v>5</v>
      </c>
      <c r="B2099" t="s">
        <v>12</v>
      </c>
      <c r="C2099" t="s">
        <v>9</v>
      </c>
      <c r="D2099">
        <v>229</v>
      </c>
      <c r="E2099">
        <v>18</v>
      </c>
      <c r="F2099">
        <v>7.86</v>
      </c>
      <c r="G2099">
        <v>30.47</v>
      </c>
      <c r="H2099">
        <v>6977.63</v>
      </c>
    </row>
    <row r="2100" spans="1:8" x14ac:dyDescent="0.35">
      <c r="A2100" t="s">
        <v>5</v>
      </c>
      <c r="B2100" t="s">
        <v>12</v>
      </c>
      <c r="C2100" t="s">
        <v>9</v>
      </c>
      <c r="D2100">
        <v>289</v>
      </c>
      <c r="E2100">
        <v>20</v>
      </c>
      <c r="F2100">
        <v>6.92</v>
      </c>
      <c r="G2100">
        <v>11.94</v>
      </c>
      <c r="H2100">
        <v>3450.66</v>
      </c>
    </row>
    <row r="2101" spans="1:8" x14ac:dyDescent="0.35">
      <c r="A2101" t="s">
        <v>7</v>
      </c>
      <c r="B2101" t="s">
        <v>12</v>
      </c>
      <c r="C2101" t="s">
        <v>10</v>
      </c>
      <c r="D2101">
        <v>122</v>
      </c>
      <c r="E2101">
        <v>0</v>
      </c>
      <c r="F2101">
        <v>0</v>
      </c>
      <c r="G2101">
        <v>30.91</v>
      </c>
      <c r="H2101">
        <v>3771.02</v>
      </c>
    </row>
    <row r="2102" spans="1:8" x14ac:dyDescent="0.35">
      <c r="A2102" t="s">
        <v>7</v>
      </c>
      <c r="B2102" t="s">
        <v>12</v>
      </c>
      <c r="C2102" t="s">
        <v>10</v>
      </c>
      <c r="D2102">
        <v>299</v>
      </c>
      <c r="E2102">
        <v>7</v>
      </c>
      <c r="F2102">
        <v>2.34</v>
      </c>
      <c r="G2102">
        <v>37.36</v>
      </c>
      <c r="H2102">
        <v>11170.64</v>
      </c>
    </row>
    <row r="2103" spans="1:8" x14ac:dyDescent="0.35">
      <c r="A2103" t="s">
        <v>6</v>
      </c>
      <c r="B2103" t="s">
        <v>12</v>
      </c>
      <c r="C2103" t="s">
        <v>11</v>
      </c>
      <c r="D2103">
        <v>157</v>
      </c>
      <c r="E2103">
        <v>7</v>
      </c>
      <c r="F2103">
        <v>4.46</v>
      </c>
      <c r="G2103">
        <v>9.36</v>
      </c>
      <c r="H2103">
        <v>1469.52</v>
      </c>
    </row>
    <row r="2104" spans="1:8" x14ac:dyDescent="0.35">
      <c r="A2104" t="s">
        <v>6</v>
      </c>
      <c r="B2104" t="s">
        <v>12</v>
      </c>
      <c r="C2104" t="s">
        <v>11</v>
      </c>
      <c r="D2104">
        <v>206</v>
      </c>
      <c r="E2104">
        <v>14</v>
      </c>
      <c r="F2104">
        <v>6.8</v>
      </c>
      <c r="G2104">
        <v>34.58</v>
      </c>
      <c r="H2104">
        <v>7123.48</v>
      </c>
    </row>
    <row r="2105" spans="1:8" x14ac:dyDescent="0.35">
      <c r="A2105" t="s">
        <v>7</v>
      </c>
      <c r="B2105" t="s">
        <v>12</v>
      </c>
      <c r="C2105" t="s">
        <v>9</v>
      </c>
      <c r="D2105">
        <v>60</v>
      </c>
      <c r="E2105">
        <v>0</v>
      </c>
      <c r="F2105">
        <v>0</v>
      </c>
      <c r="G2105">
        <v>25.17</v>
      </c>
      <c r="H2105">
        <v>1510.2</v>
      </c>
    </row>
    <row r="2106" spans="1:8" x14ac:dyDescent="0.35">
      <c r="A2106" t="s">
        <v>7</v>
      </c>
      <c r="B2106" t="s">
        <v>12</v>
      </c>
      <c r="C2106" t="s">
        <v>9</v>
      </c>
      <c r="D2106">
        <v>221</v>
      </c>
      <c r="E2106">
        <v>7</v>
      </c>
      <c r="F2106">
        <v>3.17</v>
      </c>
      <c r="G2106">
        <v>51.94</v>
      </c>
      <c r="H2106">
        <v>11478.74</v>
      </c>
    </row>
    <row r="2107" spans="1:8" x14ac:dyDescent="0.35">
      <c r="A2107" t="s">
        <v>6</v>
      </c>
      <c r="B2107" t="s">
        <v>12</v>
      </c>
      <c r="C2107" t="s">
        <v>11</v>
      </c>
      <c r="D2107">
        <v>107</v>
      </c>
      <c r="E2107">
        <v>9</v>
      </c>
      <c r="F2107">
        <v>8.41</v>
      </c>
      <c r="G2107">
        <v>16.73</v>
      </c>
      <c r="H2107">
        <v>1790.11</v>
      </c>
    </row>
    <row r="2108" spans="1:8" x14ac:dyDescent="0.35">
      <c r="A2108" t="s">
        <v>8</v>
      </c>
      <c r="B2108" t="s">
        <v>12</v>
      </c>
      <c r="C2108" t="s">
        <v>9</v>
      </c>
      <c r="D2108">
        <v>246</v>
      </c>
      <c r="E2108">
        <v>5</v>
      </c>
      <c r="F2108">
        <v>2.0299999999999998</v>
      </c>
      <c r="G2108">
        <v>29.65</v>
      </c>
      <c r="H2108">
        <v>7293.9</v>
      </c>
    </row>
    <row r="2109" spans="1:8" x14ac:dyDescent="0.35">
      <c r="A2109" t="s">
        <v>5</v>
      </c>
      <c r="B2109" t="s">
        <v>12</v>
      </c>
      <c r="C2109" t="s">
        <v>9</v>
      </c>
      <c r="D2109">
        <v>110</v>
      </c>
      <c r="E2109">
        <v>9</v>
      </c>
      <c r="F2109">
        <v>8.18</v>
      </c>
      <c r="G2109">
        <v>7.67</v>
      </c>
      <c r="H2109">
        <v>843.7</v>
      </c>
    </row>
    <row r="2110" spans="1:8" x14ac:dyDescent="0.35">
      <c r="A2110" t="s">
        <v>7</v>
      </c>
      <c r="B2110" t="s">
        <v>12</v>
      </c>
      <c r="C2110" t="s">
        <v>10</v>
      </c>
      <c r="D2110">
        <v>239</v>
      </c>
      <c r="E2110">
        <v>2</v>
      </c>
      <c r="F2110">
        <v>0.84</v>
      </c>
      <c r="G2110">
        <v>41.4</v>
      </c>
      <c r="H2110">
        <v>9894.6</v>
      </c>
    </row>
    <row r="2111" spans="1:8" x14ac:dyDescent="0.35">
      <c r="A2111" t="s">
        <v>6</v>
      </c>
      <c r="B2111" t="s">
        <v>12</v>
      </c>
      <c r="C2111" t="s">
        <v>11</v>
      </c>
      <c r="D2111">
        <v>80</v>
      </c>
      <c r="E2111">
        <v>1</v>
      </c>
      <c r="F2111">
        <v>1.25</v>
      </c>
      <c r="G2111">
        <v>48.36</v>
      </c>
      <c r="H2111">
        <v>3868.8</v>
      </c>
    </row>
    <row r="2112" spans="1:8" x14ac:dyDescent="0.35">
      <c r="A2112" t="s">
        <v>7</v>
      </c>
      <c r="B2112" t="s">
        <v>12</v>
      </c>
      <c r="C2112" t="s">
        <v>9</v>
      </c>
      <c r="D2112">
        <v>212</v>
      </c>
      <c r="E2112">
        <v>0</v>
      </c>
      <c r="F2112">
        <v>0</v>
      </c>
      <c r="G2112">
        <v>47.47</v>
      </c>
      <c r="H2112">
        <v>10063.64</v>
      </c>
    </row>
    <row r="2113" spans="1:8" x14ac:dyDescent="0.35">
      <c r="A2113" t="s">
        <v>6</v>
      </c>
      <c r="B2113" t="s">
        <v>12</v>
      </c>
      <c r="C2113" t="s">
        <v>11</v>
      </c>
      <c r="D2113">
        <v>180</v>
      </c>
      <c r="E2113">
        <v>15</v>
      </c>
      <c r="F2113">
        <v>8.33</v>
      </c>
      <c r="G2113">
        <v>68.28</v>
      </c>
      <c r="H2113">
        <v>12290.4</v>
      </c>
    </row>
    <row r="2114" spans="1:8" x14ac:dyDescent="0.35">
      <c r="A2114" t="s">
        <v>6</v>
      </c>
      <c r="B2114" t="s">
        <v>12</v>
      </c>
      <c r="C2114" t="s">
        <v>11</v>
      </c>
      <c r="D2114">
        <v>206</v>
      </c>
      <c r="E2114">
        <v>14</v>
      </c>
      <c r="F2114">
        <v>6.8</v>
      </c>
      <c r="G2114">
        <v>62.11</v>
      </c>
      <c r="H2114">
        <v>12794.66</v>
      </c>
    </row>
    <row r="2115" spans="1:8" x14ac:dyDescent="0.35">
      <c r="A2115" t="s">
        <v>6</v>
      </c>
      <c r="B2115" t="s">
        <v>12</v>
      </c>
      <c r="C2115" t="s">
        <v>9</v>
      </c>
      <c r="D2115">
        <v>59</v>
      </c>
      <c r="E2115">
        <v>0</v>
      </c>
      <c r="F2115">
        <v>0</v>
      </c>
      <c r="G2115">
        <v>13.6</v>
      </c>
      <c r="H2115">
        <v>802.4</v>
      </c>
    </row>
    <row r="2116" spans="1:8" x14ac:dyDescent="0.35">
      <c r="A2116" t="s">
        <v>8</v>
      </c>
      <c r="B2116" t="s">
        <v>12</v>
      </c>
      <c r="C2116" t="s">
        <v>9</v>
      </c>
      <c r="D2116">
        <v>222</v>
      </c>
      <c r="E2116">
        <v>3</v>
      </c>
      <c r="F2116">
        <v>1.35</v>
      </c>
      <c r="G2116">
        <v>36.32</v>
      </c>
      <c r="H2116">
        <v>8063.04</v>
      </c>
    </row>
    <row r="2117" spans="1:8" x14ac:dyDescent="0.35">
      <c r="A2117" t="s">
        <v>6</v>
      </c>
      <c r="B2117" t="s">
        <v>12</v>
      </c>
      <c r="C2117" t="s">
        <v>9</v>
      </c>
      <c r="D2117">
        <v>127</v>
      </c>
      <c r="E2117">
        <v>6</v>
      </c>
      <c r="F2117">
        <v>4.72</v>
      </c>
      <c r="G2117">
        <v>49.27</v>
      </c>
      <c r="H2117">
        <v>6257.29</v>
      </c>
    </row>
    <row r="2118" spans="1:8" x14ac:dyDescent="0.35">
      <c r="A2118" t="s">
        <v>7</v>
      </c>
      <c r="B2118" t="s">
        <v>12</v>
      </c>
      <c r="C2118" t="s">
        <v>9</v>
      </c>
      <c r="D2118">
        <v>72</v>
      </c>
      <c r="E2118">
        <v>0</v>
      </c>
      <c r="F2118">
        <v>0</v>
      </c>
      <c r="G2118">
        <v>61.53</v>
      </c>
      <c r="H2118">
        <v>4430.16</v>
      </c>
    </row>
    <row r="2119" spans="1:8" x14ac:dyDescent="0.35">
      <c r="A2119" t="s">
        <v>7</v>
      </c>
      <c r="B2119" t="s">
        <v>12</v>
      </c>
      <c r="C2119" t="s">
        <v>10</v>
      </c>
      <c r="D2119">
        <v>196</v>
      </c>
      <c r="E2119">
        <v>9</v>
      </c>
      <c r="F2119">
        <v>4.59</v>
      </c>
      <c r="G2119">
        <v>46.72</v>
      </c>
      <c r="H2119">
        <v>9157.1200000000008</v>
      </c>
    </row>
    <row r="2120" spans="1:8" x14ac:dyDescent="0.35">
      <c r="A2120" t="s">
        <v>7</v>
      </c>
      <c r="B2120" t="s">
        <v>12</v>
      </c>
      <c r="C2120" t="s">
        <v>10</v>
      </c>
      <c r="D2120">
        <v>104</v>
      </c>
      <c r="E2120">
        <v>5</v>
      </c>
      <c r="F2120">
        <v>4.8099999999999996</v>
      </c>
      <c r="G2120">
        <v>27.1</v>
      </c>
      <c r="H2120">
        <v>2818.4</v>
      </c>
    </row>
    <row r="2121" spans="1:8" x14ac:dyDescent="0.35">
      <c r="A2121" t="s">
        <v>5</v>
      </c>
      <c r="B2121" t="s">
        <v>12</v>
      </c>
      <c r="C2121" t="s">
        <v>9</v>
      </c>
      <c r="D2121">
        <v>63</v>
      </c>
      <c r="E2121">
        <v>5</v>
      </c>
      <c r="F2121">
        <v>7.94</v>
      </c>
      <c r="G2121">
        <v>10.36</v>
      </c>
      <c r="H2121">
        <v>652.67999999999995</v>
      </c>
    </row>
    <row r="2122" spans="1:8" x14ac:dyDescent="0.35">
      <c r="A2122" t="s">
        <v>7</v>
      </c>
      <c r="B2122" t="s">
        <v>12</v>
      </c>
      <c r="C2122" t="s">
        <v>10</v>
      </c>
      <c r="D2122">
        <v>269</v>
      </c>
      <c r="E2122">
        <v>7</v>
      </c>
      <c r="F2122">
        <v>2.6</v>
      </c>
      <c r="G2122">
        <v>20.99</v>
      </c>
      <c r="H2122">
        <v>5646.31</v>
      </c>
    </row>
    <row r="2123" spans="1:8" x14ac:dyDescent="0.35">
      <c r="A2123" t="s">
        <v>7</v>
      </c>
      <c r="B2123" t="s">
        <v>12</v>
      </c>
      <c r="C2123" t="s">
        <v>9</v>
      </c>
      <c r="D2123">
        <v>152</v>
      </c>
      <c r="E2123">
        <v>12</v>
      </c>
      <c r="F2123">
        <v>7.89</v>
      </c>
      <c r="G2123">
        <v>12.36</v>
      </c>
      <c r="H2123">
        <v>1878.72</v>
      </c>
    </row>
    <row r="2124" spans="1:8" x14ac:dyDescent="0.35">
      <c r="A2124" t="s">
        <v>6</v>
      </c>
      <c r="B2124" t="s">
        <v>12</v>
      </c>
      <c r="C2124" t="s">
        <v>11</v>
      </c>
      <c r="D2124">
        <v>139</v>
      </c>
      <c r="E2124">
        <v>6</v>
      </c>
      <c r="F2124">
        <v>4.32</v>
      </c>
      <c r="G2124">
        <v>68.2</v>
      </c>
      <c r="H2124">
        <v>9479.7999999999993</v>
      </c>
    </row>
    <row r="2125" spans="1:8" x14ac:dyDescent="0.35">
      <c r="A2125" t="s">
        <v>6</v>
      </c>
      <c r="B2125" t="s">
        <v>12</v>
      </c>
      <c r="C2125" t="s">
        <v>11</v>
      </c>
      <c r="D2125">
        <v>269</v>
      </c>
      <c r="E2125">
        <v>9</v>
      </c>
      <c r="F2125">
        <v>3.35</v>
      </c>
      <c r="G2125">
        <v>27.09</v>
      </c>
      <c r="H2125">
        <v>7287.21</v>
      </c>
    </row>
    <row r="2126" spans="1:8" x14ac:dyDescent="0.35">
      <c r="A2126" t="s">
        <v>5</v>
      </c>
      <c r="B2126" t="s">
        <v>12</v>
      </c>
      <c r="C2126" t="s">
        <v>9</v>
      </c>
      <c r="D2126">
        <v>241</v>
      </c>
      <c r="E2126">
        <v>11</v>
      </c>
      <c r="F2126">
        <v>4.5599999999999996</v>
      </c>
      <c r="G2126">
        <v>39.82</v>
      </c>
      <c r="H2126">
        <v>9596.6200000000008</v>
      </c>
    </row>
    <row r="2127" spans="1:8" x14ac:dyDescent="0.35">
      <c r="A2127" t="s">
        <v>8</v>
      </c>
      <c r="B2127" t="s">
        <v>12</v>
      </c>
      <c r="C2127" t="s">
        <v>9</v>
      </c>
      <c r="D2127">
        <v>184</v>
      </c>
      <c r="E2127">
        <v>13</v>
      </c>
      <c r="F2127">
        <v>7.07</v>
      </c>
      <c r="G2127">
        <v>49.07</v>
      </c>
      <c r="H2127">
        <v>9028.8799999999992</v>
      </c>
    </row>
    <row r="2128" spans="1:8" x14ac:dyDescent="0.35">
      <c r="A2128" t="s">
        <v>7</v>
      </c>
      <c r="B2128" t="s">
        <v>12</v>
      </c>
      <c r="C2128" t="s">
        <v>10</v>
      </c>
      <c r="D2128">
        <v>106</v>
      </c>
      <c r="E2128">
        <v>6</v>
      </c>
      <c r="F2128">
        <v>5.66</v>
      </c>
      <c r="G2128">
        <v>52</v>
      </c>
      <c r="H2128">
        <v>5512</v>
      </c>
    </row>
    <row r="2129" spans="1:8" x14ac:dyDescent="0.35">
      <c r="A2129" t="s">
        <v>7</v>
      </c>
      <c r="B2129" t="s">
        <v>12</v>
      </c>
      <c r="C2129" t="s">
        <v>9</v>
      </c>
      <c r="D2129">
        <v>233</v>
      </c>
      <c r="E2129">
        <v>20</v>
      </c>
      <c r="F2129">
        <v>8.58</v>
      </c>
      <c r="G2129">
        <v>41.06</v>
      </c>
      <c r="H2129">
        <v>9566.98</v>
      </c>
    </row>
    <row r="2130" spans="1:8" x14ac:dyDescent="0.35">
      <c r="A2130" t="s">
        <v>8</v>
      </c>
      <c r="B2130" t="s">
        <v>12</v>
      </c>
      <c r="C2130" t="s">
        <v>9</v>
      </c>
      <c r="D2130">
        <v>146</v>
      </c>
      <c r="E2130">
        <v>8</v>
      </c>
      <c r="F2130">
        <v>5.48</v>
      </c>
      <c r="G2130">
        <v>11.6</v>
      </c>
      <c r="H2130">
        <v>1693.6</v>
      </c>
    </row>
    <row r="2131" spans="1:8" x14ac:dyDescent="0.35">
      <c r="A2131" t="s">
        <v>6</v>
      </c>
      <c r="B2131" t="s">
        <v>12</v>
      </c>
      <c r="C2131" t="s">
        <v>9</v>
      </c>
      <c r="D2131">
        <v>263</v>
      </c>
      <c r="E2131">
        <v>7</v>
      </c>
      <c r="F2131">
        <v>2.66</v>
      </c>
      <c r="G2131">
        <v>62.08</v>
      </c>
      <c r="H2131">
        <v>16327.04</v>
      </c>
    </row>
    <row r="2132" spans="1:8" x14ac:dyDescent="0.35">
      <c r="A2132" t="s">
        <v>7</v>
      </c>
      <c r="B2132" t="s">
        <v>12</v>
      </c>
      <c r="C2132" t="s">
        <v>9</v>
      </c>
      <c r="D2132">
        <v>224</v>
      </c>
      <c r="E2132">
        <v>20</v>
      </c>
      <c r="F2132">
        <v>8.93</v>
      </c>
      <c r="G2132">
        <v>55.01</v>
      </c>
      <c r="H2132">
        <v>12322.24</v>
      </c>
    </row>
    <row r="2133" spans="1:8" x14ac:dyDescent="0.35">
      <c r="A2133" t="s">
        <v>7</v>
      </c>
      <c r="B2133" t="s">
        <v>12</v>
      </c>
      <c r="C2133" t="s">
        <v>9</v>
      </c>
      <c r="D2133">
        <v>51</v>
      </c>
      <c r="E2133">
        <v>3</v>
      </c>
      <c r="F2133">
        <v>5.88</v>
      </c>
      <c r="G2133">
        <v>62.51</v>
      </c>
      <c r="H2133">
        <v>3188.01</v>
      </c>
    </row>
    <row r="2134" spans="1:8" x14ac:dyDescent="0.35">
      <c r="A2134" t="s">
        <v>7</v>
      </c>
      <c r="B2134" t="s">
        <v>12</v>
      </c>
      <c r="C2134" t="s">
        <v>9</v>
      </c>
      <c r="D2134">
        <v>240</v>
      </c>
      <c r="E2134">
        <v>10</v>
      </c>
      <c r="F2134">
        <v>4.17</v>
      </c>
      <c r="G2134">
        <v>17.61</v>
      </c>
      <c r="H2134">
        <v>4226.3999999999996</v>
      </c>
    </row>
    <row r="2135" spans="1:8" x14ac:dyDescent="0.35">
      <c r="A2135" t="s">
        <v>8</v>
      </c>
      <c r="B2135" t="s">
        <v>12</v>
      </c>
      <c r="C2135" t="s">
        <v>9</v>
      </c>
      <c r="D2135">
        <v>166</v>
      </c>
      <c r="E2135">
        <v>7</v>
      </c>
      <c r="F2135">
        <v>4.22</v>
      </c>
      <c r="G2135">
        <v>10.34</v>
      </c>
      <c r="H2135">
        <v>1716.44</v>
      </c>
    </row>
    <row r="2136" spans="1:8" x14ac:dyDescent="0.35">
      <c r="A2136" t="s">
        <v>8</v>
      </c>
      <c r="B2136" t="s">
        <v>12</v>
      </c>
      <c r="C2136" t="s">
        <v>9</v>
      </c>
      <c r="D2136">
        <v>55</v>
      </c>
      <c r="E2136">
        <v>2</v>
      </c>
      <c r="F2136">
        <v>3.64</v>
      </c>
      <c r="G2136">
        <v>51.95</v>
      </c>
      <c r="H2136">
        <v>2857.25</v>
      </c>
    </row>
    <row r="2137" spans="1:8" x14ac:dyDescent="0.35">
      <c r="A2137" t="s">
        <v>7</v>
      </c>
      <c r="B2137" t="s">
        <v>12</v>
      </c>
      <c r="C2137" t="s">
        <v>10</v>
      </c>
      <c r="D2137">
        <v>74</v>
      </c>
      <c r="E2137">
        <v>4</v>
      </c>
      <c r="F2137">
        <v>5.41</v>
      </c>
      <c r="G2137">
        <v>44.9</v>
      </c>
      <c r="H2137">
        <v>3322.6</v>
      </c>
    </row>
    <row r="2138" spans="1:8" x14ac:dyDescent="0.35">
      <c r="A2138" t="s">
        <v>7</v>
      </c>
      <c r="B2138" t="s">
        <v>12</v>
      </c>
      <c r="C2138" t="s">
        <v>10</v>
      </c>
      <c r="D2138">
        <v>131</v>
      </c>
      <c r="E2138">
        <v>12</v>
      </c>
      <c r="F2138">
        <v>9.16</v>
      </c>
      <c r="G2138">
        <v>33.53</v>
      </c>
      <c r="H2138">
        <v>4392.43</v>
      </c>
    </row>
    <row r="2139" spans="1:8" x14ac:dyDescent="0.35">
      <c r="A2139" t="s">
        <v>7</v>
      </c>
      <c r="B2139" t="s">
        <v>12</v>
      </c>
      <c r="C2139" t="s">
        <v>10</v>
      </c>
      <c r="D2139">
        <v>236</v>
      </c>
      <c r="E2139">
        <v>20</v>
      </c>
      <c r="F2139">
        <v>8.4700000000000006</v>
      </c>
      <c r="G2139">
        <v>30.54</v>
      </c>
      <c r="H2139">
        <v>7207.44</v>
      </c>
    </row>
    <row r="2140" spans="1:8" x14ac:dyDescent="0.35">
      <c r="A2140" t="s">
        <v>7</v>
      </c>
      <c r="B2140" t="s">
        <v>12</v>
      </c>
      <c r="C2140" t="s">
        <v>9</v>
      </c>
      <c r="D2140">
        <v>100</v>
      </c>
      <c r="E2140">
        <v>9</v>
      </c>
      <c r="F2140">
        <v>9</v>
      </c>
      <c r="G2140">
        <v>69.94</v>
      </c>
      <c r="H2140">
        <v>6994</v>
      </c>
    </row>
    <row r="2141" spans="1:8" x14ac:dyDescent="0.35">
      <c r="A2141" t="s">
        <v>7</v>
      </c>
      <c r="B2141" t="s">
        <v>12</v>
      </c>
      <c r="C2141" t="s">
        <v>10</v>
      </c>
      <c r="D2141">
        <v>219</v>
      </c>
      <c r="E2141">
        <v>12</v>
      </c>
      <c r="F2141">
        <v>5.48</v>
      </c>
      <c r="G2141">
        <v>17.28</v>
      </c>
      <c r="H2141">
        <v>3784.32</v>
      </c>
    </row>
    <row r="2142" spans="1:8" x14ac:dyDescent="0.35">
      <c r="A2142" t="s">
        <v>8</v>
      </c>
      <c r="B2142" t="s">
        <v>12</v>
      </c>
      <c r="C2142" t="s">
        <v>9</v>
      </c>
      <c r="D2142">
        <v>114</v>
      </c>
      <c r="E2142">
        <v>10</v>
      </c>
      <c r="F2142">
        <v>8.77</v>
      </c>
      <c r="G2142">
        <v>42.38</v>
      </c>
      <c r="H2142">
        <v>4831.32</v>
      </c>
    </row>
    <row r="2143" spans="1:8" x14ac:dyDescent="0.35">
      <c r="A2143" t="s">
        <v>6</v>
      </c>
      <c r="B2143" t="s">
        <v>12</v>
      </c>
      <c r="C2143" t="s">
        <v>9</v>
      </c>
      <c r="D2143">
        <v>207</v>
      </c>
      <c r="E2143">
        <v>8</v>
      </c>
      <c r="F2143">
        <v>3.86</v>
      </c>
      <c r="G2143">
        <v>54.1</v>
      </c>
      <c r="H2143">
        <v>11198.7</v>
      </c>
    </row>
    <row r="2144" spans="1:8" x14ac:dyDescent="0.35">
      <c r="A2144" t="s">
        <v>6</v>
      </c>
      <c r="B2144" t="s">
        <v>12</v>
      </c>
      <c r="C2144" t="s">
        <v>11</v>
      </c>
      <c r="D2144">
        <v>132</v>
      </c>
      <c r="E2144">
        <v>4</v>
      </c>
      <c r="F2144">
        <v>3.03</v>
      </c>
      <c r="G2144">
        <v>33</v>
      </c>
      <c r="H2144">
        <v>4356</v>
      </c>
    </row>
    <row r="2145" spans="1:8" x14ac:dyDescent="0.35">
      <c r="A2145" t="s">
        <v>8</v>
      </c>
      <c r="B2145" t="s">
        <v>12</v>
      </c>
      <c r="C2145" t="s">
        <v>9</v>
      </c>
      <c r="D2145">
        <v>256</v>
      </c>
      <c r="E2145">
        <v>22</v>
      </c>
      <c r="F2145">
        <v>8.59</v>
      </c>
      <c r="G2145">
        <v>33.5</v>
      </c>
      <c r="H2145">
        <v>8576</v>
      </c>
    </row>
    <row r="2146" spans="1:8" x14ac:dyDescent="0.35">
      <c r="A2146" t="s">
        <v>5</v>
      </c>
      <c r="B2146" t="s">
        <v>12</v>
      </c>
      <c r="C2146" t="s">
        <v>9</v>
      </c>
      <c r="D2146">
        <v>240</v>
      </c>
      <c r="E2146">
        <v>0</v>
      </c>
      <c r="F2146">
        <v>0</v>
      </c>
      <c r="G2146">
        <v>9.26</v>
      </c>
      <c r="H2146">
        <v>2222.4</v>
      </c>
    </row>
    <row r="2147" spans="1:8" x14ac:dyDescent="0.35">
      <c r="A2147" t="s">
        <v>5</v>
      </c>
      <c r="B2147" t="s">
        <v>12</v>
      </c>
      <c r="C2147" t="s">
        <v>9</v>
      </c>
      <c r="D2147">
        <v>69</v>
      </c>
      <c r="E2147">
        <v>6</v>
      </c>
      <c r="F2147">
        <v>8.6999999999999993</v>
      </c>
      <c r="G2147">
        <v>48.13</v>
      </c>
      <c r="H2147">
        <v>3320.97</v>
      </c>
    </row>
    <row r="2148" spans="1:8" x14ac:dyDescent="0.35">
      <c r="A2148" t="s">
        <v>6</v>
      </c>
      <c r="B2148" t="s">
        <v>12</v>
      </c>
      <c r="C2148" t="s">
        <v>11</v>
      </c>
      <c r="D2148">
        <v>163</v>
      </c>
      <c r="E2148">
        <v>15</v>
      </c>
      <c r="F2148">
        <v>9.1999999999999993</v>
      </c>
      <c r="G2148">
        <v>26</v>
      </c>
      <c r="H2148">
        <v>4238</v>
      </c>
    </row>
    <row r="2149" spans="1:8" x14ac:dyDescent="0.35">
      <c r="A2149" t="s">
        <v>8</v>
      </c>
      <c r="B2149" t="s">
        <v>12</v>
      </c>
      <c r="C2149" t="s">
        <v>9</v>
      </c>
      <c r="D2149">
        <v>217</v>
      </c>
      <c r="E2149">
        <v>1</v>
      </c>
      <c r="F2149">
        <v>0.46</v>
      </c>
      <c r="G2149">
        <v>35.299999999999997</v>
      </c>
      <c r="H2149">
        <v>7660.1</v>
      </c>
    </row>
    <row r="2150" spans="1:8" x14ac:dyDescent="0.35">
      <c r="A2150" t="s">
        <v>5</v>
      </c>
      <c r="B2150" t="s">
        <v>12</v>
      </c>
      <c r="C2150" t="s">
        <v>9</v>
      </c>
      <c r="D2150">
        <v>77</v>
      </c>
      <c r="E2150">
        <v>3</v>
      </c>
      <c r="F2150">
        <v>3.9</v>
      </c>
      <c r="G2150">
        <v>21.83</v>
      </c>
      <c r="H2150">
        <v>1680.91</v>
      </c>
    </row>
    <row r="2151" spans="1:8" x14ac:dyDescent="0.35">
      <c r="A2151" t="s">
        <v>5</v>
      </c>
      <c r="B2151" t="s">
        <v>12</v>
      </c>
      <c r="C2151" t="s">
        <v>9</v>
      </c>
      <c r="D2151">
        <v>164</v>
      </c>
      <c r="E2151">
        <v>2</v>
      </c>
      <c r="F2151">
        <v>1.22</v>
      </c>
      <c r="G2151">
        <v>15.16</v>
      </c>
      <c r="H2151">
        <v>2486.2399999999998</v>
      </c>
    </row>
    <row r="2152" spans="1:8" x14ac:dyDescent="0.35">
      <c r="A2152" t="s">
        <v>8</v>
      </c>
      <c r="B2152" t="s">
        <v>12</v>
      </c>
      <c r="C2152" t="s">
        <v>9</v>
      </c>
      <c r="D2152">
        <v>298</v>
      </c>
      <c r="E2152">
        <v>15</v>
      </c>
      <c r="F2152">
        <v>5.03</v>
      </c>
      <c r="G2152">
        <v>31.73</v>
      </c>
      <c r="H2152">
        <v>9455.5400000000009</v>
      </c>
    </row>
    <row r="2153" spans="1:8" x14ac:dyDescent="0.35">
      <c r="A2153" t="s">
        <v>8</v>
      </c>
      <c r="B2153" t="s">
        <v>12</v>
      </c>
      <c r="C2153" t="s">
        <v>9</v>
      </c>
      <c r="D2153">
        <v>137</v>
      </c>
      <c r="E2153">
        <v>6</v>
      </c>
      <c r="F2153">
        <v>4.38</v>
      </c>
      <c r="G2153">
        <v>62.79</v>
      </c>
      <c r="H2153">
        <v>8602.23</v>
      </c>
    </row>
    <row r="2154" spans="1:8" x14ac:dyDescent="0.35">
      <c r="A2154" t="s">
        <v>7</v>
      </c>
      <c r="B2154" t="s">
        <v>12</v>
      </c>
      <c r="C2154" t="s">
        <v>9</v>
      </c>
      <c r="D2154">
        <v>255</v>
      </c>
      <c r="E2154">
        <v>6</v>
      </c>
      <c r="F2154">
        <v>2.35</v>
      </c>
      <c r="G2154">
        <v>15.86</v>
      </c>
      <c r="H2154">
        <v>4044.3</v>
      </c>
    </row>
    <row r="2155" spans="1:8" x14ac:dyDescent="0.35">
      <c r="A2155" t="s">
        <v>6</v>
      </c>
      <c r="B2155" t="s">
        <v>12</v>
      </c>
      <c r="C2155" t="s">
        <v>9</v>
      </c>
      <c r="D2155">
        <v>235</v>
      </c>
      <c r="E2155">
        <v>5</v>
      </c>
      <c r="F2155">
        <v>2.13</v>
      </c>
      <c r="G2155">
        <v>23.51</v>
      </c>
      <c r="H2155">
        <v>5524.85</v>
      </c>
    </row>
    <row r="2156" spans="1:8" x14ac:dyDescent="0.35">
      <c r="A2156" t="s">
        <v>8</v>
      </c>
      <c r="B2156" t="s">
        <v>12</v>
      </c>
      <c r="C2156" t="s">
        <v>9</v>
      </c>
      <c r="D2156">
        <v>220</v>
      </c>
      <c r="E2156">
        <v>16</v>
      </c>
      <c r="F2156">
        <v>7.27</v>
      </c>
      <c r="G2156">
        <v>35.96</v>
      </c>
      <c r="H2156">
        <v>7911.2</v>
      </c>
    </row>
    <row r="2157" spans="1:8" x14ac:dyDescent="0.35">
      <c r="A2157" t="s">
        <v>6</v>
      </c>
      <c r="B2157" t="s">
        <v>12</v>
      </c>
      <c r="C2157" t="s">
        <v>11</v>
      </c>
      <c r="D2157">
        <v>145</v>
      </c>
      <c r="E2157">
        <v>10</v>
      </c>
      <c r="F2157">
        <v>6.9</v>
      </c>
      <c r="G2157">
        <v>7.76</v>
      </c>
      <c r="H2157">
        <v>1125.2</v>
      </c>
    </row>
    <row r="2158" spans="1:8" x14ac:dyDescent="0.35">
      <c r="A2158" t="s">
        <v>8</v>
      </c>
      <c r="B2158" t="s">
        <v>12</v>
      </c>
      <c r="C2158" t="s">
        <v>9</v>
      </c>
      <c r="D2158">
        <v>293</v>
      </c>
      <c r="E2158">
        <v>3</v>
      </c>
      <c r="F2158">
        <v>1.02</v>
      </c>
      <c r="G2158">
        <v>33.36</v>
      </c>
      <c r="H2158">
        <v>9774.48</v>
      </c>
    </row>
    <row r="2159" spans="1:8" x14ac:dyDescent="0.35">
      <c r="A2159" t="s">
        <v>6</v>
      </c>
      <c r="B2159" t="s">
        <v>12</v>
      </c>
      <c r="C2159" t="s">
        <v>9</v>
      </c>
      <c r="D2159">
        <v>153</v>
      </c>
      <c r="E2159">
        <v>15</v>
      </c>
      <c r="F2159">
        <v>9.8000000000000007</v>
      </c>
      <c r="G2159">
        <v>38.409999999999997</v>
      </c>
      <c r="H2159">
        <v>5876.73</v>
      </c>
    </row>
    <row r="2160" spans="1:8" x14ac:dyDescent="0.35">
      <c r="A2160" t="s">
        <v>8</v>
      </c>
      <c r="B2160" t="s">
        <v>12</v>
      </c>
      <c r="C2160" t="s">
        <v>9</v>
      </c>
      <c r="D2160">
        <v>196</v>
      </c>
      <c r="E2160">
        <v>5</v>
      </c>
      <c r="F2160">
        <v>2.5499999999999998</v>
      </c>
      <c r="G2160">
        <v>66.760000000000005</v>
      </c>
      <c r="H2160">
        <v>13084.96</v>
      </c>
    </row>
    <row r="2161" spans="1:8" x14ac:dyDescent="0.35">
      <c r="A2161" t="s">
        <v>6</v>
      </c>
      <c r="B2161" t="s">
        <v>12</v>
      </c>
      <c r="C2161" t="s">
        <v>11</v>
      </c>
      <c r="D2161">
        <v>252</v>
      </c>
      <c r="E2161">
        <v>23</v>
      </c>
      <c r="F2161">
        <v>9.1300000000000008</v>
      </c>
      <c r="G2161">
        <v>65.290000000000006</v>
      </c>
      <c r="H2161">
        <v>16453.080000000002</v>
      </c>
    </row>
    <row r="2162" spans="1:8" x14ac:dyDescent="0.35">
      <c r="A2162" t="s">
        <v>7</v>
      </c>
      <c r="B2162" t="s">
        <v>12</v>
      </c>
      <c r="C2162" t="s">
        <v>9</v>
      </c>
      <c r="D2162">
        <v>240</v>
      </c>
      <c r="E2162">
        <v>16</v>
      </c>
      <c r="F2162">
        <v>6.67</v>
      </c>
      <c r="G2162">
        <v>19.71</v>
      </c>
      <c r="H2162">
        <v>4730.3999999999996</v>
      </c>
    </row>
    <row r="2163" spans="1:8" x14ac:dyDescent="0.35">
      <c r="A2163" t="s">
        <v>6</v>
      </c>
      <c r="B2163" t="s">
        <v>12</v>
      </c>
      <c r="C2163" t="s">
        <v>9</v>
      </c>
      <c r="D2163">
        <v>299</v>
      </c>
      <c r="E2163">
        <v>3</v>
      </c>
      <c r="F2163">
        <v>1</v>
      </c>
      <c r="G2163">
        <v>69.77</v>
      </c>
      <c r="H2163">
        <v>20861.23</v>
      </c>
    </row>
    <row r="2164" spans="1:8" x14ac:dyDescent="0.35">
      <c r="A2164" t="s">
        <v>6</v>
      </c>
      <c r="B2164" t="s">
        <v>12</v>
      </c>
      <c r="C2164" t="s">
        <v>9</v>
      </c>
      <c r="D2164">
        <v>90</v>
      </c>
      <c r="E2164">
        <v>1</v>
      </c>
      <c r="F2164">
        <v>1.1100000000000001</v>
      </c>
      <c r="G2164">
        <v>52.46</v>
      </c>
      <c r="H2164">
        <v>4721.3999999999996</v>
      </c>
    </row>
    <row r="2165" spans="1:8" x14ac:dyDescent="0.35">
      <c r="A2165" t="s">
        <v>8</v>
      </c>
      <c r="B2165" t="s">
        <v>12</v>
      </c>
      <c r="C2165" t="s">
        <v>9</v>
      </c>
      <c r="D2165">
        <v>118</v>
      </c>
      <c r="E2165">
        <v>3</v>
      </c>
      <c r="F2165">
        <v>2.54</v>
      </c>
      <c r="G2165">
        <v>20.66</v>
      </c>
      <c r="H2165">
        <v>2437.88</v>
      </c>
    </row>
    <row r="2166" spans="1:8" x14ac:dyDescent="0.35">
      <c r="A2166" t="s">
        <v>7</v>
      </c>
      <c r="B2166" t="s">
        <v>12</v>
      </c>
      <c r="C2166" t="s">
        <v>10</v>
      </c>
      <c r="D2166">
        <v>223</v>
      </c>
      <c r="E2166">
        <v>15</v>
      </c>
      <c r="F2166">
        <v>6.73</v>
      </c>
      <c r="G2166">
        <v>46.04</v>
      </c>
      <c r="H2166">
        <v>10266.92</v>
      </c>
    </row>
    <row r="2167" spans="1:8" x14ac:dyDescent="0.35">
      <c r="A2167" t="s">
        <v>7</v>
      </c>
      <c r="B2167" t="s">
        <v>12</v>
      </c>
      <c r="C2167" t="s">
        <v>10</v>
      </c>
      <c r="D2167">
        <v>54</v>
      </c>
      <c r="E2167">
        <v>1</v>
      </c>
      <c r="F2167">
        <v>1.85</v>
      </c>
      <c r="G2167">
        <v>14.43</v>
      </c>
      <c r="H2167">
        <v>779.22</v>
      </c>
    </row>
    <row r="2168" spans="1:8" x14ac:dyDescent="0.35">
      <c r="A2168" t="s">
        <v>6</v>
      </c>
      <c r="B2168" t="s">
        <v>12</v>
      </c>
      <c r="C2168" t="s">
        <v>9</v>
      </c>
      <c r="D2168">
        <v>151</v>
      </c>
      <c r="E2168">
        <v>3</v>
      </c>
      <c r="F2168">
        <v>1.99</v>
      </c>
      <c r="G2168">
        <v>69.92</v>
      </c>
      <c r="H2168">
        <v>10557.92</v>
      </c>
    </row>
    <row r="2169" spans="1:8" x14ac:dyDescent="0.35">
      <c r="A2169" t="s">
        <v>7</v>
      </c>
      <c r="B2169" t="s">
        <v>12</v>
      </c>
      <c r="C2169" t="s">
        <v>9</v>
      </c>
      <c r="D2169">
        <v>54</v>
      </c>
      <c r="E2169">
        <v>1</v>
      </c>
      <c r="F2169">
        <v>1.85</v>
      </c>
      <c r="G2169">
        <v>29.46</v>
      </c>
      <c r="H2169">
        <v>1590.84</v>
      </c>
    </row>
    <row r="2170" spans="1:8" x14ac:dyDescent="0.35">
      <c r="A2170" t="s">
        <v>7</v>
      </c>
      <c r="B2170" t="s">
        <v>12</v>
      </c>
      <c r="C2170" t="s">
        <v>10</v>
      </c>
      <c r="D2170">
        <v>65</v>
      </c>
      <c r="E2170">
        <v>2</v>
      </c>
      <c r="F2170">
        <v>3.08</v>
      </c>
      <c r="G2170">
        <v>33.07</v>
      </c>
      <c r="H2170">
        <v>2149.5500000000002</v>
      </c>
    </row>
    <row r="2171" spans="1:8" x14ac:dyDescent="0.35">
      <c r="A2171" t="s">
        <v>6</v>
      </c>
      <c r="B2171" t="s">
        <v>12</v>
      </c>
      <c r="C2171" t="s">
        <v>9</v>
      </c>
      <c r="D2171">
        <v>203</v>
      </c>
      <c r="E2171">
        <v>18</v>
      </c>
      <c r="F2171">
        <v>8.8699999999999992</v>
      </c>
      <c r="G2171">
        <v>55.27</v>
      </c>
      <c r="H2171">
        <v>11219.81</v>
      </c>
    </row>
    <row r="2172" spans="1:8" x14ac:dyDescent="0.35">
      <c r="A2172" t="s">
        <v>7</v>
      </c>
      <c r="B2172" t="s">
        <v>12</v>
      </c>
      <c r="C2172" t="s">
        <v>10</v>
      </c>
      <c r="D2172">
        <v>231</v>
      </c>
      <c r="E2172">
        <v>11</v>
      </c>
      <c r="F2172">
        <v>4.76</v>
      </c>
      <c r="G2172">
        <v>50.61</v>
      </c>
      <c r="H2172">
        <v>11690.91</v>
      </c>
    </row>
    <row r="2173" spans="1:8" x14ac:dyDescent="0.35">
      <c r="A2173" t="s">
        <v>7</v>
      </c>
      <c r="B2173" t="s">
        <v>12</v>
      </c>
      <c r="C2173" t="s">
        <v>10</v>
      </c>
      <c r="D2173">
        <v>158</v>
      </c>
      <c r="E2173">
        <v>4</v>
      </c>
      <c r="F2173">
        <v>2.5299999999999998</v>
      </c>
      <c r="G2173">
        <v>49.86</v>
      </c>
      <c r="H2173">
        <v>7877.88</v>
      </c>
    </row>
    <row r="2174" spans="1:8" x14ac:dyDescent="0.35">
      <c r="A2174" t="s">
        <v>6</v>
      </c>
      <c r="B2174" t="s">
        <v>12</v>
      </c>
      <c r="C2174" t="s">
        <v>9</v>
      </c>
      <c r="D2174">
        <v>121</v>
      </c>
      <c r="E2174">
        <v>8</v>
      </c>
      <c r="F2174">
        <v>6.61</v>
      </c>
      <c r="G2174">
        <v>56.72</v>
      </c>
      <c r="H2174">
        <v>6863.12</v>
      </c>
    </row>
    <row r="2175" spans="1:8" x14ac:dyDescent="0.35">
      <c r="A2175" t="s">
        <v>6</v>
      </c>
      <c r="B2175" t="s">
        <v>12</v>
      </c>
      <c r="C2175" t="s">
        <v>11</v>
      </c>
      <c r="D2175">
        <v>147</v>
      </c>
      <c r="E2175">
        <v>4</v>
      </c>
      <c r="F2175">
        <v>2.72</v>
      </c>
      <c r="G2175">
        <v>56.36</v>
      </c>
      <c r="H2175">
        <v>8284.92</v>
      </c>
    </row>
    <row r="2176" spans="1:8" x14ac:dyDescent="0.35">
      <c r="A2176" t="s">
        <v>6</v>
      </c>
      <c r="B2176" t="s">
        <v>12</v>
      </c>
      <c r="C2176" t="s">
        <v>9</v>
      </c>
      <c r="D2176">
        <v>196</v>
      </c>
      <c r="E2176">
        <v>11</v>
      </c>
      <c r="F2176">
        <v>5.61</v>
      </c>
      <c r="G2176">
        <v>53.86</v>
      </c>
      <c r="H2176">
        <v>10556.56</v>
      </c>
    </row>
    <row r="2177" spans="1:8" x14ac:dyDescent="0.35">
      <c r="A2177" t="s">
        <v>7</v>
      </c>
      <c r="B2177" t="s">
        <v>12</v>
      </c>
      <c r="C2177" t="s">
        <v>9</v>
      </c>
      <c r="D2177">
        <v>63</v>
      </c>
      <c r="E2177">
        <v>0</v>
      </c>
      <c r="F2177">
        <v>0</v>
      </c>
      <c r="G2177">
        <v>28.34</v>
      </c>
      <c r="H2177">
        <v>1785.42</v>
      </c>
    </row>
    <row r="2178" spans="1:8" x14ac:dyDescent="0.35">
      <c r="A2178" t="s">
        <v>7</v>
      </c>
      <c r="B2178" t="s">
        <v>12</v>
      </c>
      <c r="C2178" t="s">
        <v>10</v>
      </c>
      <c r="D2178">
        <v>233</v>
      </c>
      <c r="E2178">
        <v>19</v>
      </c>
      <c r="F2178">
        <v>8.15</v>
      </c>
      <c r="G2178">
        <v>59.98</v>
      </c>
      <c r="H2178">
        <v>13975.34</v>
      </c>
    </row>
    <row r="2179" spans="1:8" x14ac:dyDescent="0.35">
      <c r="A2179" t="s">
        <v>7</v>
      </c>
      <c r="B2179" t="s">
        <v>12</v>
      </c>
      <c r="C2179" t="s">
        <v>9</v>
      </c>
      <c r="D2179">
        <v>280</v>
      </c>
      <c r="E2179">
        <v>26</v>
      </c>
      <c r="F2179">
        <v>9.2899999999999991</v>
      </c>
      <c r="G2179">
        <v>15.69</v>
      </c>
      <c r="H2179">
        <v>4393.2</v>
      </c>
    </row>
    <row r="2180" spans="1:8" x14ac:dyDescent="0.35">
      <c r="A2180" t="s">
        <v>6</v>
      </c>
      <c r="B2180" t="s">
        <v>12</v>
      </c>
      <c r="C2180" t="s">
        <v>11</v>
      </c>
      <c r="D2180">
        <v>214</v>
      </c>
      <c r="E2180">
        <v>0</v>
      </c>
      <c r="F2180">
        <v>0</v>
      </c>
      <c r="G2180">
        <v>5.5</v>
      </c>
      <c r="H2180">
        <v>1177</v>
      </c>
    </row>
    <row r="2181" spans="1:8" x14ac:dyDescent="0.35">
      <c r="A2181" t="s">
        <v>5</v>
      </c>
      <c r="B2181" t="s">
        <v>12</v>
      </c>
      <c r="C2181" t="s">
        <v>9</v>
      </c>
      <c r="D2181">
        <v>161</v>
      </c>
      <c r="E2181">
        <v>14</v>
      </c>
      <c r="F2181">
        <v>8.6999999999999993</v>
      </c>
      <c r="G2181">
        <v>36.03</v>
      </c>
      <c r="H2181">
        <v>5800.83</v>
      </c>
    </row>
    <row r="2182" spans="1:8" x14ac:dyDescent="0.35">
      <c r="A2182" t="s">
        <v>7</v>
      </c>
      <c r="B2182" t="s">
        <v>12</v>
      </c>
      <c r="C2182" t="s">
        <v>9</v>
      </c>
      <c r="D2182">
        <v>280</v>
      </c>
      <c r="E2182">
        <v>7</v>
      </c>
      <c r="F2182">
        <v>2.5</v>
      </c>
      <c r="G2182">
        <v>7.48</v>
      </c>
      <c r="H2182">
        <v>2094.4</v>
      </c>
    </row>
    <row r="2183" spans="1:8" x14ac:dyDescent="0.35">
      <c r="A2183" t="s">
        <v>7</v>
      </c>
      <c r="B2183" t="s">
        <v>12</v>
      </c>
      <c r="C2183" t="s">
        <v>10</v>
      </c>
      <c r="D2183">
        <v>220</v>
      </c>
      <c r="E2183">
        <v>4</v>
      </c>
      <c r="F2183">
        <v>1.82</v>
      </c>
      <c r="G2183">
        <v>12.22</v>
      </c>
      <c r="H2183">
        <v>2688.4</v>
      </c>
    </row>
    <row r="2184" spans="1:8" x14ac:dyDescent="0.35">
      <c r="A2184" t="s">
        <v>7</v>
      </c>
      <c r="B2184" t="s">
        <v>12</v>
      </c>
      <c r="C2184" t="s">
        <v>10</v>
      </c>
      <c r="D2184">
        <v>267</v>
      </c>
      <c r="E2184">
        <v>23</v>
      </c>
      <c r="F2184">
        <v>8.61</v>
      </c>
      <c r="G2184">
        <v>62.28</v>
      </c>
      <c r="H2184">
        <v>16628.759999999998</v>
      </c>
    </row>
    <row r="2185" spans="1:8" x14ac:dyDescent="0.35">
      <c r="A2185" t="s">
        <v>7</v>
      </c>
      <c r="B2185" t="s">
        <v>12</v>
      </c>
      <c r="C2185" t="s">
        <v>9</v>
      </c>
      <c r="D2185">
        <v>198</v>
      </c>
      <c r="E2185">
        <v>13</v>
      </c>
      <c r="F2185">
        <v>6.57</v>
      </c>
      <c r="G2185">
        <v>46.96</v>
      </c>
      <c r="H2185">
        <v>9298.08</v>
      </c>
    </row>
    <row r="2186" spans="1:8" x14ac:dyDescent="0.35">
      <c r="A2186" t="s">
        <v>8</v>
      </c>
      <c r="B2186" t="s">
        <v>12</v>
      </c>
      <c r="C2186" t="s">
        <v>9</v>
      </c>
      <c r="D2186">
        <v>131</v>
      </c>
      <c r="E2186">
        <v>6</v>
      </c>
      <c r="F2186">
        <v>4.58</v>
      </c>
      <c r="G2186">
        <v>11.52</v>
      </c>
      <c r="H2186">
        <v>1509.12</v>
      </c>
    </row>
    <row r="2187" spans="1:8" x14ac:dyDescent="0.35">
      <c r="A2187" t="s">
        <v>6</v>
      </c>
      <c r="B2187" t="s">
        <v>12</v>
      </c>
      <c r="C2187" t="s">
        <v>11</v>
      </c>
      <c r="D2187">
        <v>272</v>
      </c>
      <c r="E2187">
        <v>18</v>
      </c>
      <c r="F2187">
        <v>6.62</v>
      </c>
      <c r="G2187">
        <v>65.459999999999994</v>
      </c>
      <c r="H2187">
        <v>17805.12</v>
      </c>
    </row>
    <row r="2188" spans="1:8" x14ac:dyDescent="0.35">
      <c r="A2188" t="s">
        <v>8</v>
      </c>
      <c r="B2188" t="s">
        <v>12</v>
      </c>
      <c r="C2188" t="s">
        <v>9</v>
      </c>
      <c r="D2188">
        <v>109</v>
      </c>
      <c r="E2188">
        <v>7</v>
      </c>
      <c r="F2188">
        <v>6.42</v>
      </c>
      <c r="G2188">
        <v>26.07</v>
      </c>
      <c r="H2188">
        <v>2841.63</v>
      </c>
    </row>
    <row r="2189" spans="1:8" x14ac:dyDescent="0.35">
      <c r="A2189" t="s">
        <v>6</v>
      </c>
      <c r="B2189" t="s">
        <v>12</v>
      </c>
      <c r="C2189" t="s">
        <v>9</v>
      </c>
      <c r="D2189">
        <v>142</v>
      </c>
      <c r="E2189">
        <v>7</v>
      </c>
      <c r="F2189">
        <v>4.93</v>
      </c>
      <c r="G2189">
        <v>51.3</v>
      </c>
      <c r="H2189">
        <v>7284.6</v>
      </c>
    </row>
    <row r="2190" spans="1:8" x14ac:dyDescent="0.35">
      <c r="A2190" t="s">
        <v>5</v>
      </c>
      <c r="B2190" t="s">
        <v>12</v>
      </c>
      <c r="C2190" t="s">
        <v>9</v>
      </c>
      <c r="D2190">
        <v>101</v>
      </c>
      <c r="E2190">
        <v>0</v>
      </c>
      <c r="F2190">
        <v>0</v>
      </c>
      <c r="G2190">
        <v>49.79</v>
      </c>
      <c r="H2190">
        <v>5028.79</v>
      </c>
    </row>
    <row r="2191" spans="1:8" x14ac:dyDescent="0.35">
      <c r="A2191" t="s">
        <v>5</v>
      </c>
      <c r="B2191" t="s">
        <v>12</v>
      </c>
      <c r="C2191" t="s">
        <v>9</v>
      </c>
      <c r="D2191">
        <v>98</v>
      </c>
      <c r="E2191">
        <v>1</v>
      </c>
      <c r="F2191">
        <v>1.02</v>
      </c>
      <c r="G2191">
        <v>48.15</v>
      </c>
      <c r="H2191">
        <v>4718.7</v>
      </c>
    </row>
    <row r="2192" spans="1:8" x14ac:dyDescent="0.35">
      <c r="A2192" t="s">
        <v>5</v>
      </c>
      <c r="B2192" t="s">
        <v>12</v>
      </c>
      <c r="C2192" t="s">
        <v>9</v>
      </c>
      <c r="D2192">
        <v>65</v>
      </c>
      <c r="E2192">
        <v>2</v>
      </c>
      <c r="F2192">
        <v>3.08</v>
      </c>
      <c r="G2192">
        <v>24.35</v>
      </c>
      <c r="H2192">
        <v>1582.75</v>
      </c>
    </row>
    <row r="2193" spans="1:8" x14ac:dyDescent="0.35">
      <c r="A2193" t="s">
        <v>8</v>
      </c>
      <c r="B2193" t="s">
        <v>12</v>
      </c>
      <c r="C2193" t="s">
        <v>9</v>
      </c>
      <c r="D2193">
        <v>254</v>
      </c>
      <c r="E2193">
        <v>11</v>
      </c>
      <c r="F2193">
        <v>4.33</v>
      </c>
      <c r="G2193">
        <v>61.66</v>
      </c>
      <c r="H2193">
        <v>15661.64</v>
      </c>
    </row>
    <row r="2194" spans="1:8" x14ac:dyDescent="0.35">
      <c r="A2194" t="s">
        <v>8</v>
      </c>
      <c r="B2194" t="s">
        <v>12</v>
      </c>
      <c r="C2194" t="s">
        <v>9</v>
      </c>
      <c r="D2194">
        <v>259</v>
      </c>
      <c r="E2194">
        <v>7</v>
      </c>
      <c r="F2194">
        <v>2.7</v>
      </c>
      <c r="G2194">
        <v>28.25</v>
      </c>
      <c r="H2194">
        <v>7316.75</v>
      </c>
    </row>
    <row r="2195" spans="1:8" x14ac:dyDescent="0.35">
      <c r="A2195" t="s">
        <v>7</v>
      </c>
      <c r="B2195" t="s">
        <v>12</v>
      </c>
      <c r="C2195" t="s">
        <v>9</v>
      </c>
      <c r="D2195">
        <v>181</v>
      </c>
      <c r="E2195">
        <v>3</v>
      </c>
      <c r="F2195">
        <v>1.66</v>
      </c>
      <c r="G2195">
        <v>63.99</v>
      </c>
      <c r="H2195">
        <v>11582.19</v>
      </c>
    </row>
    <row r="2196" spans="1:8" x14ac:dyDescent="0.35">
      <c r="A2196" t="s">
        <v>7</v>
      </c>
      <c r="B2196" t="s">
        <v>12</v>
      </c>
      <c r="C2196" t="s">
        <v>9</v>
      </c>
      <c r="D2196">
        <v>108</v>
      </c>
      <c r="E2196">
        <v>7</v>
      </c>
      <c r="F2196">
        <v>6.48</v>
      </c>
      <c r="G2196">
        <v>69.05</v>
      </c>
      <c r="H2196">
        <v>7457.4</v>
      </c>
    </row>
    <row r="2197" spans="1:8" x14ac:dyDescent="0.35">
      <c r="A2197" t="s">
        <v>8</v>
      </c>
      <c r="B2197" t="s">
        <v>12</v>
      </c>
      <c r="C2197" t="s">
        <v>9</v>
      </c>
      <c r="D2197">
        <v>119</v>
      </c>
      <c r="E2197">
        <v>4</v>
      </c>
      <c r="F2197">
        <v>3.36</v>
      </c>
      <c r="G2197">
        <v>35.119999999999997</v>
      </c>
      <c r="H2197">
        <v>4179.28</v>
      </c>
    </row>
    <row r="2198" spans="1:8" x14ac:dyDescent="0.35">
      <c r="A2198" t="s">
        <v>7</v>
      </c>
      <c r="B2198" t="s">
        <v>12</v>
      </c>
      <c r="C2198" t="s">
        <v>9</v>
      </c>
      <c r="D2198">
        <v>56</v>
      </c>
      <c r="E2198">
        <v>2</v>
      </c>
      <c r="F2198">
        <v>3.57</v>
      </c>
      <c r="G2198">
        <v>28.4</v>
      </c>
      <c r="H2198">
        <v>1590.4</v>
      </c>
    </row>
    <row r="2199" spans="1:8" x14ac:dyDescent="0.35">
      <c r="A2199" t="s">
        <v>6</v>
      </c>
      <c r="B2199" t="s">
        <v>12</v>
      </c>
      <c r="C2199" t="s">
        <v>9</v>
      </c>
      <c r="D2199">
        <v>293</v>
      </c>
      <c r="E2199">
        <v>16</v>
      </c>
      <c r="F2199">
        <v>5.46</v>
      </c>
      <c r="G2199">
        <v>64.89</v>
      </c>
      <c r="H2199">
        <v>19012.77</v>
      </c>
    </row>
    <row r="2200" spans="1:8" x14ac:dyDescent="0.35">
      <c r="A2200" t="s">
        <v>6</v>
      </c>
      <c r="B2200" t="s">
        <v>12</v>
      </c>
      <c r="C2200" t="s">
        <v>11</v>
      </c>
      <c r="D2200">
        <v>92</v>
      </c>
      <c r="E2200">
        <v>3</v>
      </c>
      <c r="F2200">
        <v>3.26</v>
      </c>
      <c r="G2200">
        <v>28.52</v>
      </c>
      <c r="H2200">
        <v>2623.84</v>
      </c>
    </row>
    <row r="2201" spans="1:8" x14ac:dyDescent="0.35">
      <c r="A2201" t="s">
        <v>8</v>
      </c>
      <c r="B2201" t="s">
        <v>12</v>
      </c>
      <c r="C2201" t="s">
        <v>9</v>
      </c>
      <c r="D2201">
        <v>88</v>
      </c>
      <c r="E2201">
        <v>0</v>
      </c>
      <c r="F2201">
        <v>0</v>
      </c>
      <c r="G2201">
        <v>42.1</v>
      </c>
      <c r="H2201">
        <v>3704.8</v>
      </c>
    </row>
    <row r="2202" spans="1:8" x14ac:dyDescent="0.35">
      <c r="A2202" t="s">
        <v>5</v>
      </c>
      <c r="B2202" t="s">
        <v>12</v>
      </c>
      <c r="C2202" t="s">
        <v>9</v>
      </c>
      <c r="D2202">
        <v>207</v>
      </c>
      <c r="E2202">
        <v>16</v>
      </c>
      <c r="F2202">
        <v>7.73</v>
      </c>
      <c r="G2202">
        <v>49.38</v>
      </c>
      <c r="H2202">
        <v>10221.66</v>
      </c>
    </row>
    <row r="2203" spans="1:8" x14ac:dyDescent="0.35">
      <c r="A2203" t="s">
        <v>7</v>
      </c>
      <c r="B2203" t="s">
        <v>12</v>
      </c>
      <c r="C2203" t="s">
        <v>10</v>
      </c>
      <c r="D2203">
        <v>292</v>
      </c>
      <c r="E2203">
        <v>6</v>
      </c>
      <c r="F2203">
        <v>2.0499999999999998</v>
      </c>
      <c r="G2203">
        <v>25.03</v>
      </c>
      <c r="H2203">
        <v>7308.76</v>
      </c>
    </row>
    <row r="2204" spans="1:8" x14ac:dyDescent="0.35">
      <c r="A2204" t="s">
        <v>5</v>
      </c>
      <c r="B2204" t="s">
        <v>12</v>
      </c>
      <c r="C2204" t="s">
        <v>9</v>
      </c>
      <c r="D2204">
        <v>250</v>
      </c>
      <c r="E2204">
        <v>4</v>
      </c>
      <c r="F2204">
        <v>1.6</v>
      </c>
      <c r="G2204">
        <v>15.41</v>
      </c>
      <c r="H2204">
        <v>3852.5</v>
      </c>
    </row>
    <row r="2205" spans="1:8" x14ac:dyDescent="0.35">
      <c r="A2205" t="s">
        <v>6</v>
      </c>
      <c r="B2205" t="s">
        <v>12</v>
      </c>
      <c r="C2205" t="s">
        <v>9</v>
      </c>
      <c r="D2205">
        <v>52</v>
      </c>
      <c r="E2205">
        <v>5</v>
      </c>
      <c r="F2205">
        <v>9.6199999999999992</v>
      </c>
      <c r="G2205">
        <v>42.25</v>
      </c>
      <c r="H2205">
        <v>2197</v>
      </c>
    </row>
    <row r="2206" spans="1:8" x14ac:dyDescent="0.35">
      <c r="A2206" t="s">
        <v>6</v>
      </c>
      <c r="B2206" t="s">
        <v>12</v>
      </c>
      <c r="C2206" t="s">
        <v>11</v>
      </c>
      <c r="D2206">
        <v>184</v>
      </c>
      <c r="E2206">
        <v>14</v>
      </c>
      <c r="F2206">
        <v>7.61</v>
      </c>
      <c r="G2206">
        <v>32.380000000000003</v>
      </c>
      <c r="H2206">
        <v>5957.92</v>
      </c>
    </row>
    <row r="2207" spans="1:8" x14ac:dyDescent="0.35">
      <c r="A2207" t="s">
        <v>6</v>
      </c>
      <c r="B2207" t="s">
        <v>12</v>
      </c>
      <c r="C2207" t="s">
        <v>11</v>
      </c>
      <c r="D2207">
        <v>131</v>
      </c>
      <c r="E2207">
        <v>4</v>
      </c>
      <c r="F2207">
        <v>3.05</v>
      </c>
      <c r="G2207">
        <v>50.11</v>
      </c>
      <c r="H2207">
        <v>6564.41</v>
      </c>
    </row>
    <row r="2208" spans="1:8" x14ac:dyDescent="0.35">
      <c r="A2208" t="s">
        <v>6</v>
      </c>
      <c r="B2208" t="s">
        <v>12</v>
      </c>
      <c r="C2208" t="s">
        <v>9</v>
      </c>
      <c r="D2208">
        <v>164</v>
      </c>
      <c r="E2208">
        <v>12</v>
      </c>
      <c r="F2208">
        <v>7.32</v>
      </c>
      <c r="G2208">
        <v>45.99</v>
      </c>
      <c r="H2208">
        <v>7542.36</v>
      </c>
    </row>
    <row r="2209" spans="1:8" x14ac:dyDescent="0.35">
      <c r="A2209" t="s">
        <v>7</v>
      </c>
      <c r="B2209" t="s">
        <v>12</v>
      </c>
      <c r="C2209" t="s">
        <v>10</v>
      </c>
      <c r="D2209">
        <v>181</v>
      </c>
      <c r="E2209">
        <v>9</v>
      </c>
      <c r="F2209">
        <v>4.97</v>
      </c>
      <c r="G2209">
        <v>47.28</v>
      </c>
      <c r="H2209">
        <v>8557.68</v>
      </c>
    </row>
    <row r="2210" spans="1:8" x14ac:dyDescent="0.35">
      <c r="A2210" t="s">
        <v>7</v>
      </c>
      <c r="B2210" t="s">
        <v>12</v>
      </c>
      <c r="C2210" t="s">
        <v>10</v>
      </c>
      <c r="D2210">
        <v>123</v>
      </c>
      <c r="E2210">
        <v>8</v>
      </c>
      <c r="F2210">
        <v>6.5</v>
      </c>
      <c r="G2210">
        <v>66.150000000000006</v>
      </c>
      <c r="H2210">
        <v>8136.45</v>
      </c>
    </row>
    <row r="2211" spans="1:8" x14ac:dyDescent="0.35">
      <c r="A2211" t="s">
        <v>7</v>
      </c>
      <c r="B2211" t="s">
        <v>12</v>
      </c>
      <c r="C2211" t="s">
        <v>10</v>
      </c>
      <c r="D2211">
        <v>162</v>
      </c>
      <c r="E2211">
        <v>15</v>
      </c>
      <c r="F2211">
        <v>9.26</v>
      </c>
      <c r="G2211">
        <v>46.83</v>
      </c>
      <c r="H2211">
        <v>7586.46</v>
      </c>
    </row>
    <row r="2212" spans="1:8" x14ac:dyDescent="0.35">
      <c r="A2212" t="s">
        <v>6</v>
      </c>
      <c r="B2212" t="s">
        <v>12</v>
      </c>
      <c r="C2212" t="s">
        <v>9</v>
      </c>
      <c r="D2212">
        <v>67</v>
      </c>
      <c r="E2212">
        <v>3</v>
      </c>
      <c r="F2212">
        <v>4.4800000000000004</v>
      </c>
      <c r="G2212">
        <v>32.49</v>
      </c>
      <c r="H2212">
        <v>2176.83</v>
      </c>
    </row>
    <row r="2213" spans="1:8" x14ac:dyDescent="0.35">
      <c r="A2213" t="s">
        <v>7</v>
      </c>
      <c r="B2213" t="s">
        <v>12</v>
      </c>
      <c r="C2213" t="s">
        <v>9</v>
      </c>
      <c r="D2213">
        <v>254</v>
      </c>
      <c r="E2213">
        <v>13</v>
      </c>
      <c r="F2213">
        <v>5.12</v>
      </c>
      <c r="G2213">
        <v>32.04</v>
      </c>
      <c r="H2213">
        <v>8138.16</v>
      </c>
    </row>
    <row r="2214" spans="1:8" x14ac:dyDescent="0.35">
      <c r="A2214" t="s">
        <v>6</v>
      </c>
      <c r="B2214" t="s">
        <v>12</v>
      </c>
      <c r="C2214" t="s">
        <v>9</v>
      </c>
      <c r="D2214">
        <v>116</v>
      </c>
      <c r="E2214">
        <v>4</v>
      </c>
      <c r="F2214">
        <v>3.45</v>
      </c>
      <c r="G2214">
        <v>49.8</v>
      </c>
      <c r="H2214">
        <v>5776.8</v>
      </c>
    </row>
    <row r="2215" spans="1:8" x14ac:dyDescent="0.35">
      <c r="A2215" t="s">
        <v>7</v>
      </c>
      <c r="B2215" t="s">
        <v>12</v>
      </c>
      <c r="C2215" t="s">
        <v>9</v>
      </c>
      <c r="D2215">
        <v>199</v>
      </c>
      <c r="E2215">
        <v>7</v>
      </c>
      <c r="F2215">
        <v>3.52</v>
      </c>
      <c r="G2215">
        <v>46.54</v>
      </c>
      <c r="H2215">
        <v>9261.4599999999991</v>
      </c>
    </row>
    <row r="2216" spans="1:8" x14ac:dyDescent="0.35">
      <c r="A2216" t="s">
        <v>6</v>
      </c>
      <c r="B2216" t="s">
        <v>12</v>
      </c>
      <c r="C2216" t="s">
        <v>11</v>
      </c>
      <c r="D2216">
        <v>297</v>
      </c>
      <c r="E2216">
        <v>12</v>
      </c>
      <c r="F2216">
        <v>4.04</v>
      </c>
      <c r="G2216">
        <v>13.55</v>
      </c>
      <c r="H2216">
        <v>4024.35</v>
      </c>
    </row>
    <row r="2217" spans="1:8" x14ac:dyDescent="0.35">
      <c r="A2217" t="s">
        <v>6</v>
      </c>
      <c r="B2217" t="s">
        <v>12</v>
      </c>
      <c r="C2217" t="s">
        <v>11</v>
      </c>
      <c r="D2217">
        <v>52</v>
      </c>
      <c r="E2217">
        <v>0</v>
      </c>
      <c r="F2217">
        <v>0</v>
      </c>
      <c r="G2217">
        <v>66.849999999999994</v>
      </c>
      <c r="H2217">
        <v>3476.2</v>
      </c>
    </row>
    <row r="2218" spans="1:8" x14ac:dyDescent="0.35">
      <c r="A2218" t="s">
        <v>6</v>
      </c>
      <c r="B2218" t="s">
        <v>12</v>
      </c>
      <c r="C2218" t="s">
        <v>11</v>
      </c>
      <c r="D2218">
        <v>60</v>
      </c>
      <c r="E2218">
        <v>3</v>
      </c>
      <c r="F2218">
        <v>5</v>
      </c>
      <c r="G2218">
        <v>32.31</v>
      </c>
      <c r="H2218">
        <v>1938.6</v>
      </c>
    </row>
    <row r="2219" spans="1:8" x14ac:dyDescent="0.35">
      <c r="A2219" t="s">
        <v>5</v>
      </c>
      <c r="B2219" t="s">
        <v>12</v>
      </c>
      <c r="C2219" t="s">
        <v>9</v>
      </c>
      <c r="D2219">
        <v>299</v>
      </c>
      <c r="E2219">
        <v>15</v>
      </c>
      <c r="F2219">
        <v>5.0199999999999996</v>
      </c>
      <c r="G2219">
        <v>62.87</v>
      </c>
      <c r="H2219">
        <v>18798.13</v>
      </c>
    </row>
    <row r="2220" spans="1:8" x14ac:dyDescent="0.35">
      <c r="A2220" t="s">
        <v>6</v>
      </c>
      <c r="B2220" t="s">
        <v>12</v>
      </c>
      <c r="C2220" t="s">
        <v>11</v>
      </c>
      <c r="D2220">
        <v>121</v>
      </c>
      <c r="E2220">
        <v>3</v>
      </c>
      <c r="F2220">
        <v>2.48</v>
      </c>
      <c r="G2220">
        <v>5.39</v>
      </c>
      <c r="H2220">
        <v>652.19000000000005</v>
      </c>
    </row>
    <row r="2221" spans="1:8" x14ac:dyDescent="0.35">
      <c r="A2221" t="s">
        <v>6</v>
      </c>
      <c r="B2221" t="s">
        <v>12</v>
      </c>
      <c r="C2221" t="s">
        <v>9</v>
      </c>
      <c r="D2221">
        <v>203</v>
      </c>
      <c r="E2221">
        <v>6</v>
      </c>
      <c r="F2221">
        <v>2.96</v>
      </c>
      <c r="G2221">
        <v>21.23</v>
      </c>
      <c r="H2221">
        <v>4309.6899999999996</v>
      </c>
    </row>
    <row r="2222" spans="1:8" x14ac:dyDescent="0.35">
      <c r="A2222" t="s">
        <v>5</v>
      </c>
      <c r="B2222" t="s">
        <v>12</v>
      </c>
      <c r="C2222" t="s">
        <v>9</v>
      </c>
      <c r="D2222">
        <v>241</v>
      </c>
      <c r="E2222">
        <v>20</v>
      </c>
      <c r="F2222">
        <v>8.3000000000000007</v>
      </c>
      <c r="G2222">
        <v>43.6</v>
      </c>
      <c r="H2222">
        <v>10507.6</v>
      </c>
    </row>
    <row r="2223" spans="1:8" x14ac:dyDescent="0.35">
      <c r="A2223" t="s">
        <v>7</v>
      </c>
      <c r="B2223" t="s">
        <v>12</v>
      </c>
      <c r="C2223" t="s">
        <v>9</v>
      </c>
      <c r="D2223">
        <v>293</v>
      </c>
      <c r="E2223">
        <v>22</v>
      </c>
      <c r="F2223">
        <v>7.51</v>
      </c>
      <c r="G2223">
        <v>38.89</v>
      </c>
      <c r="H2223">
        <v>11394.77</v>
      </c>
    </row>
    <row r="2224" spans="1:8" x14ac:dyDescent="0.35">
      <c r="A2224" t="s">
        <v>6</v>
      </c>
      <c r="B2224" t="s">
        <v>12</v>
      </c>
      <c r="C2224" t="s">
        <v>11</v>
      </c>
      <c r="D2224">
        <v>245</v>
      </c>
      <c r="E2224">
        <v>24</v>
      </c>
      <c r="F2224">
        <v>9.8000000000000007</v>
      </c>
      <c r="G2224">
        <v>18.61</v>
      </c>
      <c r="H2224">
        <v>4559.45</v>
      </c>
    </row>
    <row r="2225" spans="1:8" x14ac:dyDescent="0.35">
      <c r="A2225" t="s">
        <v>8</v>
      </c>
      <c r="B2225" t="s">
        <v>12</v>
      </c>
      <c r="C2225" t="s">
        <v>9</v>
      </c>
      <c r="D2225">
        <v>77</v>
      </c>
      <c r="E2225">
        <v>7</v>
      </c>
      <c r="F2225">
        <v>9.09</v>
      </c>
      <c r="G2225">
        <v>46.54</v>
      </c>
      <c r="H2225">
        <v>3583.58</v>
      </c>
    </row>
    <row r="2226" spans="1:8" x14ac:dyDescent="0.35">
      <c r="A2226" t="s">
        <v>7</v>
      </c>
      <c r="B2226" t="s">
        <v>12</v>
      </c>
      <c r="C2226" t="s">
        <v>9</v>
      </c>
      <c r="D2226">
        <v>188</v>
      </c>
      <c r="E2226">
        <v>4</v>
      </c>
      <c r="F2226">
        <v>2.13</v>
      </c>
      <c r="G2226">
        <v>43.27</v>
      </c>
      <c r="H2226">
        <v>8134.76</v>
      </c>
    </row>
    <row r="2227" spans="1:8" x14ac:dyDescent="0.35">
      <c r="A2227" t="s">
        <v>8</v>
      </c>
      <c r="B2227" t="s">
        <v>12</v>
      </c>
      <c r="C2227" t="s">
        <v>9</v>
      </c>
      <c r="D2227">
        <v>249</v>
      </c>
      <c r="E2227">
        <v>20</v>
      </c>
      <c r="F2227">
        <v>8.0299999999999994</v>
      </c>
      <c r="G2227">
        <v>16.53</v>
      </c>
      <c r="H2227">
        <v>4115.97</v>
      </c>
    </row>
    <row r="2228" spans="1:8" x14ac:dyDescent="0.35">
      <c r="A2228" t="s">
        <v>5</v>
      </c>
      <c r="B2228" t="s">
        <v>12</v>
      </c>
      <c r="C2228" t="s">
        <v>9</v>
      </c>
      <c r="D2228">
        <v>268</v>
      </c>
      <c r="E2228">
        <v>1</v>
      </c>
      <c r="F2228">
        <v>0.37</v>
      </c>
      <c r="G2228">
        <v>12.16</v>
      </c>
      <c r="H2228">
        <v>3258.88</v>
      </c>
    </row>
    <row r="2229" spans="1:8" x14ac:dyDescent="0.35">
      <c r="A2229" t="s">
        <v>6</v>
      </c>
      <c r="B2229" t="s">
        <v>12</v>
      </c>
      <c r="C2229" t="s">
        <v>9</v>
      </c>
      <c r="D2229">
        <v>181</v>
      </c>
      <c r="E2229">
        <v>16</v>
      </c>
      <c r="F2229">
        <v>8.84</v>
      </c>
      <c r="G2229">
        <v>34.53</v>
      </c>
      <c r="H2229">
        <v>6249.93</v>
      </c>
    </row>
    <row r="2230" spans="1:8" x14ac:dyDescent="0.35">
      <c r="A2230" t="s">
        <v>7</v>
      </c>
      <c r="B2230" t="s">
        <v>12</v>
      </c>
      <c r="C2230" t="s">
        <v>9</v>
      </c>
      <c r="D2230">
        <v>105</v>
      </c>
      <c r="E2230">
        <v>9</v>
      </c>
      <c r="F2230">
        <v>8.57</v>
      </c>
      <c r="G2230">
        <v>26.92</v>
      </c>
      <c r="H2230">
        <v>2826.6</v>
      </c>
    </row>
    <row r="2231" spans="1:8" x14ac:dyDescent="0.35">
      <c r="A2231" t="s">
        <v>6</v>
      </c>
      <c r="B2231" t="s">
        <v>12</v>
      </c>
      <c r="C2231" t="s">
        <v>9</v>
      </c>
      <c r="D2231">
        <v>209</v>
      </c>
      <c r="E2231">
        <v>9</v>
      </c>
      <c r="F2231">
        <v>4.3099999999999996</v>
      </c>
      <c r="G2231">
        <v>35.6</v>
      </c>
      <c r="H2231">
        <v>7440.4</v>
      </c>
    </row>
    <row r="2232" spans="1:8" x14ac:dyDescent="0.35">
      <c r="A2232" t="s">
        <v>7</v>
      </c>
      <c r="B2232" t="s">
        <v>12</v>
      </c>
      <c r="C2232" t="s">
        <v>10</v>
      </c>
      <c r="D2232">
        <v>151</v>
      </c>
      <c r="E2232">
        <v>15</v>
      </c>
      <c r="F2232">
        <v>9.93</v>
      </c>
      <c r="G2232">
        <v>34.9</v>
      </c>
      <c r="H2232">
        <v>5269.9</v>
      </c>
    </row>
    <row r="2233" spans="1:8" x14ac:dyDescent="0.35">
      <c r="A2233" t="s">
        <v>8</v>
      </c>
      <c r="B2233" t="s">
        <v>12</v>
      </c>
      <c r="C2233" t="s">
        <v>9</v>
      </c>
      <c r="D2233">
        <v>176</v>
      </c>
      <c r="E2233">
        <v>14</v>
      </c>
      <c r="F2233">
        <v>7.95</v>
      </c>
      <c r="G2233">
        <v>8.07</v>
      </c>
      <c r="H2233">
        <v>1420.32</v>
      </c>
    </row>
    <row r="2234" spans="1:8" x14ac:dyDescent="0.35">
      <c r="A2234" t="s">
        <v>6</v>
      </c>
      <c r="B2234" t="s">
        <v>12</v>
      </c>
      <c r="C2234" t="s">
        <v>9</v>
      </c>
      <c r="D2234">
        <v>165</v>
      </c>
      <c r="E2234">
        <v>6</v>
      </c>
      <c r="F2234">
        <v>3.64</v>
      </c>
      <c r="G2234">
        <v>13.1</v>
      </c>
      <c r="H2234">
        <v>2161.5</v>
      </c>
    </row>
    <row r="2235" spans="1:8" x14ac:dyDescent="0.35">
      <c r="A2235" t="s">
        <v>8</v>
      </c>
      <c r="B2235" t="s">
        <v>12</v>
      </c>
      <c r="C2235" t="s">
        <v>9</v>
      </c>
      <c r="D2235">
        <v>297</v>
      </c>
      <c r="E2235">
        <v>28</v>
      </c>
      <c r="F2235">
        <v>9.43</v>
      </c>
      <c r="G2235">
        <v>6.54</v>
      </c>
      <c r="H2235">
        <v>1942.38</v>
      </c>
    </row>
    <row r="2236" spans="1:8" x14ac:dyDescent="0.35">
      <c r="A2236" t="s">
        <v>7</v>
      </c>
      <c r="B2236" t="s">
        <v>12</v>
      </c>
      <c r="C2236" t="s">
        <v>10</v>
      </c>
      <c r="D2236">
        <v>280</v>
      </c>
      <c r="E2236">
        <v>4</v>
      </c>
      <c r="F2236">
        <v>1.43</v>
      </c>
      <c r="G2236">
        <v>55.48</v>
      </c>
      <c r="H2236">
        <v>15534.4</v>
      </c>
    </row>
    <row r="2237" spans="1:8" x14ac:dyDescent="0.35">
      <c r="A2237" t="s">
        <v>7</v>
      </c>
      <c r="B2237" t="s">
        <v>12</v>
      </c>
      <c r="C2237" t="s">
        <v>10</v>
      </c>
      <c r="D2237">
        <v>117</v>
      </c>
      <c r="E2237">
        <v>9</v>
      </c>
      <c r="F2237">
        <v>7.69</v>
      </c>
      <c r="G2237">
        <v>60.55</v>
      </c>
      <c r="H2237">
        <v>7084.35</v>
      </c>
    </row>
    <row r="2238" spans="1:8" x14ac:dyDescent="0.35">
      <c r="A2238" t="s">
        <v>5</v>
      </c>
      <c r="B2238" t="s">
        <v>12</v>
      </c>
      <c r="C2238" t="s">
        <v>9</v>
      </c>
      <c r="D2238">
        <v>289</v>
      </c>
      <c r="E2238">
        <v>21</v>
      </c>
      <c r="F2238">
        <v>7.27</v>
      </c>
      <c r="G2238">
        <v>43.68</v>
      </c>
      <c r="H2238">
        <v>12623.52</v>
      </c>
    </row>
    <row r="2239" spans="1:8" x14ac:dyDescent="0.35">
      <c r="A2239" t="s">
        <v>6</v>
      </c>
      <c r="B2239" t="s">
        <v>12</v>
      </c>
      <c r="C2239" t="s">
        <v>11</v>
      </c>
      <c r="D2239">
        <v>297</v>
      </c>
      <c r="E2239">
        <v>27</v>
      </c>
      <c r="F2239">
        <v>9.09</v>
      </c>
      <c r="G2239">
        <v>24.37</v>
      </c>
      <c r="H2239">
        <v>7237.89</v>
      </c>
    </row>
    <row r="2240" spans="1:8" x14ac:dyDescent="0.35">
      <c r="A2240" t="s">
        <v>6</v>
      </c>
      <c r="B2240" t="s">
        <v>12</v>
      </c>
      <c r="C2240" t="s">
        <v>11</v>
      </c>
      <c r="D2240">
        <v>219</v>
      </c>
      <c r="E2240">
        <v>3</v>
      </c>
      <c r="F2240">
        <v>1.37</v>
      </c>
      <c r="G2240">
        <v>40.590000000000003</v>
      </c>
      <c r="H2240">
        <v>8889.2099999999991</v>
      </c>
    </row>
    <row r="2241" spans="1:8" x14ac:dyDescent="0.35">
      <c r="A2241" t="s">
        <v>7</v>
      </c>
      <c r="B2241" t="s">
        <v>12</v>
      </c>
      <c r="C2241" t="s">
        <v>10</v>
      </c>
      <c r="D2241">
        <v>88</v>
      </c>
      <c r="E2241">
        <v>4</v>
      </c>
      <c r="F2241">
        <v>4.55</v>
      </c>
      <c r="G2241">
        <v>54.71</v>
      </c>
      <c r="H2241">
        <v>4814.4799999999996</v>
      </c>
    </row>
    <row r="2242" spans="1:8" x14ac:dyDescent="0.35">
      <c r="A2242" t="s">
        <v>6</v>
      </c>
      <c r="B2242" t="s">
        <v>12</v>
      </c>
      <c r="C2242" t="s">
        <v>11</v>
      </c>
      <c r="D2242">
        <v>141</v>
      </c>
      <c r="E2242">
        <v>12</v>
      </c>
      <c r="F2242">
        <v>8.51</v>
      </c>
      <c r="G2242">
        <v>32.49</v>
      </c>
      <c r="H2242">
        <v>4581.09</v>
      </c>
    </row>
    <row r="2243" spans="1:8" x14ac:dyDescent="0.35">
      <c r="A2243" t="s">
        <v>7</v>
      </c>
      <c r="B2243" t="s">
        <v>12</v>
      </c>
      <c r="C2243" t="s">
        <v>10</v>
      </c>
      <c r="D2243">
        <v>234</v>
      </c>
      <c r="E2243">
        <v>3</v>
      </c>
      <c r="F2243">
        <v>1.28</v>
      </c>
      <c r="G2243">
        <v>15.09</v>
      </c>
      <c r="H2243">
        <v>3531.06</v>
      </c>
    </row>
    <row r="2244" spans="1:8" x14ac:dyDescent="0.35">
      <c r="A2244" t="s">
        <v>7</v>
      </c>
      <c r="B2244" t="s">
        <v>12</v>
      </c>
      <c r="C2244" t="s">
        <v>10</v>
      </c>
      <c r="D2244">
        <v>106</v>
      </c>
      <c r="E2244">
        <v>9</v>
      </c>
      <c r="F2244">
        <v>8.49</v>
      </c>
      <c r="G2244">
        <v>37.479999999999997</v>
      </c>
      <c r="H2244">
        <v>3972.88</v>
      </c>
    </row>
    <row r="2245" spans="1:8" x14ac:dyDescent="0.35">
      <c r="A2245" t="s">
        <v>6</v>
      </c>
      <c r="B2245" t="s">
        <v>12</v>
      </c>
      <c r="C2245" t="s">
        <v>11</v>
      </c>
      <c r="D2245">
        <v>129</v>
      </c>
      <c r="E2245">
        <v>3</v>
      </c>
      <c r="F2245">
        <v>2.33</v>
      </c>
      <c r="G2245">
        <v>46.1</v>
      </c>
      <c r="H2245">
        <v>5946.9</v>
      </c>
    </row>
    <row r="2246" spans="1:8" x14ac:dyDescent="0.35">
      <c r="A2246" t="s">
        <v>6</v>
      </c>
      <c r="B2246" t="s">
        <v>12</v>
      </c>
      <c r="C2246" t="s">
        <v>9</v>
      </c>
      <c r="D2246">
        <v>276</v>
      </c>
      <c r="E2246">
        <v>27</v>
      </c>
      <c r="F2246">
        <v>9.7799999999999994</v>
      </c>
      <c r="G2246">
        <v>46</v>
      </c>
      <c r="H2246">
        <v>12696</v>
      </c>
    </row>
    <row r="2247" spans="1:8" x14ac:dyDescent="0.35">
      <c r="A2247" t="s">
        <v>7</v>
      </c>
      <c r="B2247" t="s">
        <v>12</v>
      </c>
      <c r="C2247" t="s">
        <v>10</v>
      </c>
      <c r="D2247">
        <v>197</v>
      </c>
      <c r="E2247">
        <v>8</v>
      </c>
      <c r="F2247">
        <v>4.0599999999999996</v>
      </c>
      <c r="G2247">
        <v>16.27</v>
      </c>
      <c r="H2247">
        <v>3205.19</v>
      </c>
    </row>
    <row r="2248" spans="1:8" x14ac:dyDescent="0.35">
      <c r="A2248" t="s">
        <v>7</v>
      </c>
      <c r="B2248" t="s">
        <v>12</v>
      </c>
      <c r="C2248" t="s">
        <v>10</v>
      </c>
      <c r="D2248">
        <v>154</v>
      </c>
      <c r="E2248">
        <v>0</v>
      </c>
      <c r="F2248">
        <v>0</v>
      </c>
      <c r="G2248">
        <v>33.090000000000003</v>
      </c>
      <c r="H2248">
        <v>5095.8599999999997</v>
      </c>
    </row>
    <row r="2249" spans="1:8" x14ac:dyDescent="0.35">
      <c r="A2249" t="s">
        <v>7</v>
      </c>
      <c r="B2249" t="s">
        <v>12</v>
      </c>
      <c r="C2249" t="s">
        <v>10</v>
      </c>
      <c r="D2249">
        <v>274</v>
      </c>
      <c r="E2249">
        <v>8</v>
      </c>
      <c r="F2249">
        <v>2.92</v>
      </c>
      <c r="G2249">
        <v>38.19</v>
      </c>
      <c r="H2249">
        <v>10464.06</v>
      </c>
    </row>
    <row r="2250" spans="1:8" x14ac:dyDescent="0.35">
      <c r="A2250" t="s">
        <v>5</v>
      </c>
      <c r="B2250" t="s">
        <v>12</v>
      </c>
      <c r="C2250" t="s">
        <v>9</v>
      </c>
      <c r="D2250">
        <v>234</v>
      </c>
      <c r="E2250">
        <v>9</v>
      </c>
      <c r="F2250">
        <v>3.85</v>
      </c>
      <c r="G2250">
        <v>28.95</v>
      </c>
      <c r="H2250">
        <v>6774.3</v>
      </c>
    </row>
    <row r="2251" spans="1:8" x14ac:dyDescent="0.35">
      <c r="A2251" t="s">
        <v>5</v>
      </c>
      <c r="B2251" t="s">
        <v>12</v>
      </c>
      <c r="C2251" t="s">
        <v>9</v>
      </c>
      <c r="D2251">
        <v>182</v>
      </c>
      <c r="E2251">
        <v>3</v>
      </c>
      <c r="F2251">
        <v>1.65</v>
      </c>
      <c r="G2251">
        <v>65.540000000000006</v>
      </c>
      <c r="H2251">
        <v>11928.28</v>
      </c>
    </row>
    <row r="2252" spans="1:8" x14ac:dyDescent="0.35">
      <c r="A2252" t="s">
        <v>6</v>
      </c>
      <c r="B2252" t="s">
        <v>12</v>
      </c>
      <c r="C2252" t="s">
        <v>11</v>
      </c>
      <c r="D2252">
        <v>51</v>
      </c>
      <c r="E2252">
        <v>0</v>
      </c>
      <c r="F2252">
        <v>0</v>
      </c>
      <c r="G2252">
        <v>25.66</v>
      </c>
      <c r="H2252">
        <v>1308.6600000000001</v>
      </c>
    </row>
    <row r="2253" spans="1:8" x14ac:dyDescent="0.35">
      <c r="A2253" t="s">
        <v>7</v>
      </c>
      <c r="B2253" t="s">
        <v>12</v>
      </c>
      <c r="C2253" t="s">
        <v>10</v>
      </c>
      <c r="D2253">
        <v>177</v>
      </c>
      <c r="E2253">
        <v>3</v>
      </c>
      <c r="F2253">
        <v>1.69</v>
      </c>
      <c r="G2253">
        <v>41.5</v>
      </c>
      <c r="H2253">
        <v>7345.5</v>
      </c>
    </row>
    <row r="2254" spans="1:8" x14ac:dyDescent="0.35">
      <c r="A2254" t="s">
        <v>7</v>
      </c>
      <c r="B2254" t="s">
        <v>12</v>
      </c>
      <c r="C2254" t="s">
        <v>9</v>
      </c>
      <c r="D2254">
        <v>211</v>
      </c>
      <c r="E2254">
        <v>15</v>
      </c>
      <c r="F2254">
        <v>7.11</v>
      </c>
      <c r="G2254">
        <v>32.26</v>
      </c>
      <c r="H2254">
        <v>6806.86</v>
      </c>
    </row>
    <row r="2255" spans="1:8" x14ac:dyDescent="0.35">
      <c r="A2255" t="s">
        <v>8</v>
      </c>
      <c r="B2255" t="s">
        <v>12</v>
      </c>
      <c r="C2255" t="s">
        <v>9</v>
      </c>
      <c r="D2255">
        <v>194</v>
      </c>
      <c r="E2255">
        <v>0</v>
      </c>
      <c r="F2255">
        <v>0</v>
      </c>
      <c r="G2255">
        <v>13.23</v>
      </c>
      <c r="H2255">
        <v>2566.62</v>
      </c>
    </row>
    <row r="2256" spans="1:8" x14ac:dyDescent="0.35">
      <c r="A2256" t="s">
        <v>7</v>
      </c>
      <c r="B2256" t="s">
        <v>12</v>
      </c>
      <c r="C2256" t="s">
        <v>10</v>
      </c>
      <c r="D2256">
        <v>255</v>
      </c>
      <c r="E2256">
        <v>0</v>
      </c>
      <c r="F2256">
        <v>0</v>
      </c>
      <c r="G2256">
        <v>54.26</v>
      </c>
      <c r="H2256">
        <v>13836.3</v>
      </c>
    </row>
    <row r="2257" spans="1:8" x14ac:dyDescent="0.35">
      <c r="A2257" t="s">
        <v>6</v>
      </c>
      <c r="B2257" t="s">
        <v>12</v>
      </c>
      <c r="C2257" t="s">
        <v>11</v>
      </c>
      <c r="D2257">
        <v>288</v>
      </c>
      <c r="E2257">
        <v>3</v>
      </c>
      <c r="F2257">
        <v>1.04</v>
      </c>
      <c r="G2257">
        <v>47.41</v>
      </c>
      <c r="H2257">
        <v>13654.08</v>
      </c>
    </row>
    <row r="2258" spans="1:8" x14ac:dyDescent="0.35">
      <c r="A2258" t="s">
        <v>5</v>
      </c>
      <c r="B2258" t="s">
        <v>12</v>
      </c>
      <c r="C2258" t="s">
        <v>9</v>
      </c>
      <c r="D2258">
        <v>159</v>
      </c>
      <c r="E2258">
        <v>0</v>
      </c>
      <c r="F2258">
        <v>0</v>
      </c>
      <c r="G2258">
        <v>44.82</v>
      </c>
      <c r="H2258">
        <v>7126.38</v>
      </c>
    </row>
    <row r="2259" spans="1:8" x14ac:dyDescent="0.35">
      <c r="A2259" t="s">
        <v>5</v>
      </c>
      <c r="B2259" t="s">
        <v>12</v>
      </c>
      <c r="C2259" t="s">
        <v>9</v>
      </c>
      <c r="D2259">
        <v>210</v>
      </c>
      <c r="E2259">
        <v>21</v>
      </c>
      <c r="F2259">
        <v>10</v>
      </c>
      <c r="G2259">
        <v>36.549999999999997</v>
      </c>
      <c r="H2259">
        <v>7675.5</v>
      </c>
    </row>
    <row r="2260" spans="1:8" x14ac:dyDescent="0.35">
      <c r="A2260" t="s">
        <v>6</v>
      </c>
      <c r="B2260" t="s">
        <v>12</v>
      </c>
      <c r="C2260" t="s">
        <v>11</v>
      </c>
      <c r="D2260">
        <v>157</v>
      </c>
      <c r="E2260">
        <v>2</v>
      </c>
      <c r="F2260">
        <v>1.27</v>
      </c>
      <c r="G2260">
        <v>40.270000000000003</v>
      </c>
      <c r="H2260">
        <v>6322.39</v>
      </c>
    </row>
    <row r="2261" spans="1:8" x14ac:dyDescent="0.35">
      <c r="A2261" t="s">
        <v>6</v>
      </c>
      <c r="B2261" t="s">
        <v>12</v>
      </c>
      <c r="C2261" t="s">
        <v>11</v>
      </c>
      <c r="D2261">
        <v>146</v>
      </c>
      <c r="E2261">
        <v>11</v>
      </c>
      <c r="F2261">
        <v>7.53</v>
      </c>
      <c r="G2261">
        <v>6.75</v>
      </c>
      <c r="H2261">
        <v>985.5</v>
      </c>
    </row>
    <row r="2262" spans="1:8" x14ac:dyDescent="0.35">
      <c r="A2262" t="s">
        <v>7</v>
      </c>
      <c r="B2262" t="s">
        <v>12</v>
      </c>
      <c r="C2262" t="s">
        <v>10</v>
      </c>
      <c r="D2262">
        <v>155</v>
      </c>
      <c r="E2262">
        <v>3</v>
      </c>
      <c r="F2262">
        <v>1.94</v>
      </c>
      <c r="G2262">
        <v>50.56</v>
      </c>
      <c r="H2262">
        <v>7836.8</v>
      </c>
    </row>
    <row r="2263" spans="1:8" x14ac:dyDescent="0.35">
      <c r="A2263" t="s">
        <v>7</v>
      </c>
      <c r="B2263" t="s">
        <v>12</v>
      </c>
      <c r="C2263" t="s">
        <v>10</v>
      </c>
      <c r="D2263">
        <v>98</v>
      </c>
      <c r="E2263">
        <v>1</v>
      </c>
      <c r="F2263">
        <v>1.02</v>
      </c>
      <c r="G2263">
        <v>17.54</v>
      </c>
      <c r="H2263">
        <v>1718.92</v>
      </c>
    </row>
    <row r="2264" spans="1:8" x14ac:dyDescent="0.35">
      <c r="A2264" t="s">
        <v>7</v>
      </c>
      <c r="B2264" t="s">
        <v>12</v>
      </c>
      <c r="C2264" t="s">
        <v>10</v>
      </c>
      <c r="D2264">
        <v>75</v>
      </c>
      <c r="E2264">
        <v>5</v>
      </c>
      <c r="F2264">
        <v>6.67</v>
      </c>
      <c r="G2264">
        <v>35.39</v>
      </c>
      <c r="H2264">
        <v>2654.25</v>
      </c>
    </row>
    <row r="2265" spans="1:8" x14ac:dyDescent="0.35">
      <c r="A2265" t="s">
        <v>7</v>
      </c>
      <c r="B2265" t="s">
        <v>12</v>
      </c>
      <c r="C2265" t="s">
        <v>9</v>
      </c>
      <c r="D2265">
        <v>114</v>
      </c>
      <c r="E2265">
        <v>1</v>
      </c>
      <c r="F2265">
        <v>0.88</v>
      </c>
      <c r="G2265">
        <v>7.16</v>
      </c>
      <c r="H2265">
        <v>816.24</v>
      </c>
    </row>
    <row r="2266" spans="1:8" x14ac:dyDescent="0.35">
      <c r="A2266" t="s">
        <v>7</v>
      </c>
      <c r="B2266" t="s">
        <v>12</v>
      </c>
      <c r="C2266" t="s">
        <v>10</v>
      </c>
      <c r="D2266">
        <v>195</v>
      </c>
      <c r="E2266">
        <v>1</v>
      </c>
      <c r="F2266">
        <v>0.51</v>
      </c>
      <c r="G2266">
        <v>62.85</v>
      </c>
      <c r="H2266">
        <v>12255.75</v>
      </c>
    </row>
    <row r="2267" spans="1:8" x14ac:dyDescent="0.35">
      <c r="A2267" t="s">
        <v>8</v>
      </c>
      <c r="B2267" t="s">
        <v>12</v>
      </c>
      <c r="C2267" t="s">
        <v>9</v>
      </c>
      <c r="D2267">
        <v>69</v>
      </c>
      <c r="E2267">
        <v>4</v>
      </c>
      <c r="F2267">
        <v>5.8</v>
      </c>
      <c r="G2267">
        <v>49.25</v>
      </c>
      <c r="H2267">
        <v>3398.25</v>
      </c>
    </row>
    <row r="2268" spans="1:8" x14ac:dyDescent="0.35">
      <c r="A2268" t="s">
        <v>6</v>
      </c>
      <c r="B2268" t="s">
        <v>12</v>
      </c>
      <c r="C2268" t="s">
        <v>11</v>
      </c>
      <c r="D2268">
        <v>93</v>
      </c>
      <c r="E2268">
        <v>9</v>
      </c>
      <c r="F2268">
        <v>9.68</v>
      </c>
      <c r="G2268">
        <v>53.25</v>
      </c>
      <c r="H2268">
        <v>4952.25</v>
      </c>
    </row>
    <row r="2269" spans="1:8" x14ac:dyDescent="0.35">
      <c r="A2269" t="s">
        <v>8</v>
      </c>
      <c r="B2269" t="s">
        <v>12</v>
      </c>
      <c r="C2269" t="s">
        <v>9</v>
      </c>
      <c r="D2269">
        <v>97</v>
      </c>
      <c r="E2269">
        <v>2</v>
      </c>
      <c r="F2269">
        <v>2.06</v>
      </c>
      <c r="G2269">
        <v>69.06</v>
      </c>
      <c r="H2269">
        <v>6698.82</v>
      </c>
    </row>
    <row r="2270" spans="1:8" x14ac:dyDescent="0.35">
      <c r="A2270" t="s">
        <v>8</v>
      </c>
      <c r="B2270" t="s">
        <v>12</v>
      </c>
      <c r="C2270" t="s">
        <v>9</v>
      </c>
      <c r="D2270">
        <v>212</v>
      </c>
      <c r="E2270">
        <v>6</v>
      </c>
      <c r="F2270">
        <v>2.83</v>
      </c>
      <c r="G2270">
        <v>32.909999999999997</v>
      </c>
      <c r="H2270">
        <v>6976.92</v>
      </c>
    </row>
    <row r="2271" spans="1:8" x14ac:dyDescent="0.35">
      <c r="A2271" t="s">
        <v>7</v>
      </c>
      <c r="B2271" t="s">
        <v>12</v>
      </c>
      <c r="C2271" t="s">
        <v>10</v>
      </c>
      <c r="D2271">
        <v>88</v>
      </c>
      <c r="E2271">
        <v>5</v>
      </c>
      <c r="F2271">
        <v>5.68</v>
      </c>
      <c r="G2271">
        <v>37.28</v>
      </c>
      <c r="H2271">
        <v>3280.64</v>
      </c>
    </row>
    <row r="2272" spans="1:8" x14ac:dyDescent="0.35">
      <c r="A2272" t="s">
        <v>7</v>
      </c>
      <c r="B2272" t="s">
        <v>12</v>
      </c>
      <c r="C2272" t="s">
        <v>10</v>
      </c>
      <c r="D2272">
        <v>174</v>
      </c>
      <c r="E2272">
        <v>4</v>
      </c>
      <c r="F2272">
        <v>2.2999999999999998</v>
      </c>
      <c r="G2272">
        <v>37.630000000000003</v>
      </c>
      <c r="H2272">
        <v>6547.62</v>
      </c>
    </row>
    <row r="2273" spans="1:8" x14ac:dyDescent="0.35">
      <c r="A2273" t="s">
        <v>8</v>
      </c>
      <c r="B2273" t="s">
        <v>12</v>
      </c>
      <c r="C2273" t="s">
        <v>9</v>
      </c>
      <c r="D2273">
        <v>77</v>
      </c>
      <c r="E2273">
        <v>7</v>
      </c>
      <c r="F2273">
        <v>9.09</v>
      </c>
      <c r="G2273">
        <v>40.17</v>
      </c>
      <c r="H2273">
        <v>3093.09</v>
      </c>
    </row>
    <row r="2274" spans="1:8" x14ac:dyDescent="0.35">
      <c r="A2274" t="s">
        <v>6</v>
      </c>
      <c r="B2274" t="s">
        <v>12</v>
      </c>
      <c r="C2274" t="s">
        <v>9</v>
      </c>
      <c r="D2274">
        <v>255</v>
      </c>
      <c r="E2274">
        <v>6</v>
      </c>
      <c r="F2274">
        <v>2.35</v>
      </c>
      <c r="G2274">
        <v>50.16</v>
      </c>
      <c r="H2274">
        <v>12790.8</v>
      </c>
    </row>
    <row r="2275" spans="1:8" x14ac:dyDescent="0.35">
      <c r="A2275" t="s">
        <v>5</v>
      </c>
      <c r="B2275" t="s">
        <v>12</v>
      </c>
      <c r="C2275" t="s">
        <v>9</v>
      </c>
      <c r="D2275">
        <v>250</v>
      </c>
      <c r="E2275">
        <v>13</v>
      </c>
      <c r="F2275">
        <v>5.2</v>
      </c>
      <c r="G2275">
        <v>6.56</v>
      </c>
      <c r="H2275">
        <v>1640</v>
      </c>
    </row>
    <row r="2276" spans="1:8" x14ac:dyDescent="0.35">
      <c r="A2276" t="s">
        <v>8</v>
      </c>
      <c r="B2276" t="s">
        <v>12</v>
      </c>
      <c r="C2276" t="s">
        <v>9</v>
      </c>
      <c r="D2276">
        <v>247</v>
      </c>
      <c r="E2276">
        <v>1</v>
      </c>
      <c r="F2276">
        <v>0.4</v>
      </c>
      <c r="G2276">
        <v>8.39</v>
      </c>
      <c r="H2276">
        <v>2072.33</v>
      </c>
    </row>
    <row r="2277" spans="1:8" x14ac:dyDescent="0.35">
      <c r="A2277" t="s">
        <v>7</v>
      </c>
      <c r="B2277" t="s">
        <v>12</v>
      </c>
      <c r="C2277" t="s">
        <v>9</v>
      </c>
      <c r="D2277">
        <v>279</v>
      </c>
      <c r="E2277">
        <v>5</v>
      </c>
      <c r="F2277">
        <v>1.79</v>
      </c>
      <c r="G2277">
        <v>29.75</v>
      </c>
      <c r="H2277">
        <v>8300.25</v>
      </c>
    </row>
    <row r="2278" spans="1:8" x14ac:dyDescent="0.35">
      <c r="A2278" t="s">
        <v>6</v>
      </c>
      <c r="B2278" t="s">
        <v>12</v>
      </c>
      <c r="C2278" t="s">
        <v>9</v>
      </c>
      <c r="D2278">
        <v>58</v>
      </c>
      <c r="E2278">
        <v>1</v>
      </c>
      <c r="F2278">
        <v>1.72</v>
      </c>
      <c r="G2278">
        <v>65.290000000000006</v>
      </c>
      <c r="H2278">
        <v>3786.82</v>
      </c>
    </row>
    <row r="2279" spans="1:8" x14ac:dyDescent="0.35">
      <c r="A2279" t="s">
        <v>6</v>
      </c>
      <c r="B2279" t="s">
        <v>12</v>
      </c>
      <c r="C2279" t="s">
        <v>11</v>
      </c>
      <c r="D2279">
        <v>221</v>
      </c>
      <c r="E2279">
        <v>11</v>
      </c>
      <c r="F2279">
        <v>4.9800000000000004</v>
      </c>
      <c r="G2279">
        <v>36.04</v>
      </c>
      <c r="H2279">
        <v>7964.84</v>
      </c>
    </row>
    <row r="2280" spans="1:8" x14ac:dyDescent="0.35">
      <c r="A2280" t="s">
        <v>6</v>
      </c>
      <c r="B2280" t="s">
        <v>12</v>
      </c>
      <c r="C2280" t="s">
        <v>9</v>
      </c>
      <c r="D2280">
        <v>198</v>
      </c>
      <c r="E2280">
        <v>7</v>
      </c>
      <c r="F2280">
        <v>3.54</v>
      </c>
      <c r="G2280">
        <v>42.26</v>
      </c>
      <c r="H2280">
        <v>8367.48</v>
      </c>
    </row>
    <row r="2281" spans="1:8" x14ac:dyDescent="0.35">
      <c r="A2281" t="s">
        <v>6</v>
      </c>
      <c r="B2281" t="s">
        <v>12</v>
      </c>
      <c r="C2281" t="s">
        <v>11</v>
      </c>
      <c r="D2281">
        <v>288</v>
      </c>
      <c r="E2281">
        <v>3</v>
      </c>
      <c r="F2281">
        <v>1.04</v>
      </c>
      <c r="G2281">
        <v>40.619999999999997</v>
      </c>
      <c r="H2281">
        <v>11698.56</v>
      </c>
    </row>
    <row r="2282" spans="1:8" x14ac:dyDescent="0.35">
      <c r="A2282" t="s">
        <v>5</v>
      </c>
      <c r="B2282" t="s">
        <v>12</v>
      </c>
      <c r="C2282" t="s">
        <v>9</v>
      </c>
      <c r="D2282">
        <v>120</v>
      </c>
      <c r="E2282">
        <v>1</v>
      </c>
      <c r="F2282">
        <v>0.83</v>
      </c>
      <c r="G2282">
        <v>56.09</v>
      </c>
      <c r="H2282">
        <v>6730.8</v>
      </c>
    </row>
    <row r="2283" spans="1:8" x14ac:dyDescent="0.35">
      <c r="A2283" t="s">
        <v>7</v>
      </c>
      <c r="B2283" t="s">
        <v>12</v>
      </c>
      <c r="C2283" t="s">
        <v>10</v>
      </c>
      <c r="D2283">
        <v>148</v>
      </c>
      <c r="E2283">
        <v>4</v>
      </c>
      <c r="F2283">
        <v>2.7</v>
      </c>
      <c r="G2283">
        <v>47.27</v>
      </c>
      <c r="H2283">
        <v>6995.96</v>
      </c>
    </row>
    <row r="2284" spans="1:8" x14ac:dyDescent="0.35">
      <c r="A2284" t="s">
        <v>7</v>
      </c>
      <c r="B2284" t="s">
        <v>12</v>
      </c>
      <c r="C2284" t="s">
        <v>10</v>
      </c>
      <c r="D2284">
        <v>59</v>
      </c>
      <c r="E2284">
        <v>2</v>
      </c>
      <c r="F2284">
        <v>3.39</v>
      </c>
      <c r="G2284">
        <v>41.58</v>
      </c>
      <c r="H2284">
        <v>2453.2199999999998</v>
      </c>
    </row>
    <row r="2285" spans="1:8" x14ac:dyDescent="0.35">
      <c r="A2285" t="s">
        <v>6</v>
      </c>
      <c r="B2285" t="s">
        <v>12</v>
      </c>
      <c r="C2285" t="s">
        <v>9</v>
      </c>
      <c r="D2285">
        <v>190</v>
      </c>
      <c r="E2285">
        <v>5</v>
      </c>
      <c r="F2285">
        <v>2.63</v>
      </c>
      <c r="G2285">
        <v>25.11</v>
      </c>
      <c r="H2285">
        <v>4770.8999999999996</v>
      </c>
    </row>
    <row r="2286" spans="1:8" x14ac:dyDescent="0.35">
      <c r="A2286" t="s">
        <v>7</v>
      </c>
      <c r="B2286" t="s">
        <v>12</v>
      </c>
      <c r="C2286" t="s">
        <v>9</v>
      </c>
      <c r="D2286">
        <v>287</v>
      </c>
      <c r="E2286">
        <v>0</v>
      </c>
      <c r="F2286">
        <v>0</v>
      </c>
      <c r="G2286">
        <v>65.28</v>
      </c>
      <c r="H2286">
        <v>18735.36</v>
      </c>
    </row>
    <row r="2287" spans="1:8" x14ac:dyDescent="0.35">
      <c r="A2287" t="s">
        <v>6</v>
      </c>
      <c r="B2287" t="s">
        <v>12</v>
      </c>
      <c r="C2287" t="s">
        <v>9</v>
      </c>
      <c r="D2287">
        <v>282</v>
      </c>
      <c r="E2287">
        <v>6</v>
      </c>
      <c r="F2287">
        <v>2.13</v>
      </c>
      <c r="G2287">
        <v>38.32</v>
      </c>
      <c r="H2287">
        <v>10806.24</v>
      </c>
    </row>
    <row r="2288" spans="1:8" x14ac:dyDescent="0.35">
      <c r="A2288" t="s">
        <v>5</v>
      </c>
      <c r="B2288" t="s">
        <v>12</v>
      </c>
      <c r="C2288" t="s">
        <v>9</v>
      </c>
      <c r="D2288">
        <v>77</v>
      </c>
      <c r="E2288">
        <v>5</v>
      </c>
      <c r="F2288">
        <v>6.49</v>
      </c>
      <c r="G2288">
        <v>29.06</v>
      </c>
      <c r="H2288">
        <v>2237.62</v>
      </c>
    </row>
    <row r="2289" spans="1:8" x14ac:dyDescent="0.35">
      <c r="A2289" t="s">
        <v>8</v>
      </c>
      <c r="B2289" t="s">
        <v>12</v>
      </c>
      <c r="C2289" t="s">
        <v>9</v>
      </c>
      <c r="D2289">
        <v>63</v>
      </c>
      <c r="E2289">
        <v>2</v>
      </c>
      <c r="F2289">
        <v>3.17</v>
      </c>
      <c r="G2289">
        <v>30.64</v>
      </c>
      <c r="H2289">
        <v>1930.32</v>
      </c>
    </row>
    <row r="2290" spans="1:8" x14ac:dyDescent="0.35">
      <c r="A2290" t="s">
        <v>8</v>
      </c>
      <c r="B2290" t="s">
        <v>12</v>
      </c>
      <c r="C2290" t="s">
        <v>9</v>
      </c>
      <c r="D2290">
        <v>183</v>
      </c>
      <c r="E2290">
        <v>9</v>
      </c>
      <c r="F2290">
        <v>4.92</v>
      </c>
      <c r="G2290">
        <v>15.57</v>
      </c>
      <c r="H2290">
        <v>2849.31</v>
      </c>
    </row>
    <row r="2291" spans="1:8" x14ac:dyDescent="0.35">
      <c r="A2291" t="s">
        <v>5</v>
      </c>
      <c r="B2291" t="s">
        <v>12</v>
      </c>
      <c r="C2291" t="s">
        <v>9</v>
      </c>
      <c r="D2291">
        <v>52</v>
      </c>
      <c r="E2291">
        <v>5</v>
      </c>
      <c r="F2291">
        <v>9.6199999999999992</v>
      </c>
      <c r="G2291">
        <v>58.74</v>
      </c>
      <c r="H2291">
        <v>3054.48</v>
      </c>
    </row>
    <row r="2292" spans="1:8" x14ac:dyDescent="0.35">
      <c r="A2292" t="s">
        <v>8</v>
      </c>
      <c r="B2292" t="s">
        <v>12</v>
      </c>
      <c r="C2292" t="s">
        <v>9</v>
      </c>
      <c r="D2292">
        <v>172</v>
      </c>
      <c r="E2292">
        <v>6</v>
      </c>
      <c r="F2292">
        <v>3.49</v>
      </c>
      <c r="G2292">
        <v>15.02</v>
      </c>
      <c r="H2292">
        <v>2583.44</v>
      </c>
    </row>
    <row r="2293" spans="1:8" x14ac:dyDescent="0.35">
      <c r="A2293" t="s">
        <v>7</v>
      </c>
      <c r="B2293" t="s">
        <v>12</v>
      </c>
      <c r="C2293" t="s">
        <v>10</v>
      </c>
      <c r="D2293">
        <v>106</v>
      </c>
      <c r="E2293">
        <v>2</v>
      </c>
      <c r="F2293">
        <v>1.89</v>
      </c>
      <c r="G2293">
        <v>11.44</v>
      </c>
      <c r="H2293">
        <v>1212.6400000000001</v>
      </c>
    </row>
    <row r="2294" spans="1:8" x14ac:dyDescent="0.35">
      <c r="A2294" t="s">
        <v>6</v>
      </c>
      <c r="B2294" t="s">
        <v>12</v>
      </c>
      <c r="C2294" t="s">
        <v>9</v>
      </c>
      <c r="D2294">
        <v>174</v>
      </c>
      <c r="E2294">
        <v>7</v>
      </c>
      <c r="F2294">
        <v>4.0199999999999996</v>
      </c>
      <c r="G2294">
        <v>43.56</v>
      </c>
      <c r="H2294">
        <v>7579.44</v>
      </c>
    </row>
    <row r="2295" spans="1:8" x14ac:dyDescent="0.35">
      <c r="A2295" t="s">
        <v>7</v>
      </c>
      <c r="B2295" t="s">
        <v>12</v>
      </c>
      <c r="C2295" t="s">
        <v>9</v>
      </c>
      <c r="D2295">
        <v>108</v>
      </c>
      <c r="E2295">
        <v>2</v>
      </c>
      <c r="F2295">
        <v>1.85</v>
      </c>
      <c r="G2295">
        <v>26.52</v>
      </c>
      <c r="H2295">
        <v>2864.16</v>
      </c>
    </row>
    <row r="2296" spans="1:8" x14ac:dyDescent="0.35">
      <c r="A2296" t="s">
        <v>7</v>
      </c>
      <c r="B2296" t="s">
        <v>12</v>
      </c>
      <c r="C2296" t="s">
        <v>10</v>
      </c>
      <c r="D2296">
        <v>186</v>
      </c>
      <c r="E2296">
        <v>1</v>
      </c>
      <c r="F2296">
        <v>0.54</v>
      </c>
      <c r="G2296">
        <v>24.92</v>
      </c>
      <c r="H2296">
        <v>4635.12</v>
      </c>
    </row>
    <row r="2297" spans="1:8" x14ac:dyDescent="0.35">
      <c r="A2297" t="s">
        <v>7</v>
      </c>
      <c r="B2297" t="s">
        <v>12</v>
      </c>
      <c r="C2297" t="s">
        <v>9</v>
      </c>
      <c r="D2297">
        <v>142</v>
      </c>
      <c r="E2297">
        <v>3</v>
      </c>
      <c r="F2297">
        <v>2.11</v>
      </c>
      <c r="G2297">
        <v>36.36</v>
      </c>
      <c r="H2297">
        <v>5163.12</v>
      </c>
    </row>
    <row r="2298" spans="1:8" x14ac:dyDescent="0.35">
      <c r="A2298" t="s">
        <v>7</v>
      </c>
      <c r="B2298" t="s">
        <v>12</v>
      </c>
      <c r="C2298" t="s">
        <v>9</v>
      </c>
      <c r="D2298">
        <v>93</v>
      </c>
      <c r="E2298">
        <v>4</v>
      </c>
      <c r="F2298">
        <v>4.3</v>
      </c>
      <c r="G2298">
        <v>50.03</v>
      </c>
      <c r="H2298">
        <v>4652.79</v>
      </c>
    </row>
    <row r="2299" spans="1:8" x14ac:dyDescent="0.35">
      <c r="A2299" t="s">
        <v>7</v>
      </c>
      <c r="B2299" t="s">
        <v>12</v>
      </c>
      <c r="C2299" t="s">
        <v>9</v>
      </c>
      <c r="D2299">
        <v>189</v>
      </c>
      <c r="E2299">
        <v>8</v>
      </c>
      <c r="F2299">
        <v>4.2300000000000004</v>
      </c>
      <c r="G2299">
        <v>16.91</v>
      </c>
      <c r="H2299">
        <v>3195.99</v>
      </c>
    </row>
    <row r="2300" spans="1:8" x14ac:dyDescent="0.35">
      <c r="A2300" t="s">
        <v>8</v>
      </c>
      <c r="B2300" t="s">
        <v>12</v>
      </c>
      <c r="C2300" t="s">
        <v>9</v>
      </c>
      <c r="D2300">
        <v>130</v>
      </c>
      <c r="E2300">
        <v>12</v>
      </c>
      <c r="F2300">
        <v>9.23</v>
      </c>
      <c r="G2300">
        <v>44.77</v>
      </c>
      <c r="H2300">
        <v>5820.1</v>
      </c>
    </row>
    <row r="2301" spans="1:8" x14ac:dyDescent="0.35">
      <c r="A2301" t="s">
        <v>5</v>
      </c>
      <c r="B2301" t="s">
        <v>12</v>
      </c>
      <c r="C2301" t="s">
        <v>9</v>
      </c>
      <c r="D2301">
        <v>170</v>
      </c>
      <c r="E2301">
        <v>14</v>
      </c>
      <c r="F2301">
        <v>8.24</v>
      </c>
      <c r="G2301">
        <v>61.95</v>
      </c>
      <c r="H2301">
        <v>10531.5</v>
      </c>
    </row>
    <row r="2302" spans="1:8" x14ac:dyDescent="0.35">
      <c r="A2302" t="s">
        <v>6</v>
      </c>
      <c r="B2302" t="s">
        <v>12</v>
      </c>
      <c r="C2302" t="s">
        <v>9</v>
      </c>
      <c r="D2302">
        <v>88</v>
      </c>
      <c r="E2302">
        <v>2</v>
      </c>
      <c r="F2302">
        <v>2.27</v>
      </c>
      <c r="G2302">
        <v>39.65</v>
      </c>
      <c r="H2302">
        <v>3489.2</v>
      </c>
    </row>
    <row r="2303" spans="1:8" x14ac:dyDescent="0.35">
      <c r="A2303" t="s">
        <v>6</v>
      </c>
      <c r="B2303" t="s">
        <v>12</v>
      </c>
      <c r="C2303" t="s">
        <v>9</v>
      </c>
      <c r="D2303">
        <v>201</v>
      </c>
      <c r="E2303">
        <v>3</v>
      </c>
      <c r="F2303">
        <v>1.49</v>
      </c>
      <c r="G2303">
        <v>63.55</v>
      </c>
      <c r="H2303">
        <v>12773.55</v>
      </c>
    </row>
    <row r="2304" spans="1:8" x14ac:dyDescent="0.35">
      <c r="A2304" t="s">
        <v>6</v>
      </c>
      <c r="B2304" t="s">
        <v>12</v>
      </c>
      <c r="C2304" t="s">
        <v>11</v>
      </c>
      <c r="D2304">
        <v>69</v>
      </c>
      <c r="E2304">
        <v>0</v>
      </c>
      <c r="F2304">
        <v>0</v>
      </c>
      <c r="G2304">
        <v>66.28</v>
      </c>
      <c r="H2304">
        <v>4573.32</v>
      </c>
    </row>
    <row r="2305" spans="1:8" x14ac:dyDescent="0.35">
      <c r="A2305" t="s">
        <v>6</v>
      </c>
      <c r="B2305" t="s">
        <v>12</v>
      </c>
      <c r="C2305" t="s">
        <v>11</v>
      </c>
      <c r="D2305">
        <v>77</v>
      </c>
      <c r="E2305">
        <v>1</v>
      </c>
      <c r="F2305">
        <v>1.3</v>
      </c>
      <c r="G2305">
        <v>69.36</v>
      </c>
      <c r="H2305">
        <v>5340.72</v>
      </c>
    </row>
    <row r="2306" spans="1:8" x14ac:dyDescent="0.35">
      <c r="A2306" t="s">
        <v>5</v>
      </c>
      <c r="B2306" t="s">
        <v>12</v>
      </c>
      <c r="C2306" t="s">
        <v>9</v>
      </c>
      <c r="D2306">
        <v>118</v>
      </c>
      <c r="E2306">
        <v>5</v>
      </c>
      <c r="F2306">
        <v>4.24</v>
      </c>
      <c r="G2306">
        <v>59.76</v>
      </c>
      <c r="H2306">
        <v>7051.68</v>
      </c>
    </row>
    <row r="2307" spans="1:8" x14ac:dyDescent="0.35">
      <c r="A2307" t="s">
        <v>7</v>
      </c>
      <c r="B2307" t="s">
        <v>12</v>
      </c>
      <c r="C2307" t="s">
        <v>10</v>
      </c>
      <c r="D2307">
        <v>256</v>
      </c>
      <c r="E2307">
        <v>22</v>
      </c>
      <c r="F2307">
        <v>8.59</v>
      </c>
      <c r="G2307">
        <v>63.41</v>
      </c>
      <c r="H2307">
        <v>16232.96</v>
      </c>
    </row>
    <row r="2308" spans="1:8" x14ac:dyDescent="0.35">
      <c r="A2308" t="s">
        <v>6</v>
      </c>
      <c r="B2308" t="s">
        <v>12</v>
      </c>
      <c r="C2308" t="s">
        <v>9</v>
      </c>
      <c r="D2308">
        <v>185</v>
      </c>
      <c r="E2308">
        <v>14</v>
      </c>
      <c r="F2308">
        <v>7.57</v>
      </c>
      <c r="G2308">
        <v>10.69</v>
      </c>
      <c r="H2308">
        <v>1977.65</v>
      </c>
    </row>
    <row r="2309" spans="1:8" x14ac:dyDescent="0.35">
      <c r="A2309" t="s">
        <v>7</v>
      </c>
      <c r="B2309" t="s">
        <v>12</v>
      </c>
      <c r="C2309" t="s">
        <v>10</v>
      </c>
      <c r="D2309">
        <v>130</v>
      </c>
      <c r="E2309">
        <v>10</v>
      </c>
      <c r="F2309">
        <v>7.69</v>
      </c>
      <c r="G2309">
        <v>25</v>
      </c>
      <c r="H2309">
        <v>3250</v>
      </c>
    </row>
    <row r="2310" spans="1:8" x14ac:dyDescent="0.35">
      <c r="A2310" t="s">
        <v>5</v>
      </c>
      <c r="B2310" t="s">
        <v>12</v>
      </c>
      <c r="C2310" t="s">
        <v>9</v>
      </c>
      <c r="D2310">
        <v>58</v>
      </c>
      <c r="E2310">
        <v>4</v>
      </c>
      <c r="F2310">
        <v>6.9</v>
      </c>
      <c r="G2310">
        <v>59.59</v>
      </c>
      <c r="H2310">
        <v>3456.22</v>
      </c>
    </row>
    <row r="2311" spans="1:8" x14ac:dyDescent="0.35">
      <c r="A2311" t="s">
        <v>6</v>
      </c>
      <c r="B2311" t="s">
        <v>12</v>
      </c>
      <c r="C2311" t="s">
        <v>9</v>
      </c>
      <c r="D2311">
        <v>108</v>
      </c>
      <c r="E2311">
        <v>6</v>
      </c>
      <c r="F2311">
        <v>5.56</v>
      </c>
      <c r="G2311">
        <v>21.12</v>
      </c>
      <c r="H2311">
        <v>2280.96</v>
      </c>
    </row>
    <row r="2312" spans="1:8" x14ac:dyDescent="0.35">
      <c r="A2312" t="s">
        <v>7</v>
      </c>
      <c r="B2312" t="s">
        <v>12</v>
      </c>
      <c r="C2312" t="s">
        <v>10</v>
      </c>
      <c r="D2312">
        <v>273</v>
      </c>
      <c r="E2312">
        <v>5</v>
      </c>
      <c r="F2312">
        <v>1.83</v>
      </c>
      <c r="G2312">
        <v>18.8</v>
      </c>
      <c r="H2312">
        <v>5132.3999999999996</v>
      </c>
    </row>
    <row r="2313" spans="1:8" x14ac:dyDescent="0.35">
      <c r="A2313" t="s">
        <v>7</v>
      </c>
      <c r="B2313" t="s">
        <v>12</v>
      </c>
      <c r="C2313" t="s">
        <v>9</v>
      </c>
      <c r="D2313">
        <v>226</v>
      </c>
      <c r="E2313">
        <v>14</v>
      </c>
      <c r="F2313">
        <v>6.19</v>
      </c>
      <c r="G2313">
        <v>38.51</v>
      </c>
      <c r="H2313">
        <v>8703.26</v>
      </c>
    </row>
    <row r="2314" spans="1:8" x14ac:dyDescent="0.35">
      <c r="A2314" t="s">
        <v>7</v>
      </c>
      <c r="B2314" t="s">
        <v>12</v>
      </c>
      <c r="C2314" t="s">
        <v>9</v>
      </c>
      <c r="D2314">
        <v>238</v>
      </c>
      <c r="E2314">
        <v>21</v>
      </c>
      <c r="F2314">
        <v>8.82</v>
      </c>
      <c r="G2314">
        <v>43.43</v>
      </c>
      <c r="H2314">
        <v>10336.34</v>
      </c>
    </row>
    <row r="2315" spans="1:8" x14ac:dyDescent="0.35">
      <c r="A2315" t="s">
        <v>6</v>
      </c>
      <c r="B2315" t="s">
        <v>12</v>
      </c>
      <c r="C2315" t="s">
        <v>9</v>
      </c>
      <c r="D2315">
        <v>284</v>
      </c>
      <c r="E2315">
        <v>24</v>
      </c>
      <c r="F2315">
        <v>8.4499999999999993</v>
      </c>
      <c r="G2315">
        <v>10.85</v>
      </c>
      <c r="H2315">
        <v>3081.4</v>
      </c>
    </row>
    <row r="2316" spans="1:8" x14ac:dyDescent="0.35">
      <c r="A2316" t="s">
        <v>7</v>
      </c>
      <c r="B2316" t="s">
        <v>12</v>
      </c>
      <c r="C2316" t="s">
        <v>10</v>
      </c>
      <c r="D2316">
        <v>128</v>
      </c>
      <c r="E2316">
        <v>8</v>
      </c>
      <c r="F2316">
        <v>6.25</v>
      </c>
      <c r="G2316">
        <v>56.38</v>
      </c>
      <c r="H2316">
        <v>7216.64</v>
      </c>
    </row>
    <row r="2317" spans="1:8" x14ac:dyDescent="0.35">
      <c r="A2317" t="s">
        <v>6</v>
      </c>
      <c r="B2317" t="s">
        <v>12</v>
      </c>
      <c r="C2317" t="s">
        <v>9</v>
      </c>
      <c r="D2317">
        <v>139</v>
      </c>
      <c r="E2317">
        <v>7</v>
      </c>
      <c r="F2317">
        <v>5.04</v>
      </c>
      <c r="G2317">
        <v>40.22</v>
      </c>
      <c r="H2317">
        <v>5590.58</v>
      </c>
    </row>
    <row r="2318" spans="1:8" x14ac:dyDescent="0.35">
      <c r="A2318" t="s">
        <v>6</v>
      </c>
      <c r="B2318" t="s">
        <v>12</v>
      </c>
      <c r="C2318" t="s">
        <v>11</v>
      </c>
      <c r="D2318">
        <v>121</v>
      </c>
      <c r="E2318">
        <v>10</v>
      </c>
      <c r="F2318">
        <v>8.26</v>
      </c>
      <c r="G2318">
        <v>39.94</v>
      </c>
      <c r="H2318">
        <v>4832.74</v>
      </c>
    </row>
    <row r="2319" spans="1:8" x14ac:dyDescent="0.35">
      <c r="A2319" t="s">
        <v>5</v>
      </c>
      <c r="B2319" t="s">
        <v>12</v>
      </c>
      <c r="C2319" t="s">
        <v>9</v>
      </c>
      <c r="D2319">
        <v>67</v>
      </c>
      <c r="E2319">
        <v>5</v>
      </c>
      <c r="F2319">
        <v>7.46</v>
      </c>
      <c r="G2319">
        <v>35.72</v>
      </c>
      <c r="H2319">
        <v>2393.2399999999998</v>
      </c>
    </row>
    <row r="2320" spans="1:8" x14ac:dyDescent="0.35">
      <c r="A2320" t="s">
        <v>8</v>
      </c>
      <c r="B2320" t="s">
        <v>12</v>
      </c>
      <c r="C2320" t="s">
        <v>9</v>
      </c>
      <c r="D2320">
        <v>102</v>
      </c>
      <c r="E2320">
        <v>7</v>
      </c>
      <c r="F2320">
        <v>6.86</v>
      </c>
      <c r="G2320">
        <v>49.34</v>
      </c>
      <c r="H2320">
        <v>5032.68</v>
      </c>
    </row>
    <row r="2321" spans="1:8" x14ac:dyDescent="0.35">
      <c r="A2321" t="s">
        <v>6</v>
      </c>
      <c r="B2321" t="s">
        <v>12</v>
      </c>
      <c r="C2321" t="s">
        <v>9</v>
      </c>
      <c r="D2321">
        <v>153</v>
      </c>
      <c r="E2321">
        <v>14</v>
      </c>
      <c r="F2321">
        <v>9.15</v>
      </c>
      <c r="G2321">
        <v>7.43</v>
      </c>
      <c r="H2321">
        <v>1136.79</v>
      </c>
    </row>
    <row r="2322" spans="1:8" x14ac:dyDescent="0.35">
      <c r="A2322" t="s">
        <v>7</v>
      </c>
      <c r="B2322" t="s">
        <v>12</v>
      </c>
      <c r="C2322" t="s">
        <v>10</v>
      </c>
      <c r="D2322">
        <v>176</v>
      </c>
      <c r="E2322">
        <v>11</v>
      </c>
      <c r="F2322">
        <v>6.25</v>
      </c>
      <c r="G2322">
        <v>42.55</v>
      </c>
      <c r="H2322">
        <v>7488.8</v>
      </c>
    </row>
    <row r="2323" spans="1:8" x14ac:dyDescent="0.35">
      <c r="A2323" t="s">
        <v>6</v>
      </c>
      <c r="B2323" t="s">
        <v>12</v>
      </c>
      <c r="C2323" t="s">
        <v>9</v>
      </c>
      <c r="D2323">
        <v>244</v>
      </c>
      <c r="E2323">
        <v>24</v>
      </c>
      <c r="F2323">
        <v>9.84</v>
      </c>
      <c r="G2323">
        <v>51.41</v>
      </c>
      <c r="H2323">
        <v>12544.04</v>
      </c>
    </row>
    <row r="2324" spans="1:8" x14ac:dyDescent="0.35">
      <c r="A2324" t="s">
        <v>6</v>
      </c>
      <c r="B2324" t="s">
        <v>12</v>
      </c>
      <c r="C2324" t="s">
        <v>11</v>
      </c>
      <c r="D2324">
        <v>247</v>
      </c>
      <c r="E2324">
        <v>23</v>
      </c>
      <c r="F2324">
        <v>9.31</v>
      </c>
      <c r="G2324">
        <v>34.630000000000003</v>
      </c>
      <c r="H2324">
        <v>8553.61</v>
      </c>
    </row>
    <row r="2325" spans="1:8" x14ac:dyDescent="0.35">
      <c r="A2325" t="s">
        <v>6</v>
      </c>
      <c r="B2325" t="s">
        <v>12</v>
      </c>
      <c r="C2325" t="s">
        <v>9</v>
      </c>
      <c r="D2325">
        <v>129</v>
      </c>
      <c r="E2325">
        <v>9</v>
      </c>
      <c r="F2325">
        <v>6.98</v>
      </c>
      <c r="G2325">
        <v>7.12</v>
      </c>
      <c r="H2325">
        <v>918.48</v>
      </c>
    </row>
    <row r="2326" spans="1:8" x14ac:dyDescent="0.35">
      <c r="A2326" t="s">
        <v>8</v>
      </c>
      <c r="B2326" t="s">
        <v>12</v>
      </c>
      <c r="C2326" t="s">
        <v>9</v>
      </c>
      <c r="D2326">
        <v>284</v>
      </c>
      <c r="E2326">
        <v>10</v>
      </c>
      <c r="F2326">
        <v>3.52</v>
      </c>
      <c r="G2326">
        <v>61.69</v>
      </c>
      <c r="H2326">
        <v>17519.96</v>
      </c>
    </row>
    <row r="2327" spans="1:8" x14ac:dyDescent="0.35">
      <c r="A2327" t="s">
        <v>7</v>
      </c>
      <c r="B2327" t="s">
        <v>12</v>
      </c>
      <c r="C2327" t="s">
        <v>9</v>
      </c>
      <c r="D2327">
        <v>129</v>
      </c>
      <c r="E2327">
        <v>11</v>
      </c>
      <c r="F2327">
        <v>8.5299999999999994</v>
      </c>
      <c r="G2327">
        <v>42.23</v>
      </c>
      <c r="H2327">
        <v>5447.67</v>
      </c>
    </row>
    <row r="2328" spans="1:8" x14ac:dyDescent="0.35">
      <c r="A2328" t="s">
        <v>6</v>
      </c>
      <c r="B2328" t="s">
        <v>12</v>
      </c>
      <c r="C2328" t="s">
        <v>9</v>
      </c>
      <c r="D2328">
        <v>259</v>
      </c>
      <c r="E2328">
        <v>9</v>
      </c>
      <c r="F2328">
        <v>3.47</v>
      </c>
      <c r="G2328">
        <v>34.51</v>
      </c>
      <c r="H2328">
        <v>8938.09</v>
      </c>
    </row>
    <row r="2329" spans="1:8" x14ac:dyDescent="0.35">
      <c r="A2329" t="s">
        <v>5</v>
      </c>
      <c r="B2329" t="s">
        <v>12</v>
      </c>
      <c r="C2329" t="s">
        <v>9</v>
      </c>
      <c r="D2329">
        <v>106</v>
      </c>
      <c r="E2329">
        <v>7</v>
      </c>
      <c r="F2329">
        <v>6.6</v>
      </c>
      <c r="G2329">
        <v>28.09</v>
      </c>
      <c r="H2329">
        <v>2977.54</v>
      </c>
    </row>
    <row r="2330" spans="1:8" x14ac:dyDescent="0.35">
      <c r="A2330" t="s">
        <v>7</v>
      </c>
      <c r="B2330" t="s">
        <v>12</v>
      </c>
      <c r="C2330" t="s">
        <v>10</v>
      </c>
      <c r="D2330">
        <v>80</v>
      </c>
      <c r="E2330">
        <v>0</v>
      </c>
      <c r="F2330">
        <v>0</v>
      </c>
      <c r="G2330">
        <v>13.52</v>
      </c>
      <c r="H2330">
        <v>1081.5999999999999</v>
      </c>
    </row>
    <row r="2331" spans="1:8" x14ac:dyDescent="0.35">
      <c r="A2331" t="s">
        <v>5</v>
      </c>
      <c r="B2331" t="s">
        <v>12</v>
      </c>
      <c r="C2331" t="s">
        <v>9</v>
      </c>
      <c r="D2331">
        <v>279</v>
      </c>
      <c r="E2331">
        <v>19</v>
      </c>
      <c r="F2331">
        <v>6.81</v>
      </c>
      <c r="G2331">
        <v>62.91</v>
      </c>
      <c r="H2331">
        <v>17551.89</v>
      </c>
    </row>
    <row r="2332" spans="1:8" x14ac:dyDescent="0.35">
      <c r="A2332" t="s">
        <v>7</v>
      </c>
      <c r="B2332" t="s">
        <v>12</v>
      </c>
      <c r="C2332" t="s">
        <v>10</v>
      </c>
      <c r="D2332">
        <v>243</v>
      </c>
      <c r="E2332">
        <v>21</v>
      </c>
      <c r="F2332">
        <v>8.64</v>
      </c>
      <c r="G2332">
        <v>63.88</v>
      </c>
      <c r="H2332">
        <v>15522.84</v>
      </c>
    </row>
    <row r="2333" spans="1:8" x14ac:dyDescent="0.35">
      <c r="A2333" t="s">
        <v>7</v>
      </c>
      <c r="B2333" t="s">
        <v>12</v>
      </c>
      <c r="C2333" t="s">
        <v>9</v>
      </c>
      <c r="D2333">
        <v>218</v>
      </c>
      <c r="E2333">
        <v>16</v>
      </c>
      <c r="F2333">
        <v>7.34</v>
      </c>
      <c r="G2333">
        <v>33.380000000000003</v>
      </c>
      <c r="H2333">
        <v>7276.84</v>
      </c>
    </row>
    <row r="2334" spans="1:8" x14ac:dyDescent="0.35">
      <c r="A2334" t="s">
        <v>8</v>
      </c>
      <c r="B2334" t="s">
        <v>12</v>
      </c>
      <c r="C2334" t="s">
        <v>9</v>
      </c>
      <c r="D2334">
        <v>208</v>
      </c>
      <c r="E2334">
        <v>17</v>
      </c>
      <c r="F2334">
        <v>8.17</v>
      </c>
      <c r="G2334">
        <v>9.42</v>
      </c>
      <c r="H2334">
        <v>1959.36</v>
      </c>
    </row>
    <row r="2335" spans="1:8" x14ac:dyDescent="0.35">
      <c r="A2335" t="s">
        <v>5</v>
      </c>
      <c r="B2335" t="s">
        <v>12</v>
      </c>
      <c r="C2335" t="s">
        <v>9</v>
      </c>
      <c r="D2335">
        <v>264</v>
      </c>
      <c r="E2335">
        <v>18</v>
      </c>
      <c r="F2335">
        <v>6.82</v>
      </c>
      <c r="G2335">
        <v>17.350000000000001</v>
      </c>
      <c r="H2335">
        <v>4580.3999999999996</v>
      </c>
    </row>
    <row r="2336" spans="1:8" x14ac:dyDescent="0.35">
      <c r="A2336" t="s">
        <v>7</v>
      </c>
      <c r="B2336" t="s">
        <v>12</v>
      </c>
      <c r="C2336" t="s">
        <v>9</v>
      </c>
      <c r="D2336">
        <v>270</v>
      </c>
      <c r="E2336">
        <v>7</v>
      </c>
      <c r="F2336">
        <v>2.59</v>
      </c>
      <c r="G2336">
        <v>47.35</v>
      </c>
      <c r="H2336">
        <v>12784.5</v>
      </c>
    </row>
    <row r="2337" spans="1:8" x14ac:dyDescent="0.35">
      <c r="A2337" t="s">
        <v>8</v>
      </c>
      <c r="B2337" t="s">
        <v>12</v>
      </c>
      <c r="C2337" t="s">
        <v>9</v>
      </c>
      <c r="D2337">
        <v>155</v>
      </c>
      <c r="E2337">
        <v>13</v>
      </c>
      <c r="F2337">
        <v>8.39</v>
      </c>
      <c r="G2337">
        <v>36.950000000000003</v>
      </c>
      <c r="H2337">
        <v>5727.25</v>
      </c>
    </row>
    <row r="2338" spans="1:8" x14ac:dyDescent="0.35">
      <c r="A2338" t="s">
        <v>6</v>
      </c>
      <c r="B2338" t="s">
        <v>12</v>
      </c>
      <c r="C2338" t="s">
        <v>9</v>
      </c>
      <c r="D2338">
        <v>244</v>
      </c>
      <c r="E2338">
        <v>14</v>
      </c>
      <c r="F2338">
        <v>5.74</v>
      </c>
      <c r="G2338">
        <v>36.79</v>
      </c>
      <c r="H2338">
        <v>8976.76</v>
      </c>
    </row>
    <row r="2339" spans="1:8" x14ac:dyDescent="0.35">
      <c r="A2339" t="s">
        <v>7</v>
      </c>
      <c r="B2339" t="s">
        <v>12</v>
      </c>
      <c r="C2339" t="s">
        <v>10</v>
      </c>
      <c r="D2339">
        <v>118</v>
      </c>
      <c r="E2339">
        <v>6</v>
      </c>
      <c r="F2339">
        <v>5.08</v>
      </c>
      <c r="G2339">
        <v>6.87</v>
      </c>
      <c r="H2339">
        <v>810.66</v>
      </c>
    </row>
    <row r="2340" spans="1:8" x14ac:dyDescent="0.35">
      <c r="A2340" t="s">
        <v>6</v>
      </c>
      <c r="B2340" t="s">
        <v>12</v>
      </c>
      <c r="C2340" t="s">
        <v>9</v>
      </c>
      <c r="D2340">
        <v>192</v>
      </c>
      <c r="E2340">
        <v>8</v>
      </c>
      <c r="F2340">
        <v>4.17</v>
      </c>
      <c r="G2340">
        <v>52.4</v>
      </c>
      <c r="H2340">
        <v>10060.799999999999</v>
      </c>
    </row>
    <row r="2341" spans="1:8" x14ac:dyDescent="0.35">
      <c r="A2341" t="s">
        <v>6</v>
      </c>
      <c r="B2341" t="s">
        <v>12</v>
      </c>
      <c r="C2341" t="s">
        <v>9</v>
      </c>
      <c r="D2341">
        <v>145</v>
      </c>
      <c r="E2341">
        <v>12</v>
      </c>
      <c r="F2341">
        <v>8.2799999999999994</v>
      </c>
      <c r="G2341">
        <v>14.52</v>
      </c>
      <c r="H2341">
        <v>2105.4</v>
      </c>
    </row>
    <row r="2342" spans="1:8" x14ac:dyDescent="0.35">
      <c r="A2342" t="s">
        <v>6</v>
      </c>
      <c r="B2342" t="s">
        <v>12</v>
      </c>
      <c r="C2342" t="s">
        <v>9</v>
      </c>
      <c r="D2342">
        <v>156</v>
      </c>
      <c r="E2342">
        <v>13</v>
      </c>
      <c r="F2342">
        <v>8.33</v>
      </c>
      <c r="G2342">
        <v>37.53</v>
      </c>
      <c r="H2342">
        <v>5854.68</v>
      </c>
    </row>
    <row r="2343" spans="1:8" x14ac:dyDescent="0.35">
      <c r="A2343" t="s">
        <v>7</v>
      </c>
      <c r="B2343" t="s">
        <v>12</v>
      </c>
      <c r="C2343" t="s">
        <v>9</v>
      </c>
      <c r="D2343">
        <v>83</v>
      </c>
      <c r="E2343">
        <v>5</v>
      </c>
      <c r="F2343">
        <v>6.02</v>
      </c>
      <c r="G2343">
        <v>37.18</v>
      </c>
      <c r="H2343">
        <v>3085.94</v>
      </c>
    </row>
    <row r="2344" spans="1:8" x14ac:dyDescent="0.35">
      <c r="A2344" t="s">
        <v>7</v>
      </c>
      <c r="B2344" t="s">
        <v>12</v>
      </c>
      <c r="C2344" t="s">
        <v>10</v>
      </c>
      <c r="D2344">
        <v>217</v>
      </c>
      <c r="E2344">
        <v>5</v>
      </c>
      <c r="F2344">
        <v>2.2999999999999998</v>
      </c>
      <c r="G2344">
        <v>15.52</v>
      </c>
      <c r="H2344">
        <v>3367.84</v>
      </c>
    </row>
    <row r="2345" spans="1:8" x14ac:dyDescent="0.35">
      <c r="A2345" t="s">
        <v>6</v>
      </c>
      <c r="B2345" t="s">
        <v>12</v>
      </c>
      <c r="C2345" t="s">
        <v>11</v>
      </c>
      <c r="D2345">
        <v>257</v>
      </c>
      <c r="E2345">
        <v>8</v>
      </c>
      <c r="F2345">
        <v>3.11</v>
      </c>
      <c r="G2345">
        <v>31.68</v>
      </c>
      <c r="H2345">
        <v>8141.76</v>
      </c>
    </row>
    <row r="2346" spans="1:8" x14ac:dyDescent="0.35">
      <c r="A2346" t="s">
        <v>6</v>
      </c>
      <c r="B2346" t="s">
        <v>12</v>
      </c>
      <c r="C2346" t="s">
        <v>11</v>
      </c>
      <c r="D2346">
        <v>210</v>
      </c>
      <c r="E2346">
        <v>2</v>
      </c>
      <c r="F2346">
        <v>0.95</v>
      </c>
      <c r="G2346">
        <v>48.59</v>
      </c>
      <c r="H2346">
        <v>10203.9</v>
      </c>
    </row>
    <row r="2347" spans="1:8" x14ac:dyDescent="0.35">
      <c r="A2347" t="s">
        <v>6</v>
      </c>
      <c r="B2347" t="s">
        <v>12</v>
      </c>
      <c r="C2347" t="s">
        <v>11</v>
      </c>
      <c r="D2347">
        <v>218</v>
      </c>
      <c r="E2347">
        <v>7</v>
      </c>
      <c r="F2347">
        <v>3.21</v>
      </c>
      <c r="G2347">
        <v>10.28</v>
      </c>
      <c r="H2347">
        <v>2241.04</v>
      </c>
    </row>
    <row r="2348" spans="1:8" x14ac:dyDescent="0.35">
      <c r="A2348" t="s">
        <v>6</v>
      </c>
      <c r="B2348" t="s">
        <v>12</v>
      </c>
      <c r="C2348" t="s">
        <v>9</v>
      </c>
      <c r="D2348">
        <v>239</v>
      </c>
      <c r="E2348">
        <v>4</v>
      </c>
      <c r="F2348">
        <v>1.67</v>
      </c>
      <c r="G2348">
        <v>16.11</v>
      </c>
      <c r="H2348">
        <v>3850.29</v>
      </c>
    </row>
    <row r="2349" spans="1:8" x14ac:dyDescent="0.35">
      <c r="A2349" t="s">
        <v>7</v>
      </c>
      <c r="B2349" t="s">
        <v>12</v>
      </c>
      <c r="C2349" t="s">
        <v>10</v>
      </c>
      <c r="D2349">
        <v>255</v>
      </c>
      <c r="E2349">
        <v>16</v>
      </c>
      <c r="F2349">
        <v>6.27</v>
      </c>
      <c r="G2349">
        <v>20.420000000000002</v>
      </c>
      <c r="H2349">
        <v>5207.1000000000004</v>
      </c>
    </row>
    <row r="2350" spans="1:8" x14ac:dyDescent="0.35">
      <c r="A2350" t="s">
        <v>6</v>
      </c>
      <c r="B2350" t="s">
        <v>12</v>
      </c>
      <c r="C2350" t="s">
        <v>9</v>
      </c>
      <c r="D2350">
        <v>275</v>
      </c>
      <c r="E2350">
        <v>17</v>
      </c>
      <c r="F2350">
        <v>6.18</v>
      </c>
      <c r="G2350">
        <v>40.08</v>
      </c>
      <c r="H2350">
        <v>11022</v>
      </c>
    </row>
    <row r="2351" spans="1:8" x14ac:dyDescent="0.35">
      <c r="A2351" t="s">
        <v>7</v>
      </c>
      <c r="B2351" t="s">
        <v>12</v>
      </c>
      <c r="C2351" t="s">
        <v>9</v>
      </c>
      <c r="D2351">
        <v>174</v>
      </c>
      <c r="E2351">
        <v>14</v>
      </c>
      <c r="F2351">
        <v>8.0500000000000007</v>
      </c>
      <c r="G2351">
        <v>35.19</v>
      </c>
      <c r="H2351">
        <v>6123.06</v>
      </c>
    </row>
    <row r="2352" spans="1:8" x14ac:dyDescent="0.35">
      <c r="A2352" t="s">
        <v>5</v>
      </c>
      <c r="B2352" t="s">
        <v>12</v>
      </c>
      <c r="C2352" t="s">
        <v>9</v>
      </c>
      <c r="D2352">
        <v>234</v>
      </c>
      <c r="E2352">
        <v>3</v>
      </c>
      <c r="F2352">
        <v>1.28</v>
      </c>
      <c r="G2352">
        <v>14.25</v>
      </c>
      <c r="H2352">
        <v>3334.5</v>
      </c>
    </row>
    <row r="2353" spans="1:8" x14ac:dyDescent="0.35">
      <c r="A2353" t="s">
        <v>8</v>
      </c>
      <c r="B2353" t="s">
        <v>12</v>
      </c>
      <c r="C2353" t="s">
        <v>9</v>
      </c>
      <c r="D2353">
        <v>182</v>
      </c>
      <c r="E2353">
        <v>9</v>
      </c>
      <c r="F2353">
        <v>4.95</v>
      </c>
      <c r="G2353">
        <v>65.69</v>
      </c>
      <c r="H2353">
        <v>11955.58</v>
      </c>
    </row>
    <row r="2354" spans="1:8" x14ac:dyDescent="0.35">
      <c r="A2354" t="s">
        <v>7</v>
      </c>
      <c r="B2354" t="s">
        <v>12</v>
      </c>
      <c r="C2354" t="s">
        <v>9</v>
      </c>
      <c r="D2354">
        <v>279</v>
      </c>
      <c r="E2354">
        <v>7</v>
      </c>
      <c r="F2354">
        <v>2.5099999999999998</v>
      </c>
      <c r="G2354">
        <v>8.9</v>
      </c>
      <c r="H2354">
        <v>2483.1</v>
      </c>
    </row>
    <row r="2355" spans="1:8" x14ac:dyDescent="0.35">
      <c r="A2355" t="s">
        <v>6</v>
      </c>
      <c r="B2355" t="s">
        <v>12</v>
      </c>
      <c r="C2355" t="s">
        <v>11</v>
      </c>
      <c r="D2355">
        <v>93</v>
      </c>
      <c r="E2355">
        <v>9</v>
      </c>
      <c r="F2355">
        <v>9.68</v>
      </c>
      <c r="G2355">
        <v>37.909999999999997</v>
      </c>
      <c r="H2355">
        <v>3525.63</v>
      </c>
    </row>
    <row r="2356" spans="1:8" x14ac:dyDescent="0.35">
      <c r="A2356" t="s">
        <v>6</v>
      </c>
      <c r="B2356" t="s">
        <v>12</v>
      </c>
      <c r="C2356" t="s">
        <v>9</v>
      </c>
      <c r="D2356">
        <v>268</v>
      </c>
      <c r="E2356">
        <v>22</v>
      </c>
      <c r="F2356">
        <v>8.2100000000000009</v>
      </c>
      <c r="G2356">
        <v>45.28</v>
      </c>
      <c r="H2356">
        <v>12135.04</v>
      </c>
    </row>
    <row r="2357" spans="1:8" x14ac:dyDescent="0.35">
      <c r="A2357" t="s">
        <v>6</v>
      </c>
      <c r="B2357" t="s">
        <v>12</v>
      </c>
      <c r="C2357" t="s">
        <v>9</v>
      </c>
      <c r="D2357">
        <v>225</v>
      </c>
      <c r="E2357">
        <v>16</v>
      </c>
      <c r="F2357">
        <v>7.11</v>
      </c>
      <c r="G2357">
        <v>54.93</v>
      </c>
      <c r="H2357">
        <v>12359.25</v>
      </c>
    </row>
    <row r="2358" spans="1:8" x14ac:dyDescent="0.35">
      <c r="A2358" t="s">
        <v>7</v>
      </c>
      <c r="B2358" t="s">
        <v>12</v>
      </c>
      <c r="C2358" t="s">
        <v>10</v>
      </c>
      <c r="D2358">
        <v>261</v>
      </c>
      <c r="E2358">
        <v>16</v>
      </c>
      <c r="F2358">
        <v>6.13</v>
      </c>
      <c r="G2358">
        <v>30.24</v>
      </c>
      <c r="H2358">
        <v>7892.64</v>
      </c>
    </row>
    <row r="2359" spans="1:8" x14ac:dyDescent="0.35">
      <c r="A2359" t="s">
        <v>6</v>
      </c>
      <c r="B2359" t="s">
        <v>12</v>
      </c>
      <c r="C2359" t="s">
        <v>11</v>
      </c>
      <c r="D2359">
        <v>203</v>
      </c>
      <c r="E2359">
        <v>6</v>
      </c>
      <c r="F2359">
        <v>2.96</v>
      </c>
      <c r="G2359">
        <v>64.77</v>
      </c>
      <c r="H2359">
        <v>13148.31</v>
      </c>
    </row>
    <row r="2360" spans="1:8" x14ac:dyDescent="0.35">
      <c r="A2360" t="s">
        <v>6</v>
      </c>
      <c r="B2360" t="s">
        <v>12</v>
      </c>
      <c r="C2360" t="s">
        <v>9</v>
      </c>
      <c r="D2360">
        <v>58</v>
      </c>
      <c r="E2360">
        <v>1</v>
      </c>
      <c r="F2360">
        <v>1.72</v>
      </c>
      <c r="G2360">
        <v>60.01</v>
      </c>
      <c r="H2360">
        <v>3480.58</v>
      </c>
    </row>
    <row r="2361" spans="1:8" x14ac:dyDescent="0.35">
      <c r="A2361" t="s">
        <v>6</v>
      </c>
      <c r="B2361" t="s">
        <v>12</v>
      </c>
      <c r="C2361" t="s">
        <v>9</v>
      </c>
      <c r="D2361">
        <v>222</v>
      </c>
      <c r="E2361">
        <v>14</v>
      </c>
      <c r="F2361">
        <v>6.31</v>
      </c>
      <c r="G2361">
        <v>52.05</v>
      </c>
      <c r="H2361">
        <v>11555.1</v>
      </c>
    </row>
    <row r="2362" spans="1:8" x14ac:dyDescent="0.35">
      <c r="A2362" t="s">
        <v>7</v>
      </c>
      <c r="B2362" t="s">
        <v>12</v>
      </c>
      <c r="C2362" t="s">
        <v>9</v>
      </c>
      <c r="D2362">
        <v>186</v>
      </c>
      <c r="E2362">
        <v>3</v>
      </c>
      <c r="F2362">
        <v>1.61</v>
      </c>
      <c r="G2362">
        <v>66.88</v>
      </c>
      <c r="H2362">
        <v>12439.68</v>
      </c>
    </row>
    <row r="2363" spans="1:8" x14ac:dyDescent="0.35">
      <c r="A2363" t="s">
        <v>8</v>
      </c>
      <c r="B2363" t="s">
        <v>12</v>
      </c>
      <c r="C2363" t="s">
        <v>9</v>
      </c>
      <c r="D2363">
        <v>95</v>
      </c>
      <c r="E2363">
        <v>3</v>
      </c>
      <c r="F2363">
        <v>3.16</v>
      </c>
      <c r="G2363">
        <v>67.760000000000005</v>
      </c>
      <c r="H2363">
        <v>6437.2</v>
      </c>
    </row>
    <row r="2364" spans="1:8" x14ac:dyDescent="0.35">
      <c r="A2364" t="s">
        <v>8</v>
      </c>
      <c r="B2364" t="s">
        <v>12</v>
      </c>
      <c r="C2364" t="s">
        <v>9</v>
      </c>
      <c r="D2364">
        <v>151</v>
      </c>
      <c r="E2364">
        <v>13</v>
      </c>
      <c r="F2364">
        <v>8.61</v>
      </c>
      <c r="G2364">
        <v>55.22</v>
      </c>
      <c r="H2364">
        <v>8338.2199999999993</v>
      </c>
    </row>
    <row r="2365" spans="1:8" x14ac:dyDescent="0.35">
      <c r="A2365" t="s">
        <v>5</v>
      </c>
      <c r="B2365" t="s">
        <v>12</v>
      </c>
      <c r="C2365" t="s">
        <v>9</v>
      </c>
      <c r="D2365">
        <v>96</v>
      </c>
      <c r="E2365">
        <v>0</v>
      </c>
      <c r="F2365">
        <v>0</v>
      </c>
      <c r="G2365">
        <v>59.18</v>
      </c>
      <c r="H2365">
        <v>5681.28</v>
      </c>
    </row>
    <row r="2366" spans="1:8" x14ac:dyDescent="0.35">
      <c r="A2366" t="s">
        <v>7</v>
      </c>
      <c r="B2366" t="s">
        <v>12</v>
      </c>
      <c r="C2366" t="s">
        <v>10</v>
      </c>
      <c r="D2366">
        <v>104</v>
      </c>
      <c r="E2366">
        <v>1</v>
      </c>
      <c r="F2366">
        <v>0.96</v>
      </c>
      <c r="G2366">
        <v>68.400000000000006</v>
      </c>
      <c r="H2366">
        <v>7113.6</v>
      </c>
    </row>
    <row r="2367" spans="1:8" x14ac:dyDescent="0.35">
      <c r="A2367" t="s">
        <v>5</v>
      </c>
      <c r="B2367" t="s">
        <v>12</v>
      </c>
      <c r="C2367" t="s">
        <v>9</v>
      </c>
      <c r="D2367">
        <v>213</v>
      </c>
      <c r="E2367">
        <v>11</v>
      </c>
      <c r="F2367">
        <v>5.16</v>
      </c>
      <c r="G2367">
        <v>24.87</v>
      </c>
      <c r="H2367">
        <v>5297.31</v>
      </c>
    </row>
    <row r="2368" spans="1:8" x14ac:dyDescent="0.35">
      <c r="A2368" t="s">
        <v>7</v>
      </c>
      <c r="B2368" t="s">
        <v>12</v>
      </c>
      <c r="C2368" t="s">
        <v>9</v>
      </c>
      <c r="D2368">
        <v>137</v>
      </c>
      <c r="E2368">
        <v>9</v>
      </c>
      <c r="F2368">
        <v>6.57</v>
      </c>
      <c r="G2368">
        <v>12.68</v>
      </c>
      <c r="H2368">
        <v>1737.16</v>
      </c>
    </row>
    <row r="2369" spans="1:8" x14ac:dyDescent="0.35">
      <c r="A2369" t="s">
        <v>7</v>
      </c>
      <c r="B2369" t="s">
        <v>12</v>
      </c>
      <c r="C2369" t="s">
        <v>9</v>
      </c>
      <c r="D2369">
        <v>92</v>
      </c>
      <c r="E2369">
        <v>9</v>
      </c>
      <c r="F2369">
        <v>9.7799999999999994</v>
      </c>
      <c r="G2369">
        <v>47.41</v>
      </c>
      <c r="H2369">
        <v>4361.72</v>
      </c>
    </row>
    <row r="2370" spans="1:8" x14ac:dyDescent="0.35">
      <c r="A2370" t="s">
        <v>5</v>
      </c>
      <c r="B2370" t="s">
        <v>12</v>
      </c>
      <c r="C2370" t="s">
        <v>9</v>
      </c>
      <c r="D2370">
        <v>72</v>
      </c>
      <c r="E2370">
        <v>0</v>
      </c>
      <c r="F2370">
        <v>0</v>
      </c>
      <c r="G2370">
        <v>15.15</v>
      </c>
      <c r="H2370">
        <v>1090.8</v>
      </c>
    </row>
    <row r="2371" spans="1:8" x14ac:dyDescent="0.35">
      <c r="A2371" t="s">
        <v>6</v>
      </c>
      <c r="B2371" t="s">
        <v>12</v>
      </c>
      <c r="C2371" t="s">
        <v>9</v>
      </c>
      <c r="D2371">
        <v>146</v>
      </c>
      <c r="E2371">
        <v>10</v>
      </c>
      <c r="F2371">
        <v>6.85</v>
      </c>
      <c r="G2371">
        <v>35.909999999999997</v>
      </c>
      <c r="H2371">
        <v>5242.8599999999997</v>
      </c>
    </row>
    <row r="2372" spans="1:8" x14ac:dyDescent="0.35">
      <c r="A2372" t="s">
        <v>8</v>
      </c>
      <c r="B2372" t="s">
        <v>12</v>
      </c>
      <c r="C2372" t="s">
        <v>9</v>
      </c>
      <c r="D2372">
        <v>144</v>
      </c>
      <c r="E2372">
        <v>1</v>
      </c>
      <c r="F2372">
        <v>0.69</v>
      </c>
      <c r="G2372">
        <v>34.409999999999997</v>
      </c>
      <c r="H2372">
        <v>4955.04</v>
      </c>
    </row>
    <row r="2373" spans="1:8" x14ac:dyDescent="0.35">
      <c r="A2373" t="s">
        <v>8</v>
      </c>
      <c r="B2373" t="s">
        <v>12</v>
      </c>
      <c r="C2373" t="s">
        <v>9</v>
      </c>
      <c r="D2373">
        <v>260</v>
      </c>
      <c r="E2373">
        <v>24</v>
      </c>
      <c r="F2373">
        <v>9.23</v>
      </c>
      <c r="G2373">
        <v>12.07</v>
      </c>
      <c r="H2373">
        <v>3138.2</v>
      </c>
    </row>
    <row r="2374" spans="1:8" x14ac:dyDescent="0.35">
      <c r="A2374" t="s">
        <v>6</v>
      </c>
      <c r="B2374" t="s">
        <v>12</v>
      </c>
      <c r="C2374" t="s">
        <v>9</v>
      </c>
      <c r="D2374">
        <v>193</v>
      </c>
      <c r="E2374">
        <v>14</v>
      </c>
      <c r="F2374">
        <v>7.25</v>
      </c>
      <c r="G2374">
        <v>45.96</v>
      </c>
      <c r="H2374">
        <v>8870.2800000000007</v>
      </c>
    </row>
    <row r="2375" spans="1:8" x14ac:dyDescent="0.35">
      <c r="A2375" t="s">
        <v>7</v>
      </c>
      <c r="B2375" t="s">
        <v>12</v>
      </c>
      <c r="C2375" t="s">
        <v>9</v>
      </c>
      <c r="D2375">
        <v>297</v>
      </c>
      <c r="E2375">
        <v>5</v>
      </c>
      <c r="F2375">
        <v>1.68</v>
      </c>
      <c r="G2375">
        <v>7.09</v>
      </c>
      <c r="H2375">
        <v>2105.73</v>
      </c>
    </row>
    <row r="2376" spans="1:8" x14ac:dyDescent="0.35">
      <c r="A2376" t="s">
        <v>7</v>
      </c>
      <c r="B2376" t="s">
        <v>12</v>
      </c>
      <c r="C2376" t="s">
        <v>10</v>
      </c>
      <c r="D2376">
        <v>245</v>
      </c>
      <c r="E2376">
        <v>11</v>
      </c>
      <c r="F2376">
        <v>4.49</v>
      </c>
      <c r="G2376">
        <v>21.86</v>
      </c>
      <c r="H2376">
        <v>5355.7</v>
      </c>
    </row>
    <row r="2377" spans="1:8" x14ac:dyDescent="0.35">
      <c r="A2377" t="s">
        <v>7</v>
      </c>
      <c r="B2377" t="s">
        <v>12</v>
      </c>
      <c r="C2377" t="s">
        <v>9</v>
      </c>
      <c r="D2377">
        <v>218</v>
      </c>
      <c r="E2377">
        <v>21</v>
      </c>
      <c r="F2377">
        <v>9.6300000000000008</v>
      </c>
      <c r="G2377">
        <v>54.53</v>
      </c>
      <c r="H2377">
        <v>11887.54</v>
      </c>
    </row>
    <row r="2378" spans="1:8" x14ac:dyDescent="0.35">
      <c r="A2378" t="s">
        <v>6</v>
      </c>
      <c r="B2378" t="s">
        <v>12</v>
      </c>
      <c r="C2378" t="s">
        <v>9</v>
      </c>
      <c r="D2378">
        <v>178</v>
      </c>
      <c r="E2378">
        <v>0</v>
      </c>
      <c r="F2378">
        <v>0</v>
      </c>
      <c r="G2378">
        <v>9.86</v>
      </c>
      <c r="H2378">
        <v>1755.08</v>
      </c>
    </row>
    <row r="2379" spans="1:8" x14ac:dyDescent="0.35">
      <c r="A2379" t="s">
        <v>7</v>
      </c>
      <c r="B2379" t="s">
        <v>12</v>
      </c>
      <c r="C2379" t="s">
        <v>10</v>
      </c>
      <c r="D2379">
        <v>211</v>
      </c>
      <c r="E2379">
        <v>2</v>
      </c>
      <c r="F2379">
        <v>0.95</v>
      </c>
      <c r="G2379">
        <v>51.28</v>
      </c>
      <c r="H2379">
        <v>10820.08</v>
      </c>
    </row>
    <row r="2380" spans="1:8" x14ac:dyDescent="0.35">
      <c r="A2380" t="s">
        <v>7</v>
      </c>
      <c r="B2380" t="s">
        <v>12</v>
      </c>
      <c r="C2380" t="s">
        <v>9</v>
      </c>
      <c r="D2380">
        <v>74</v>
      </c>
      <c r="E2380">
        <v>4</v>
      </c>
      <c r="F2380">
        <v>5.41</v>
      </c>
      <c r="G2380">
        <v>10.06</v>
      </c>
      <c r="H2380">
        <v>744.44</v>
      </c>
    </row>
    <row r="2381" spans="1:8" x14ac:dyDescent="0.35">
      <c r="A2381" t="s">
        <v>7</v>
      </c>
      <c r="B2381" t="s">
        <v>12</v>
      </c>
      <c r="C2381" t="s">
        <v>10</v>
      </c>
      <c r="D2381">
        <v>52</v>
      </c>
      <c r="E2381">
        <v>5</v>
      </c>
      <c r="F2381">
        <v>9.6199999999999992</v>
      </c>
      <c r="G2381">
        <v>67.12</v>
      </c>
      <c r="H2381">
        <v>3490.24</v>
      </c>
    </row>
    <row r="2382" spans="1:8" x14ac:dyDescent="0.35">
      <c r="A2382" t="s">
        <v>7</v>
      </c>
      <c r="B2382" t="s">
        <v>12</v>
      </c>
      <c r="C2382" t="s">
        <v>9</v>
      </c>
      <c r="D2382">
        <v>144</v>
      </c>
      <c r="E2382">
        <v>7</v>
      </c>
      <c r="F2382">
        <v>4.8600000000000003</v>
      </c>
      <c r="G2382">
        <v>44.95</v>
      </c>
      <c r="H2382">
        <v>6472.8</v>
      </c>
    </row>
    <row r="2383" spans="1:8" x14ac:dyDescent="0.35">
      <c r="A2383" t="s">
        <v>6</v>
      </c>
      <c r="B2383" t="s">
        <v>12</v>
      </c>
      <c r="C2383" t="s">
        <v>11</v>
      </c>
      <c r="D2383">
        <v>292</v>
      </c>
      <c r="E2383">
        <v>1</v>
      </c>
      <c r="F2383">
        <v>0.34</v>
      </c>
      <c r="G2383">
        <v>69.709999999999994</v>
      </c>
      <c r="H2383">
        <v>20355.32</v>
      </c>
    </row>
    <row r="2384" spans="1:8" x14ac:dyDescent="0.35">
      <c r="A2384" t="s">
        <v>7</v>
      </c>
      <c r="B2384" t="s">
        <v>12</v>
      </c>
      <c r="C2384" t="s">
        <v>9</v>
      </c>
      <c r="D2384">
        <v>179</v>
      </c>
      <c r="E2384">
        <v>16</v>
      </c>
      <c r="F2384">
        <v>8.94</v>
      </c>
      <c r="G2384">
        <v>10.42</v>
      </c>
      <c r="H2384">
        <v>1865.18</v>
      </c>
    </row>
    <row r="2385" spans="1:8" x14ac:dyDescent="0.35">
      <c r="A2385" t="s">
        <v>7</v>
      </c>
      <c r="B2385" t="s">
        <v>12</v>
      </c>
      <c r="C2385" t="s">
        <v>9</v>
      </c>
      <c r="D2385">
        <v>263</v>
      </c>
      <c r="E2385">
        <v>21</v>
      </c>
      <c r="F2385">
        <v>7.98</v>
      </c>
      <c r="G2385">
        <v>47.43</v>
      </c>
      <c r="H2385">
        <v>12474.09</v>
      </c>
    </row>
    <row r="2386" spans="1:8" x14ac:dyDescent="0.35">
      <c r="A2386" t="s">
        <v>6</v>
      </c>
      <c r="B2386" t="s">
        <v>12</v>
      </c>
      <c r="C2386" t="s">
        <v>11</v>
      </c>
      <c r="D2386">
        <v>212</v>
      </c>
      <c r="E2386">
        <v>13</v>
      </c>
      <c r="F2386">
        <v>6.13</v>
      </c>
      <c r="G2386">
        <v>34.15</v>
      </c>
      <c r="H2386">
        <v>7239.8</v>
      </c>
    </row>
    <row r="2387" spans="1:8" x14ac:dyDescent="0.35">
      <c r="A2387" t="s">
        <v>6</v>
      </c>
      <c r="B2387" t="s">
        <v>12</v>
      </c>
      <c r="C2387" t="s">
        <v>11</v>
      </c>
      <c r="D2387">
        <v>142</v>
      </c>
      <c r="E2387">
        <v>4</v>
      </c>
      <c r="F2387">
        <v>2.82</v>
      </c>
      <c r="G2387">
        <v>54.88</v>
      </c>
      <c r="H2387">
        <v>7792.96</v>
      </c>
    </row>
    <row r="2388" spans="1:8" x14ac:dyDescent="0.35">
      <c r="A2388" t="s">
        <v>7</v>
      </c>
      <c r="B2388" t="s">
        <v>12</v>
      </c>
      <c r="C2388" t="s">
        <v>10</v>
      </c>
      <c r="D2388">
        <v>56</v>
      </c>
      <c r="E2388">
        <v>4</v>
      </c>
      <c r="F2388">
        <v>7.14</v>
      </c>
      <c r="G2388">
        <v>64.09</v>
      </c>
      <c r="H2388">
        <v>3589.04</v>
      </c>
    </row>
    <row r="2389" spans="1:8" x14ac:dyDescent="0.35">
      <c r="A2389" t="s">
        <v>6</v>
      </c>
      <c r="B2389" t="s">
        <v>12</v>
      </c>
      <c r="C2389" t="s">
        <v>9</v>
      </c>
      <c r="D2389">
        <v>224</v>
      </c>
      <c r="E2389">
        <v>12</v>
      </c>
      <c r="F2389">
        <v>5.36</v>
      </c>
      <c r="G2389">
        <v>53.58</v>
      </c>
      <c r="H2389">
        <v>12001.92</v>
      </c>
    </row>
    <row r="2390" spans="1:8" x14ac:dyDescent="0.35">
      <c r="A2390" t="s">
        <v>5</v>
      </c>
      <c r="B2390" t="s">
        <v>12</v>
      </c>
      <c r="C2390" t="s">
        <v>9</v>
      </c>
      <c r="D2390">
        <v>178</v>
      </c>
      <c r="E2390">
        <v>7</v>
      </c>
      <c r="F2390">
        <v>3.93</v>
      </c>
      <c r="G2390">
        <v>53.78</v>
      </c>
      <c r="H2390">
        <v>9572.84</v>
      </c>
    </row>
    <row r="2391" spans="1:8" x14ac:dyDescent="0.35">
      <c r="A2391" t="s">
        <v>5</v>
      </c>
      <c r="B2391" t="s">
        <v>12</v>
      </c>
      <c r="C2391" t="s">
        <v>9</v>
      </c>
      <c r="D2391">
        <v>219</v>
      </c>
      <c r="E2391">
        <v>5</v>
      </c>
      <c r="F2391">
        <v>2.2799999999999998</v>
      </c>
      <c r="G2391">
        <v>68.13</v>
      </c>
      <c r="H2391">
        <v>14920.47</v>
      </c>
    </row>
    <row r="2392" spans="1:8" x14ac:dyDescent="0.35">
      <c r="A2392" t="s">
        <v>7</v>
      </c>
      <c r="B2392" t="s">
        <v>12</v>
      </c>
      <c r="C2392" t="s">
        <v>10</v>
      </c>
      <c r="D2392">
        <v>261</v>
      </c>
      <c r="E2392">
        <v>15</v>
      </c>
      <c r="F2392">
        <v>5.75</v>
      </c>
      <c r="G2392">
        <v>16.46</v>
      </c>
      <c r="H2392">
        <v>4296.0600000000004</v>
      </c>
    </row>
    <row r="2393" spans="1:8" x14ac:dyDescent="0.35">
      <c r="A2393" t="s">
        <v>7</v>
      </c>
      <c r="B2393" t="s">
        <v>12</v>
      </c>
      <c r="C2393" t="s">
        <v>9</v>
      </c>
      <c r="D2393">
        <v>150</v>
      </c>
      <c r="E2393">
        <v>1</v>
      </c>
      <c r="F2393">
        <v>0.67</v>
      </c>
      <c r="G2393">
        <v>23.01</v>
      </c>
      <c r="H2393">
        <v>3451.5</v>
      </c>
    </row>
    <row r="2394" spans="1:8" x14ac:dyDescent="0.35">
      <c r="A2394" t="s">
        <v>6</v>
      </c>
      <c r="B2394" t="s">
        <v>12</v>
      </c>
      <c r="C2394" t="s">
        <v>11</v>
      </c>
      <c r="D2394">
        <v>140</v>
      </c>
      <c r="E2394">
        <v>11</v>
      </c>
      <c r="F2394">
        <v>7.86</v>
      </c>
      <c r="G2394">
        <v>41.84</v>
      </c>
      <c r="H2394">
        <v>5857.6</v>
      </c>
    </row>
    <row r="2395" spans="1:8" x14ac:dyDescent="0.35">
      <c r="A2395" t="s">
        <v>6</v>
      </c>
      <c r="B2395" t="s">
        <v>12</v>
      </c>
      <c r="C2395" t="s">
        <v>9</v>
      </c>
      <c r="D2395">
        <v>142</v>
      </c>
      <c r="E2395">
        <v>12</v>
      </c>
      <c r="F2395">
        <v>8.4499999999999993</v>
      </c>
      <c r="G2395">
        <v>29.41</v>
      </c>
      <c r="H2395">
        <v>4176.22</v>
      </c>
    </row>
    <row r="2396" spans="1:8" x14ac:dyDescent="0.35">
      <c r="A2396" t="s">
        <v>6</v>
      </c>
      <c r="B2396" t="s">
        <v>12</v>
      </c>
      <c r="C2396" t="s">
        <v>9</v>
      </c>
      <c r="D2396">
        <v>121</v>
      </c>
      <c r="E2396">
        <v>9</v>
      </c>
      <c r="F2396">
        <v>7.44</v>
      </c>
      <c r="G2396">
        <v>23.89</v>
      </c>
      <c r="H2396">
        <v>2890.69</v>
      </c>
    </row>
    <row r="2397" spans="1:8" x14ac:dyDescent="0.35">
      <c r="A2397" t="s">
        <v>6</v>
      </c>
      <c r="B2397" t="s">
        <v>12</v>
      </c>
      <c r="C2397" t="s">
        <v>11</v>
      </c>
      <c r="D2397">
        <v>125</v>
      </c>
      <c r="E2397">
        <v>8</v>
      </c>
      <c r="F2397">
        <v>6.4</v>
      </c>
      <c r="G2397">
        <v>13.56</v>
      </c>
      <c r="H2397">
        <v>1695</v>
      </c>
    </row>
    <row r="2398" spans="1:8" x14ac:dyDescent="0.35">
      <c r="A2398" t="s">
        <v>7</v>
      </c>
      <c r="B2398" t="s">
        <v>12</v>
      </c>
      <c r="C2398" t="s">
        <v>9</v>
      </c>
      <c r="D2398">
        <v>269</v>
      </c>
      <c r="E2398">
        <v>20</v>
      </c>
      <c r="F2398">
        <v>7.43</v>
      </c>
      <c r="G2398">
        <v>29.31</v>
      </c>
      <c r="H2398">
        <v>7884.39</v>
      </c>
    </row>
    <row r="2399" spans="1:8" x14ac:dyDescent="0.35">
      <c r="A2399" t="s">
        <v>5</v>
      </c>
      <c r="B2399" t="s">
        <v>12</v>
      </c>
      <c r="C2399" t="s">
        <v>9</v>
      </c>
      <c r="D2399">
        <v>77</v>
      </c>
      <c r="E2399">
        <v>2</v>
      </c>
      <c r="F2399">
        <v>2.6</v>
      </c>
      <c r="G2399">
        <v>8.4700000000000006</v>
      </c>
      <c r="H2399">
        <v>652.19000000000005</v>
      </c>
    </row>
    <row r="2400" spans="1:8" x14ac:dyDescent="0.35">
      <c r="A2400" t="s">
        <v>5</v>
      </c>
      <c r="B2400" t="s">
        <v>12</v>
      </c>
      <c r="C2400" t="s">
        <v>9</v>
      </c>
      <c r="D2400">
        <v>262</v>
      </c>
      <c r="E2400">
        <v>26</v>
      </c>
      <c r="F2400">
        <v>9.92</v>
      </c>
      <c r="G2400">
        <v>5.29</v>
      </c>
      <c r="H2400">
        <v>1385.98</v>
      </c>
    </row>
    <row r="2401" spans="1:8" x14ac:dyDescent="0.35">
      <c r="A2401" t="s">
        <v>6</v>
      </c>
      <c r="B2401" t="s">
        <v>12</v>
      </c>
      <c r="C2401" t="s">
        <v>9</v>
      </c>
      <c r="D2401">
        <v>123</v>
      </c>
      <c r="E2401">
        <v>9</v>
      </c>
      <c r="F2401">
        <v>7.32</v>
      </c>
      <c r="G2401">
        <v>26.65</v>
      </c>
      <c r="H2401">
        <v>3277.95</v>
      </c>
    </row>
    <row r="2402" spans="1:8" x14ac:dyDescent="0.35">
      <c r="A2402" t="s">
        <v>8</v>
      </c>
      <c r="B2402" t="s">
        <v>12</v>
      </c>
      <c r="C2402" t="s">
        <v>9</v>
      </c>
      <c r="D2402">
        <v>77</v>
      </c>
      <c r="E2402">
        <v>0</v>
      </c>
      <c r="F2402">
        <v>0</v>
      </c>
      <c r="G2402">
        <v>61.78</v>
      </c>
      <c r="H2402">
        <v>4757.0600000000004</v>
      </c>
    </row>
    <row r="2403" spans="1:8" x14ac:dyDescent="0.35">
      <c r="A2403" t="s">
        <v>6</v>
      </c>
      <c r="B2403" t="s">
        <v>12</v>
      </c>
      <c r="C2403" t="s">
        <v>11</v>
      </c>
      <c r="D2403">
        <v>178</v>
      </c>
      <c r="E2403">
        <v>4</v>
      </c>
      <c r="F2403">
        <v>2.25</v>
      </c>
      <c r="G2403">
        <v>11.8</v>
      </c>
      <c r="H2403">
        <v>2100.4</v>
      </c>
    </row>
    <row r="2404" spans="1:8" x14ac:dyDescent="0.35">
      <c r="A2404" t="s">
        <v>8</v>
      </c>
      <c r="B2404" t="s">
        <v>12</v>
      </c>
      <c r="C2404" t="s">
        <v>9</v>
      </c>
      <c r="D2404">
        <v>56</v>
      </c>
      <c r="E2404">
        <v>5</v>
      </c>
      <c r="F2404">
        <v>8.93</v>
      </c>
      <c r="G2404">
        <v>12.08</v>
      </c>
      <c r="H2404">
        <v>676.48</v>
      </c>
    </row>
    <row r="2405" spans="1:8" x14ac:dyDescent="0.35">
      <c r="A2405" t="s">
        <v>7</v>
      </c>
      <c r="B2405" t="s">
        <v>12</v>
      </c>
      <c r="C2405" t="s">
        <v>9</v>
      </c>
      <c r="D2405">
        <v>274</v>
      </c>
      <c r="E2405">
        <v>15</v>
      </c>
      <c r="F2405">
        <v>5.47</v>
      </c>
      <c r="G2405">
        <v>12.98</v>
      </c>
      <c r="H2405">
        <v>3556.52</v>
      </c>
    </row>
    <row r="2406" spans="1:8" x14ac:dyDescent="0.35">
      <c r="A2406" t="s">
        <v>6</v>
      </c>
      <c r="B2406" t="s">
        <v>12</v>
      </c>
      <c r="C2406" t="s">
        <v>9</v>
      </c>
      <c r="D2406">
        <v>214</v>
      </c>
      <c r="E2406">
        <v>4</v>
      </c>
      <c r="F2406">
        <v>1.87</v>
      </c>
      <c r="G2406">
        <v>10.050000000000001</v>
      </c>
      <c r="H2406">
        <v>2150.6999999999998</v>
      </c>
    </row>
    <row r="2407" spans="1:8" x14ac:dyDescent="0.35">
      <c r="A2407" t="s">
        <v>5</v>
      </c>
      <c r="B2407" t="s">
        <v>12</v>
      </c>
      <c r="C2407" t="s">
        <v>9</v>
      </c>
      <c r="D2407">
        <v>174</v>
      </c>
      <c r="E2407">
        <v>9</v>
      </c>
      <c r="F2407">
        <v>5.17</v>
      </c>
      <c r="G2407">
        <v>66.3</v>
      </c>
      <c r="H2407">
        <v>11536.2</v>
      </c>
    </row>
    <row r="2408" spans="1:8" x14ac:dyDescent="0.35">
      <c r="A2408" t="s">
        <v>7</v>
      </c>
      <c r="B2408" t="s">
        <v>12</v>
      </c>
      <c r="C2408" t="s">
        <v>9</v>
      </c>
      <c r="D2408">
        <v>225</v>
      </c>
      <c r="E2408">
        <v>20</v>
      </c>
      <c r="F2408">
        <v>8.89</v>
      </c>
      <c r="G2408">
        <v>37.33</v>
      </c>
      <c r="H2408">
        <v>8399.25</v>
      </c>
    </row>
    <row r="2409" spans="1:8" x14ac:dyDescent="0.35">
      <c r="A2409" t="s">
        <v>6</v>
      </c>
      <c r="B2409" t="s">
        <v>12</v>
      </c>
      <c r="C2409" t="s">
        <v>9</v>
      </c>
      <c r="D2409">
        <v>278</v>
      </c>
      <c r="E2409">
        <v>16</v>
      </c>
      <c r="F2409">
        <v>5.76</v>
      </c>
      <c r="G2409">
        <v>63.18</v>
      </c>
      <c r="H2409">
        <v>17564.04</v>
      </c>
    </row>
    <row r="2410" spans="1:8" x14ac:dyDescent="0.35">
      <c r="A2410" t="s">
        <v>8</v>
      </c>
      <c r="B2410" t="s">
        <v>12</v>
      </c>
      <c r="C2410" t="s">
        <v>9</v>
      </c>
      <c r="D2410">
        <v>130</v>
      </c>
      <c r="E2410">
        <v>11</v>
      </c>
      <c r="F2410">
        <v>8.4600000000000009</v>
      </c>
      <c r="G2410">
        <v>63.72</v>
      </c>
      <c r="H2410">
        <v>8283.6</v>
      </c>
    </row>
    <row r="2411" spans="1:8" x14ac:dyDescent="0.35">
      <c r="A2411" t="s">
        <v>7</v>
      </c>
      <c r="B2411" t="s">
        <v>12</v>
      </c>
      <c r="C2411" t="s">
        <v>9</v>
      </c>
      <c r="D2411">
        <v>100</v>
      </c>
      <c r="E2411">
        <v>4</v>
      </c>
      <c r="F2411">
        <v>4</v>
      </c>
      <c r="G2411">
        <v>52.07</v>
      </c>
      <c r="H2411">
        <v>5207</v>
      </c>
    </row>
    <row r="2412" spans="1:8" x14ac:dyDescent="0.35">
      <c r="A2412" t="s">
        <v>6</v>
      </c>
      <c r="B2412" t="s">
        <v>12</v>
      </c>
      <c r="C2412" t="s">
        <v>11</v>
      </c>
      <c r="D2412">
        <v>67</v>
      </c>
      <c r="E2412">
        <v>3</v>
      </c>
      <c r="F2412">
        <v>4.4800000000000004</v>
      </c>
      <c r="G2412">
        <v>67.34</v>
      </c>
      <c r="H2412">
        <v>4511.78</v>
      </c>
    </row>
    <row r="2413" spans="1:8" x14ac:dyDescent="0.35">
      <c r="A2413" t="s">
        <v>7</v>
      </c>
      <c r="B2413" t="s">
        <v>12</v>
      </c>
      <c r="C2413" t="s">
        <v>9</v>
      </c>
      <c r="D2413">
        <v>133</v>
      </c>
      <c r="E2413">
        <v>9</v>
      </c>
      <c r="F2413">
        <v>6.77</v>
      </c>
      <c r="G2413">
        <v>63.62</v>
      </c>
      <c r="H2413">
        <v>8461.4599999999991</v>
      </c>
    </row>
    <row r="2414" spans="1:8" x14ac:dyDescent="0.35">
      <c r="A2414" t="s">
        <v>8</v>
      </c>
      <c r="B2414" t="s">
        <v>12</v>
      </c>
      <c r="C2414" t="s">
        <v>9</v>
      </c>
      <c r="D2414">
        <v>218</v>
      </c>
      <c r="E2414">
        <v>9</v>
      </c>
      <c r="F2414">
        <v>4.13</v>
      </c>
      <c r="G2414">
        <v>36.11</v>
      </c>
      <c r="H2414">
        <v>7871.98</v>
      </c>
    </row>
    <row r="2415" spans="1:8" x14ac:dyDescent="0.35">
      <c r="A2415" t="s">
        <v>7</v>
      </c>
      <c r="B2415" t="s">
        <v>12</v>
      </c>
      <c r="C2415" t="s">
        <v>10</v>
      </c>
      <c r="D2415">
        <v>143</v>
      </c>
      <c r="E2415">
        <v>6</v>
      </c>
      <c r="F2415">
        <v>4.2</v>
      </c>
      <c r="G2415">
        <v>13.42</v>
      </c>
      <c r="H2415">
        <v>1919.06</v>
      </c>
    </row>
    <row r="2416" spans="1:8" x14ac:dyDescent="0.35">
      <c r="A2416" t="s">
        <v>7</v>
      </c>
      <c r="B2416" t="s">
        <v>12</v>
      </c>
      <c r="C2416" t="s">
        <v>9</v>
      </c>
      <c r="D2416">
        <v>227</v>
      </c>
      <c r="E2416">
        <v>14</v>
      </c>
      <c r="F2416">
        <v>6.17</v>
      </c>
      <c r="G2416">
        <v>42.3</v>
      </c>
      <c r="H2416">
        <v>9602.1</v>
      </c>
    </row>
    <row r="2417" spans="1:8" x14ac:dyDescent="0.35">
      <c r="A2417" t="s">
        <v>8</v>
      </c>
      <c r="B2417" t="s">
        <v>12</v>
      </c>
      <c r="C2417" t="s">
        <v>9</v>
      </c>
      <c r="D2417">
        <v>287</v>
      </c>
      <c r="E2417">
        <v>20</v>
      </c>
      <c r="F2417">
        <v>6.97</v>
      </c>
      <c r="G2417">
        <v>25.42</v>
      </c>
      <c r="H2417">
        <v>7295.54</v>
      </c>
    </row>
    <row r="2418" spans="1:8" x14ac:dyDescent="0.35">
      <c r="A2418" t="s">
        <v>7</v>
      </c>
      <c r="B2418" t="s">
        <v>12</v>
      </c>
      <c r="C2418" t="s">
        <v>9</v>
      </c>
      <c r="D2418">
        <v>84</v>
      </c>
      <c r="E2418">
        <v>8</v>
      </c>
      <c r="F2418">
        <v>9.52</v>
      </c>
      <c r="G2418">
        <v>37.729999999999997</v>
      </c>
      <c r="H2418">
        <v>3169.32</v>
      </c>
    </row>
    <row r="2419" spans="1:8" x14ac:dyDescent="0.35">
      <c r="A2419" t="s">
        <v>6</v>
      </c>
      <c r="B2419" t="s">
        <v>12</v>
      </c>
      <c r="C2419" t="s">
        <v>9</v>
      </c>
      <c r="D2419">
        <v>124</v>
      </c>
      <c r="E2419">
        <v>5</v>
      </c>
      <c r="F2419">
        <v>4.03</v>
      </c>
      <c r="G2419">
        <v>20.45</v>
      </c>
      <c r="H2419">
        <v>2535.8000000000002</v>
      </c>
    </row>
    <row r="2420" spans="1:8" x14ac:dyDescent="0.35">
      <c r="A2420" t="s">
        <v>8</v>
      </c>
      <c r="B2420" t="s">
        <v>12</v>
      </c>
      <c r="C2420" t="s">
        <v>9</v>
      </c>
      <c r="D2420">
        <v>175</v>
      </c>
      <c r="E2420">
        <v>1</v>
      </c>
      <c r="F2420">
        <v>0.56999999999999995</v>
      </c>
      <c r="G2420">
        <v>17.579999999999998</v>
      </c>
      <c r="H2420">
        <v>3076.5</v>
      </c>
    </row>
    <row r="2421" spans="1:8" x14ac:dyDescent="0.35">
      <c r="A2421" t="s">
        <v>7</v>
      </c>
      <c r="B2421" t="s">
        <v>12</v>
      </c>
      <c r="C2421" t="s">
        <v>10</v>
      </c>
      <c r="D2421">
        <v>184</v>
      </c>
      <c r="E2421">
        <v>1</v>
      </c>
      <c r="F2421">
        <v>0.54</v>
      </c>
      <c r="G2421">
        <v>23.16</v>
      </c>
      <c r="H2421">
        <v>4261.4399999999996</v>
      </c>
    </row>
    <row r="2422" spans="1:8" x14ac:dyDescent="0.35">
      <c r="A2422" t="s">
        <v>5</v>
      </c>
      <c r="B2422" t="s">
        <v>12</v>
      </c>
      <c r="C2422" t="s">
        <v>9</v>
      </c>
      <c r="D2422">
        <v>112</v>
      </c>
      <c r="E2422">
        <v>3</v>
      </c>
      <c r="F2422">
        <v>2.68</v>
      </c>
      <c r="G2422">
        <v>56.3</v>
      </c>
      <c r="H2422">
        <v>6305.6</v>
      </c>
    </row>
    <row r="2423" spans="1:8" x14ac:dyDescent="0.35">
      <c r="A2423" t="s">
        <v>5</v>
      </c>
      <c r="B2423" t="s">
        <v>12</v>
      </c>
      <c r="C2423" t="s">
        <v>9</v>
      </c>
      <c r="D2423">
        <v>61</v>
      </c>
      <c r="E2423">
        <v>4</v>
      </c>
      <c r="F2423">
        <v>6.56</v>
      </c>
      <c r="G2423">
        <v>55</v>
      </c>
      <c r="H2423">
        <v>3355</v>
      </c>
    </row>
    <row r="2424" spans="1:8" x14ac:dyDescent="0.35">
      <c r="A2424" t="s">
        <v>7</v>
      </c>
      <c r="B2424" t="s">
        <v>12</v>
      </c>
      <c r="C2424" t="s">
        <v>10</v>
      </c>
      <c r="D2424">
        <v>243</v>
      </c>
      <c r="E2424">
        <v>10</v>
      </c>
      <c r="F2424">
        <v>4.12</v>
      </c>
      <c r="G2424">
        <v>22.27</v>
      </c>
      <c r="H2424">
        <v>5411.61</v>
      </c>
    </row>
    <row r="2425" spans="1:8" x14ac:dyDescent="0.35">
      <c r="A2425" t="s">
        <v>7</v>
      </c>
      <c r="B2425" t="s">
        <v>12</v>
      </c>
      <c r="C2425" t="s">
        <v>9</v>
      </c>
      <c r="D2425">
        <v>202</v>
      </c>
      <c r="E2425">
        <v>14</v>
      </c>
      <c r="F2425">
        <v>6.93</v>
      </c>
      <c r="G2425">
        <v>8.77</v>
      </c>
      <c r="H2425">
        <v>1771.54</v>
      </c>
    </row>
    <row r="2426" spans="1:8" x14ac:dyDescent="0.35">
      <c r="A2426" t="s">
        <v>8</v>
      </c>
      <c r="B2426" t="s">
        <v>12</v>
      </c>
      <c r="C2426" t="s">
        <v>9</v>
      </c>
      <c r="D2426">
        <v>52</v>
      </c>
      <c r="E2426">
        <v>5</v>
      </c>
      <c r="F2426">
        <v>9.6199999999999992</v>
      </c>
      <c r="G2426">
        <v>53.01</v>
      </c>
      <c r="H2426">
        <v>2756.52</v>
      </c>
    </row>
    <row r="2427" spans="1:8" x14ac:dyDescent="0.35">
      <c r="A2427" t="s">
        <v>6</v>
      </c>
      <c r="B2427" t="s">
        <v>12</v>
      </c>
      <c r="C2427" t="s">
        <v>9</v>
      </c>
      <c r="D2427">
        <v>192</v>
      </c>
      <c r="E2427">
        <v>7</v>
      </c>
      <c r="F2427">
        <v>3.65</v>
      </c>
      <c r="G2427">
        <v>51.33</v>
      </c>
      <c r="H2427">
        <v>9855.36</v>
      </c>
    </row>
    <row r="2428" spans="1:8" x14ac:dyDescent="0.35">
      <c r="A2428" t="s">
        <v>6</v>
      </c>
      <c r="B2428" t="s">
        <v>12</v>
      </c>
      <c r="C2428" t="s">
        <v>11</v>
      </c>
      <c r="D2428">
        <v>153</v>
      </c>
      <c r="E2428">
        <v>13</v>
      </c>
      <c r="F2428">
        <v>8.5</v>
      </c>
      <c r="G2428">
        <v>68.260000000000005</v>
      </c>
      <c r="H2428">
        <v>10443.780000000001</v>
      </c>
    </row>
    <row r="2429" spans="1:8" x14ac:dyDescent="0.35">
      <c r="A2429" t="s">
        <v>5</v>
      </c>
      <c r="B2429" t="s">
        <v>12</v>
      </c>
      <c r="C2429" t="s">
        <v>9</v>
      </c>
      <c r="D2429">
        <v>279</v>
      </c>
      <c r="E2429">
        <v>3</v>
      </c>
      <c r="F2429">
        <v>1.08</v>
      </c>
      <c r="G2429">
        <v>16.05</v>
      </c>
      <c r="H2429">
        <v>4477.95</v>
      </c>
    </row>
    <row r="2430" spans="1:8" x14ac:dyDescent="0.35">
      <c r="A2430" t="s">
        <v>6</v>
      </c>
      <c r="B2430" t="s">
        <v>12</v>
      </c>
      <c r="C2430" t="s">
        <v>11</v>
      </c>
      <c r="D2430">
        <v>250</v>
      </c>
      <c r="E2430">
        <v>13</v>
      </c>
      <c r="F2430">
        <v>5.2</v>
      </c>
      <c r="G2430">
        <v>22.12</v>
      </c>
      <c r="H2430">
        <v>5530</v>
      </c>
    </row>
    <row r="2431" spans="1:8" x14ac:dyDescent="0.35">
      <c r="A2431" t="s">
        <v>8</v>
      </c>
      <c r="B2431" t="s">
        <v>12</v>
      </c>
      <c r="C2431" t="s">
        <v>9</v>
      </c>
      <c r="D2431">
        <v>99</v>
      </c>
      <c r="E2431">
        <v>1</v>
      </c>
      <c r="F2431">
        <v>1.01</v>
      </c>
      <c r="G2431">
        <v>22.07</v>
      </c>
      <c r="H2431">
        <v>2184.9299999999998</v>
      </c>
    </row>
    <row r="2432" spans="1:8" x14ac:dyDescent="0.35">
      <c r="A2432" t="s">
        <v>8</v>
      </c>
      <c r="B2432" t="s">
        <v>12</v>
      </c>
      <c r="C2432" t="s">
        <v>9</v>
      </c>
      <c r="D2432">
        <v>150</v>
      </c>
      <c r="E2432">
        <v>14</v>
      </c>
      <c r="F2432">
        <v>9.33</v>
      </c>
      <c r="G2432">
        <v>45.15</v>
      </c>
      <c r="H2432">
        <v>6772.5</v>
      </c>
    </row>
    <row r="2433" spans="1:8" x14ac:dyDescent="0.35">
      <c r="A2433" t="s">
        <v>8</v>
      </c>
      <c r="B2433" t="s">
        <v>12</v>
      </c>
      <c r="C2433" t="s">
        <v>9</v>
      </c>
      <c r="D2433">
        <v>262</v>
      </c>
      <c r="E2433">
        <v>3</v>
      </c>
      <c r="F2433">
        <v>1.1499999999999999</v>
      </c>
      <c r="G2433">
        <v>31.74</v>
      </c>
      <c r="H2433">
        <v>8315.8799999999992</v>
      </c>
    </row>
    <row r="2434" spans="1:8" x14ac:dyDescent="0.35">
      <c r="A2434" t="s">
        <v>8</v>
      </c>
      <c r="B2434" t="s">
        <v>12</v>
      </c>
      <c r="C2434" t="s">
        <v>9</v>
      </c>
      <c r="D2434">
        <v>269</v>
      </c>
      <c r="E2434">
        <v>26</v>
      </c>
      <c r="F2434">
        <v>9.67</v>
      </c>
      <c r="G2434">
        <v>47.94</v>
      </c>
      <c r="H2434">
        <v>12895.86</v>
      </c>
    </row>
    <row r="2435" spans="1:8" x14ac:dyDescent="0.35">
      <c r="A2435" t="s">
        <v>5</v>
      </c>
      <c r="B2435" t="s">
        <v>12</v>
      </c>
      <c r="C2435" t="s">
        <v>9</v>
      </c>
      <c r="D2435">
        <v>156</v>
      </c>
      <c r="E2435">
        <v>0</v>
      </c>
      <c r="F2435">
        <v>0</v>
      </c>
      <c r="G2435">
        <v>63.65</v>
      </c>
      <c r="H2435">
        <v>9929.4</v>
      </c>
    </row>
    <row r="2436" spans="1:8" x14ac:dyDescent="0.35">
      <c r="A2436" t="s">
        <v>6</v>
      </c>
      <c r="B2436" t="s">
        <v>12</v>
      </c>
      <c r="C2436" t="s">
        <v>11</v>
      </c>
      <c r="D2436">
        <v>123</v>
      </c>
      <c r="E2436">
        <v>7</v>
      </c>
      <c r="F2436">
        <v>5.69</v>
      </c>
      <c r="G2436">
        <v>50.23</v>
      </c>
      <c r="H2436">
        <v>6178.29</v>
      </c>
    </row>
    <row r="2437" spans="1:8" x14ac:dyDescent="0.35">
      <c r="A2437" t="s">
        <v>6</v>
      </c>
      <c r="B2437" t="s">
        <v>12</v>
      </c>
      <c r="C2437" t="s">
        <v>9</v>
      </c>
      <c r="D2437">
        <v>100</v>
      </c>
      <c r="E2437">
        <v>7</v>
      </c>
      <c r="F2437">
        <v>7</v>
      </c>
      <c r="G2437">
        <v>31.87</v>
      </c>
      <c r="H2437">
        <v>3187</v>
      </c>
    </row>
    <row r="2438" spans="1:8" x14ac:dyDescent="0.35">
      <c r="A2438" t="s">
        <v>6</v>
      </c>
      <c r="B2438" t="s">
        <v>12</v>
      </c>
      <c r="C2438" t="s">
        <v>9</v>
      </c>
      <c r="D2438">
        <v>161</v>
      </c>
      <c r="E2438">
        <v>5</v>
      </c>
      <c r="F2438">
        <v>3.11</v>
      </c>
      <c r="G2438">
        <v>64.83</v>
      </c>
      <c r="H2438">
        <v>10437.629999999999</v>
      </c>
    </row>
    <row r="2439" spans="1:8" x14ac:dyDescent="0.35">
      <c r="A2439" t="s">
        <v>7</v>
      </c>
      <c r="B2439" t="s">
        <v>12</v>
      </c>
      <c r="C2439" t="s">
        <v>9</v>
      </c>
      <c r="D2439">
        <v>283</v>
      </c>
      <c r="E2439">
        <v>13</v>
      </c>
      <c r="F2439">
        <v>4.59</v>
      </c>
      <c r="G2439">
        <v>16.61</v>
      </c>
      <c r="H2439">
        <v>4700.63</v>
      </c>
    </row>
    <row r="2440" spans="1:8" x14ac:dyDescent="0.35">
      <c r="A2440" t="s">
        <v>6</v>
      </c>
      <c r="B2440" t="s">
        <v>12</v>
      </c>
      <c r="C2440" t="s">
        <v>9</v>
      </c>
      <c r="D2440">
        <v>163</v>
      </c>
      <c r="E2440">
        <v>12</v>
      </c>
      <c r="F2440">
        <v>7.36</v>
      </c>
      <c r="G2440">
        <v>61</v>
      </c>
      <c r="H2440">
        <v>9943</v>
      </c>
    </row>
    <row r="2441" spans="1:8" x14ac:dyDescent="0.35">
      <c r="A2441" t="s">
        <v>5</v>
      </c>
      <c r="B2441" t="s">
        <v>12</v>
      </c>
      <c r="C2441" t="s">
        <v>9</v>
      </c>
      <c r="D2441">
        <v>206</v>
      </c>
      <c r="E2441">
        <v>11</v>
      </c>
      <c r="F2441">
        <v>5.34</v>
      </c>
      <c r="G2441">
        <v>16.36</v>
      </c>
      <c r="H2441">
        <v>3370.16</v>
      </c>
    </row>
    <row r="2442" spans="1:8" x14ac:dyDescent="0.35">
      <c r="A2442" t="s">
        <v>7</v>
      </c>
      <c r="B2442" t="s">
        <v>12</v>
      </c>
      <c r="C2442" t="s">
        <v>9</v>
      </c>
      <c r="D2442">
        <v>217</v>
      </c>
      <c r="E2442">
        <v>15</v>
      </c>
      <c r="F2442">
        <v>6.91</v>
      </c>
      <c r="G2442">
        <v>6.8</v>
      </c>
      <c r="H2442">
        <v>1475.6</v>
      </c>
    </row>
    <row r="2443" spans="1:8" x14ac:dyDescent="0.35">
      <c r="A2443" t="s">
        <v>7</v>
      </c>
      <c r="B2443" t="s">
        <v>12</v>
      </c>
      <c r="C2443" t="s">
        <v>9</v>
      </c>
      <c r="D2443">
        <v>181</v>
      </c>
      <c r="E2443">
        <v>12</v>
      </c>
      <c r="F2443">
        <v>6.63</v>
      </c>
      <c r="G2443">
        <v>54.03</v>
      </c>
      <c r="H2443">
        <v>9779.43</v>
      </c>
    </row>
    <row r="2444" spans="1:8" x14ac:dyDescent="0.35">
      <c r="A2444" t="s">
        <v>6</v>
      </c>
      <c r="B2444" t="s">
        <v>12</v>
      </c>
      <c r="C2444" t="s">
        <v>11</v>
      </c>
      <c r="D2444">
        <v>100</v>
      </c>
      <c r="E2444">
        <v>9</v>
      </c>
      <c r="F2444">
        <v>9</v>
      </c>
      <c r="G2444">
        <v>6.99</v>
      </c>
      <c r="H2444">
        <v>699</v>
      </c>
    </row>
    <row r="2445" spans="1:8" x14ac:dyDescent="0.35">
      <c r="A2445" t="s">
        <v>7</v>
      </c>
      <c r="B2445" t="s">
        <v>12</v>
      </c>
      <c r="C2445" t="s">
        <v>10</v>
      </c>
      <c r="D2445">
        <v>127</v>
      </c>
      <c r="E2445">
        <v>1</v>
      </c>
      <c r="F2445">
        <v>0.79</v>
      </c>
      <c r="G2445">
        <v>55.52</v>
      </c>
      <c r="H2445">
        <v>7051.04</v>
      </c>
    </row>
    <row r="2446" spans="1:8" x14ac:dyDescent="0.35">
      <c r="A2446" t="s">
        <v>8</v>
      </c>
      <c r="B2446" t="s">
        <v>12</v>
      </c>
      <c r="C2446" t="s">
        <v>9</v>
      </c>
      <c r="D2446">
        <v>289</v>
      </c>
      <c r="E2446">
        <v>13</v>
      </c>
      <c r="F2446">
        <v>4.5</v>
      </c>
      <c r="G2446">
        <v>67.25</v>
      </c>
      <c r="H2446">
        <v>19435.25</v>
      </c>
    </row>
    <row r="2447" spans="1:8" x14ac:dyDescent="0.35">
      <c r="A2447" t="s">
        <v>6</v>
      </c>
      <c r="B2447" t="s">
        <v>12</v>
      </c>
      <c r="C2447" t="s">
        <v>11</v>
      </c>
      <c r="D2447">
        <v>153</v>
      </c>
      <c r="E2447">
        <v>15</v>
      </c>
      <c r="F2447">
        <v>9.8000000000000007</v>
      </c>
      <c r="G2447">
        <v>16.62</v>
      </c>
      <c r="H2447">
        <v>2542.86</v>
      </c>
    </row>
    <row r="2448" spans="1:8" x14ac:dyDescent="0.35">
      <c r="A2448" t="s">
        <v>5</v>
      </c>
      <c r="B2448" t="s">
        <v>12</v>
      </c>
      <c r="C2448" t="s">
        <v>9</v>
      </c>
      <c r="D2448">
        <v>194</v>
      </c>
      <c r="E2448">
        <v>9</v>
      </c>
      <c r="F2448">
        <v>4.6399999999999997</v>
      </c>
      <c r="G2448">
        <v>6.61</v>
      </c>
      <c r="H2448">
        <v>1282.3399999999999</v>
      </c>
    </row>
    <row r="2449" spans="1:8" x14ac:dyDescent="0.35">
      <c r="A2449" t="s">
        <v>8</v>
      </c>
      <c r="B2449" t="s">
        <v>12</v>
      </c>
      <c r="C2449" t="s">
        <v>9</v>
      </c>
      <c r="D2449">
        <v>177</v>
      </c>
      <c r="E2449">
        <v>4</v>
      </c>
      <c r="F2449">
        <v>2.2599999999999998</v>
      </c>
      <c r="G2449">
        <v>53.14</v>
      </c>
      <c r="H2449">
        <v>9405.7800000000007</v>
      </c>
    </row>
    <row r="2450" spans="1:8" x14ac:dyDescent="0.35">
      <c r="A2450" t="s">
        <v>5</v>
      </c>
      <c r="B2450" t="s">
        <v>12</v>
      </c>
      <c r="C2450" t="s">
        <v>9</v>
      </c>
      <c r="D2450">
        <v>275</v>
      </c>
      <c r="E2450">
        <v>12</v>
      </c>
      <c r="F2450">
        <v>4.3600000000000003</v>
      </c>
      <c r="G2450">
        <v>9.48</v>
      </c>
      <c r="H2450">
        <v>2607</v>
      </c>
    </row>
    <row r="2451" spans="1:8" x14ac:dyDescent="0.35">
      <c r="A2451" t="s">
        <v>5</v>
      </c>
      <c r="B2451" t="s">
        <v>12</v>
      </c>
      <c r="C2451" t="s">
        <v>9</v>
      </c>
      <c r="D2451">
        <v>68</v>
      </c>
      <c r="E2451">
        <v>4</v>
      </c>
      <c r="F2451">
        <v>5.88</v>
      </c>
      <c r="G2451">
        <v>34.15</v>
      </c>
      <c r="H2451">
        <v>2322.1999999999998</v>
      </c>
    </row>
    <row r="2452" spans="1:8" x14ac:dyDescent="0.35">
      <c r="A2452" t="s">
        <v>6</v>
      </c>
      <c r="B2452" t="s">
        <v>12</v>
      </c>
      <c r="C2452" t="s">
        <v>9</v>
      </c>
      <c r="D2452">
        <v>179</v>
      </c>
      <c r="E2452">
        <v>16</v>
      </c>
      <c r="F2452">
        <v>8.94</v>
      </c>
      <c r="G2452">
        <v>12.56</v>
      </c>
      <c r="H2452">
        <v>2248.2399999999998</v>
      </c>
    </row>
    <row r="2453" spans="1:8" x14ac:dyDescent="0.35">
      <c r="A2453" t="s">
        <v>6</v>
      </c>
      <c r="B2453" t="s">
        <v>12</v>
      </c>
      <c r="C2453" t="s">
        <v>11</v>
      </c>
      <c r="D2453">
        <v>112</v>
      </c>
      <c r="E2453">
        <v>0</v>
      </c>
      <c r="F2453">
        <v>0</v>
      </c>
      <c r="G2453">
        <v>67.81</v>
      </c>
      <c r="H2453">
        <v>7594.72</v>
      </c>
    </row>
    <row r="2454" spans="1:8" x14ac:dyDescent="0.35">
      <c r="A2454" t="s">
        <v>7</v>
      </c>
      <c r="B2454" t="s">
        <v>12</v>
      </c>
      <c r="C2454" t="s">
        <v>9</v>
      </c>
      <c r="D2454">
        <v>154</v>
      </c>
      <c r="E2454">
        <v>2</v>
      </c>
      <c r="F2454">
        <v>1.3</v>
      </c>
      <c r="G2454">
        <v>56.58</v>
      </c>
      <c r="H2454">
        <v>8713.32</v>
      </c>
    </row>
    <row r="2455" spans="1:8" x14ac:dyDescent="0.35">
      <c r="A2455" t="s">
        <v>5</v>
      </c>
      <c r="B2455" t="s">
        <v>12</v>
      </c>
      <c r="C2455" t="s">
        <v>9</v>
      </c>
      <c r="D2455">
        <v>134</v>
      </c>
      <c r="E2455">
        <v>1</v>
      </c>
      <c r="F2455">
        <v>0.75</v>
      </c>
      <c r="G2455">
        <v>23.38</v>
      </c>
      <c r="H2455">
        <v>3132.92</v>
      </c>
    </row>
    <row r="2456" spans="1:8" x14ac:dyDescent="0.35">
      <c r="A2456" t="s">
        <v>5</v>
      </c>
      <c r="B2456" t="s">
        <v>12</v>
      </c>
      <c r="C2456" t="s">
        <v>9</v>
      </c>
      <c r="D2456">
        <v>191</v>
      </c>
      <c r="E2456">
        <v>7</v>
      </c>
      <c r="F2456">
        <v>3.66</v>
      </c>
      <c r="G2456">
        <v>51.96</v>
      </c>
      <c r="H2456">
        <v>9924.36</v>
      </c>
    </row>
    <row r="2457" spans="1:8" x14ac:dyDescent="0.35">
      <c r="A2457" t="s">
        <v>7</v>
      </c>
      <c r="B2457" t="s">
        <v>12</v>
      </c>
      <c r="C2457" t="s">
        <v>9</v>
      </c>
      <c r="D2457">
        <v>67</v>
      </c>
      <c r="E2457">
        <v>6</v>
      </c>
      <c r="F2457">
        <v>8.9600000000000009</v>
      </c>
      <c r="G2457">
        <v>31.75</v>
      </c>
      <c r="H2457">
        <v>2127.25</v>
      </c>
    </row>
    <row r="2458" spans="1:8" x14ac:dyDescent="0.35">
      <c r="A2458" t="s">
        <v>5</v>
      </c>
      <c r="B2458" t="s">
        <v>12</v>
      </c>
      <c r="C2458" t="s">
        <v>9</v>
      </c>
      <c r="D2458">
        <v>179</v>
      </c>
      <c r="E2458">
        <v>6</v>
      </c>
      <c r="F2458">
        <v>3.35</v>
      </c>
      <c r="G2458">
        <v>13.1</v>
      </c>
      <c r="H2458">
        <v>2344.9</v>
      </c>
    </row>
    <row r="2459" spans="1:8" x14ac:dyDescent="0.35">
      <c r="A2459" t="s">
        <v>7</v>
      </c>
      <c r="B2459" t="s">
        <v>12</v>
      </c>
      <c r="C2459" t="s">
        <v>9</v>
      </c>
      <c r="D2459">
        <v>127</v>
      </c>
      <c r="E2459">
        <v>0</v>
      </c>
      <c r="F2459">
        <v>0</v>
      </c>
      <c r="G2459">
        <v>19.29</v>
      </c>
      <c r="H2459">
        <v>2449.83</v>
      </c>
    </row>
    <row r="2460" spans="1:8" x14ac:dyDescent="0.35">
      <c r="A2460" t="s">
        <v>7</v>
      </c>
      <c r="B2460" t="s">
        <v>12</v>
      </c>
      <c r="C2460" t="s">
        <v>9</v>
      </c>
      <c r="D2460">
        <v>260</v>
      </c>
      <c r="E2460">
        <v>9</v>
      </c>
      <c r="F2460">
        <v>3.46</v>
      </c>
      <c r="G2460">
        <v>30.71</v>
      </c>
      <c r="H2460">
        <v>7984.6</v>
      </c>
    </row>
    <row r="2461" spans="1:8" x14ac:dyDescent="0.35">
      <c r="A2461" t="s">
        <v>6</v>
      </c>
      <c r="B2461" t="s">
        <v>12</v>
      </c>
      <c r="C2461" t="s">
        <v>9</v>
      </c>
      <c r="D2461">
        <v>179</v>
      </c>
      <c r="E2461">
        <v>16</v>
      </c>
      <c r="F2461">
        <v>8.94</v>
      </c>
      <c r="G2461">
        <v>39.869999999999997</v>
      </c>
      <c r="H2461">
        <v>7136.73</v>
      </c>
    </row>
    <row r="2462" spans="1:8" x14ac:dyDescent="0.35">
      <c r="A2462" t="s">
        <v>8</v>
      </c>
      <c r="B2462" t="s">
        <v>12</v>
      </c>
      <c r="C2462" t="s">
        <v>9</v>
      </c>
      <c r="D2462">
        <v>277</v>
      </c>
      <c r="E2462">
        <v>20</v>
      </c>
      <c r="F2462">
        <v>7.22</v>
      </c>
      <c r="G2462">
        <v>23.59</v>
      </c>
      <c r="H2462">
        <v>6534.43</v>
      </c>
    </row>
    <row r="2463" spans="1:8" x14ac:dyDescent="0.35">
      <c r="A2463" t="s">
        <v>7</v>
      </c>
      <c r="B2463" t="s">
        <v>12</v>
      </c>
      <c r="C2463" t="s">
        <v>9</v>
      </c>
      <c r="D2463">
        <v>185</v>
      </c>
      <c r="E2463">
        <v>2</v>
      </c>
      <c r="F2463">
        <v>1.08</v>
      </c>
      <c r="G2463">
        <v>31.83</v>
      </c>
      <c r="H2463">
        <v>5888.55</v>
      </c>
    </row>
    <row r="2464" spans="1:8" x14ac:dyDescent="0.35">
      <c r="A2464" t="s">
        <v>6</v>
      </c>
      <c r="B2464" t="s">
        <v>12</v>
      </c>
      <c r="C2464" t="s">
        <v>11</v>
      </c>
      <c r="D2464">
        <v>61</v>
      </c>
      <c r="E2464">
        <v>1</v>
      </c>
      <c r="F2464">
        <v>1.64</v>
      </c>
      <c r="G2464">
        <v>29.01</v>
      </c>
      <c r="H2464">
        <v>1769.61</v>
      </c>
    </row>
    <row r="2465" spans="1:8" x14ac:dyDescent="0.35">
      <c r="A2465" t="s">
        <v>7</v>
      </c>
      <c r="B2465" t="s">
        <v>12</v>
      </c>
      <c r="C2465" t="s">
        <v>10</v>
      </c>
      <c r="D2465">
        <v>207</v>
      </c>
      <c r="E2465">
        <v>10</v>
      </c>
      <c r="F2465">
        <v>4.83</v>
      </c>
      <c r="G2465">
        <v>54.97</v>
      </c>
      <c r="H2465">
        <v>11378.79</v>
      </c>
    </row>
    <row r="2466" spans="1:8" x14ac:dyDescent="0.35">
      <c r="A2466" t="s">
        <v>6</v>
      </c>
      <c r="B2466" t="s">
        <v>12</v>
      </c>
      <c r="C2466" t="s">
        <v>9</v>
      </c>
      <c r="D2466">
        <v>252</v>
      </c>
      <c r="E2466">
        <v>5</v>
      </c>
      <c r="F2466">
        <v>1.98</v>
      </c>
      <c r="G2466">
        <v>48.36</v>
      </c>
      <c r="H2466">
        <v>12186.72</v>
      </c>
    </row>
    <row r="2467" spans="1:8" x14ac:dyDescent="0.35">
      <c r="A2467" t="s">
        <v>6</v>
      </c>
      <c r="B2467" t="s">
        <v>12</v>
      </c>
      <c r="C2467" t="s">
        <v>11</v>
      </c>
      <c r="D2467">
        <v>141</v>
      </c>
      <c r="E2467">
        <v>4</v>
      </c>
      <c r="F2467">
        <v>2.84</v>
      </c>
      <c r="G2467">
        <v>30.38</v>
      </c>
      <c r="H2467">
        <v>4283.58</v>
      </c>
    </row>
    <row r="2468" spans="1:8" x14ac:dyDescent="0.35">
      <c r="A2468" t="s">
        <v>6</v>
      </c>
      <c r="B2468" t="s">
        <v>12</v>
      </c>
      <c r="C2468" t="s">
        <v>11</v>
      </c>
      <c r="D2468">
        <v>271</v>
      </c>
      <c r="E2468">
        <v>25</v>
      </c>
      <c r="F2468">
        <v>9.23</v>
      </c>
      <c r="G2468">
        <v>10.76</v>
      </c>
      <c r="H2468">
        <v>2915.96</v>
      </c>
    </row>
    <row r="2469" spans="1:8" x14ac:dyDescent="0.35">
      <c r="A2469" t="s">
        <v>5</v>
      </c>
      <c r="B2469" t="s">
        <v>12</v>
      </c>
      <c r="C2469" t="s">
        <v>9</v>
      </c>
      <c r="D2469">
        <v>191</v>
      </c>
      <c r="E2469">
        <v>3</v>
      </c>
      <c r="F2469">
        <v>1.57</v>
      </c>
      <c r="G2469">
        <v>59.91</v>
      </c>
      <c r="H2469">
        <v>11442.81</v>
      </c>
    </row>
    <row r="2470" spans="1:8" x14ac:dyDescent="0.35">
      <c r="A2470" t="s">
        <v>7</v>
      </c>
      <c r="B2470" t="s">
        <v>12</v>
      </c>
      <c r="C2470" t="s">
        <v>10</v>
      </c>
      <c r="D2470">
        <v>139</v>
      </c>
      <c r="E2470">
        <v>4</v>
      </c>
      <c r="F2470">
        <v>2.88</v>
      </c>
      <c r="G2470">
        <v>10.199999999999999</v>
      </c>
      <c r="H2470">
        <v>1417.8</v>
      </c>
    </row>
    <row r="2471" spans="1:8" x14ac:dyDescent="0.35">
      <c r="A2471" t="s">
        <v>7</v>
      </c>
      <c r="B2471" t="s">
        <v>12</v>
      </c>
      <c r="C2471" t="s">
        <v>10</v>
      </c>
      <c r="D2471">
        <v>285</v>
      </c>
      <c r="E2471">
        <v>11</v>
      </c>
      <c r="F2471">
        <v>3.86</v>
      </c>
      <c r="G2471">
        <v>49.67</v>
      </c>
      <c r="H2471">
        <v>14155.95</v>
      </c>
    </row>
    <row r="2472" spans="1:8" x14ac:dyDescent="0.35">
      <c r="A2472" t="s">
        <v>5</v>
      </c>
      <c r="B2472" t="s">
        <v>12</v>
      </c>
      <c r="C2472" t="s">
        <v>9</v>
      </c>
      <c r="D2472">
        <v>205</v>
      </c>
      <c r="E2472">
        <v>11</v>
      </c>
      <c r="F2472">
        <v>5.37</v>
      </c>
      <c r="G2472">
        <v>50.05</v>
      </c>
      <c r="H2472">
        <v>10260.25</v>
      </c>
    </row>
    <row r="2473" spans="1:8" x14ac:dyDescent="0.35">
      <c r="A2473" t="s">
        <v>7</v>
      </c>
      <c r="B2473" t="s">
        <v>12</v>
      </c>
      <c r="C2473" t="s">
        <v>10</v>
      </c>
      <c r="D2473">
        <v>260</v>
      </c>
      <c r="E2473">
        <v>4</v>
      </c>
      <c r="F2473">
        <v>1.54</v>
      </c>
      <c r="G2473">
        <v>47.12</v>
      </c>
      <c r="H2473">
        <v>12251.2</v>
      </c>
    </row>
    <row r="2474" spans="1:8" x14ac:dyDescent="0.35">
      <c r="A2474" t="s">
        <v>7</v>
      </c>
      <c r="B2474" t="s">
        <v>12</v>
      </c>
      <c r="C2474" t="s">
        <v>9</v>
      </c>
      <c r="D2474">
        <v>95</v>
      </c>
      <c r="E2474">
        <v>8</v>
      </c>
      <c r="F2474">
        <v>8.42</v>
      </c>
      <c r="G2474">
        <v>62.52</v>
      </c>
      <c r="H2474">
        <v>5939.4</v>
      </c>
    </row>
    <row r="2475" spans="1:8" x14ac:dyDescent="0.35">
      <c r="A2475" t="s">
        <v>7</v>
      </c>
      <c r="B2475" t="s">
        <v>12</v>
      </c>
      <c r="C2475" t="s">
        <v>10</v>
      </c>
      <c r="D2475">
        <v>90</v>
      </c>
      <c r="E2475">
        <v>4</v>
      </c>
      <c r="F2475">
        <v>4.4400000000000004</v>
      </c>
      <c r="G2475">
        <v>70</v>
      </c>
      <c r="H2475">
        <v>6300</v>
      </c>
    </row>
    <row r="2476" spans="1:8" x14ac:dyDescent="0.35">
      <c r="A2476" t="s">
        <v>5</v>
      </c>
      <c r="B2476" t="s">
        <v>12</v>
      </c>
      <c r="C2476" t="s">
        <v>9</v>
      </c>
      <c r="D2476">
        <v>276</v>
      </c>
      <c r="E2476">
        <v>22</v>
      </c>
      <c r="F2476">
        <v>7.97</v>
      </c>
      <c r="G2476">
        <v>29.66</v>
      </c>
      <c r="H2476">
        <v>8186.16</v>
      </c>
    </row>
    <row r="2477" spans="1:8" x14ac:dyDescent="0.35">
      <c r="A2477" t="s">
        <v>6</v>
      </c>
      <c r="B2477" t="s">
        <v>12</v>
      </c>
      <c r="C2477" t="s">
        <v>9</v>
      </c>
      <c r="D2477">
        <v>187</v>
      </c>
      <c r="E2477">
        <v>3</v>
      </c>
      <c r="F2477">
        <v>1.6</v>
      </c>
      <c r="G2477">
        <v>24.26</v>
      </c>
      <c r="H2477">
        <v>4536.62</v>
      </c>
    </row>
    <row r="2478" spans="1:8" x14ac:dyDescent="0.35">
      <c r="A2478" t="s">
        <v>6</v>
      </c>
      <c r="B2478" t="s">
        <v>12</v>
      </c>
      <c r="C2478" t="s">
        <v>11</v>
      </c>
      <c r="D2478">
        <v>74</v>
      </c>
      <c r="E2478">
        <v>7</v>
      </c>
      <c r="F2478">
        <v>9.4600000000000009</v>
      </c>
      <c r="G2478">
        <v>13.95</v>
      </c>
      <c r="H2478">
        <v>1032.3</v>
      </c>
    </row>
    <row r="2479" spans="1:8" x14ac:dyDescent="0.35">
      <c r="A2479" t="s">
        <v>5</v>
      </c>
      <c r="B2479" t="s">
        <v>12</v>
      </c>
      <c r="C2479" t="s">
        <v>9</v>
      </c>
      <c r="D2479">
        <v>179</v>
      </c>
      <c r="E2479">
        <v>5</v>
      </c>
      <c r="F2479">
        <v>2.79</v>
      </c>
      <c r="G2479">
        <v>53.7</v>
      </c>
      <c r="H2479">
        <v>9612.2999999999993</v>
      </c>
    </row>
    <row r="2480" spans="1:8" x14ac:dyDescent="0.35">
      <c r="A2480" t="s">
        <v>5</v>
      </c>
      <c r="B2480" t="s">
        <v>12</v>
      </c>
      <c r="C2480" t="s">
        <v>9</v>
      </c>
      <c r="D2480">
        <v>299</v>
      </c>
      <c r="E2480">
        <v>4</v>
      </c>
      <c r="F2480">
        <v>1.34</v>
      </c>
      <c r="G2480">
        <v>34.159999999999997</v>
      </c>
      <c r="H2480">
        <v>10213.84</v>
      </c>
    </row>
    <row r="2481" spans="1:8" x14ac:dyDescent="0.35">
      <c r="A2481" t="s">
        <v>8</v>
      </c>
      <c r="B2481" t="s">
        <v>12</v>
      </c>
      <c r="C2481" t="s">
        <v>9</v>
      </c>
      <c r="D2481">
        <v>245</v>
      </c>
      <c r="E2481">
        <v>8</v>
      </c>
      <c r="F2481">
        <v>3.27</v>
      </c>
      <c r="G2481">
        <v>36.340000000000003</v>
      </c>
      <c r="H2481">
        <v>8903.2999999999993</v>
      </c>
    </row>
    <row r="2482" spans="1:8" x14ac:dyDescent="0.35">
      <c r="A2482" t="s">
        <v>7</v>
      </c>
      <c r="B2482" t="s">
        <v>12</v>
      </c>
      <c r="C2482" t="s">
        <v>10</v>
      </c>
      <c r="D2482">
        <v>245</v>
      </c>
      <c r="E2482">
        <v>16</v>
      </c>
      <c r="F2482">
        <v>6.53</v>
      </c>
      <c r="G2482">
        <v>51.73</v>
      </c>
      <c r="H2482">
        <v>12673.85</v>
      </c>
    </row>
    <row r="2483" spans="1:8" x14ac:dyDescent="0.35">
      <c r="A2483" t="s">
        <v>5</v>
      </c>
      <c r="B2483" t="s">
        <v>12</v>
      </c>
      <c r="C2483" t="s">
        <v>9</v>
      </c>
      <c r="D2483">
        <v>185</v>
      </c>
      <c r="E2483">
        <v>4</v>
      </c>
      <c r="F2483">
        <v>2.16</v>
      </c>
      <c r="G2483">
        <v>55.92</v>
      </c>
      <c r="H2483">
        <v>10345.200000000001</v>
      </c>
    </row>
    <row r="2484" spans="1:8" x14ac:dyDescent="0.35">
      <c r="A2484" t="s">
        <v>7</v>
      </c>
      <c r="B2484" t="s">
        <v>12</v>
      </c>
      <c r="C2484" t="s">
        <v>10</v>
      </c>
      <c r="D2484">
        <v>58</v>
      </c>
      <c r="E2484">
        <v>2</v>
      </c>
      <c r="F2484">
        <v>3.45</v>
      </c>
      <c r="G2484">
        <v>59.93</v>
      </c>
      <c r="H2484">
        <v>3475.94</v>
      </c>
    </row>
    <row r="2485" spans="1:8" x14ac:dyDescent="0.35">
      <c r="A2485" t="s">
        <v>6</v>
      </c>
      <c r="B2485" t="s">
        <v>12</v>
      </c>
      <c r="C2485" t="s">
        <v>9</v>
      </c>
      <c r="D2485">
        <v>182</v>
      </c>
      <c r="E2485">
        <v>11</v>
      </c>
      <c r="F2485">
        <v>6.04</v>
      </c>
      <c r="G2485">
        <v>36.94</v>
      </c>
      <c r="H2485">
        <v>6723.08</v>
      </c>
    </row>
    <row r="2486" spans="1:8" x14ac:dyDescent="0.35">
      <c r="A2486" t="s">
        <v>7</v>
      </c>
      <c r="B2486" t="s">
        <v>12</v>
      </c>
      <c r="C2486" t="s">
        <v>9</v>
      </c>
      <c r="D2486">
        <v>268</v>
      </c>
      <c r="E2486">
        <v>13</v>
      </c>
      <c r="F2486">
        <v>4.8499999999999996</v>
      </c>
      <c r="G2486">
        <v>48.93</v>
      </c>
      <c r="H2486">
        <v>13113.24</v>
      </c>
    </row>
    <row r="2487" spans="1:8" x14ac:dyDescent="0.35">
      <c r="A2487" t="s">
        <v>6</v>
      </c>
      <c r="B2487" t="s">
        <v>12</v>
      </c>
      <c r="C2487" t="s">
        <v>9</v>
      </c>
      <c r="D2487">
        <v>295</v>
      </c>
      <c r="E2487">
        <v>12</v>
      </c>
      <c r="F2487">
        <v>4.07</v>
      </c>
      <c r="G2487">
        <v>46.4</v>
      </c>
      <c r="H2487">
        <v>13688</v>
      </c>
    </row>
    <row r="2488" spans="1:8" x14ac:dyDescent="0.35">
      <c r="A2488" t="s">
        <v>7</v>
      </c>
      <c r="B2488" t="s">
        <v>12</v>
      </c>
      <c r="C2488" t="s">
        <v>10</v>
      </c>
      <c r="D2488">
        <v>223</v>
      </c>
      <c r="E2488">
        <v>21</v>
      </c>
      <c r="F2488">
        <v>9.42</v>
      </c>
      <c r="G2488">
        <v>17.010000000000002</v>
      </c>
      <c r="H2488">
        <v>3793.23</v>
      </c>
    </row>
    <row r="2489" spans="1:8" x14ac:dyDescent="0.35">
      <c r="A2489" t="s">
        <v>7</v>
      </c>
      <c r="B2489" t="s">
        <v>12</v>
      </c>
      <c r="C2489" t="s">
        <v>9</v>
      </c>
      <c r="D2489">
        <v>219</v>
      </c>
      <c r="E2489">
        <v>18</v>
      </c>
      <c r="F2489">
        <v>8.2200000000000006</v>
      </c>
      <c r="G2489">
        <v>5.32</v>
      </c>
      <c r="H2489">
        <v>1165.08</v>
      </c>
    </row>
    <row r="2490" spans="1:8" x14ac:dyDescent="0.35">
      <c r="A2490" t="s">
        <v>7</v>
      </c>
      <c r="B2490" t="s">
        <v>12</v>
      </c>
      <c r="C2490" t="s">
        <v>9</v>
      </c>
      <c r="D2490">
        <v>51</v>
      </c>
      <c r="E2490">
        <v>2</v>
      </c>
      <c r="F2490">
        <v>3.92</v>
      </c>
      <c r="G2490">
        <v>13.54</v>
      </c>
      <c r="H2490">
        <v>690.54</v>
      </c>
    </row>
    <row r="2491" spans="1:8" x14ac:dyDescent="0.35">
      <c r="A2491" t="s">
        <v>7</v>
      </c>
      <c r="B2491" t="s">
        <v>12</v>
      </c>
      <c r="C2491" t="s">
        <v>10</v>
      </c>
      <c r="D2491">
        <v>268</v>
      </c>
      <c r="E2491">
        <v>10</v>
      </c>
      <c r="F2491">
        <v>3.73</v>
      </c>
      <c r="G2491">
        <v>66.569999999999993</v>
      </c>
      <c r="H2491">
        <v>17840.759999999998</v>
      </c>
    </row>
    <row r="2492" spans="1:8" x14ac:dyDescent="0.35">
      <c r="A2492" t="s">
        <v>5</v>
      </c>
      <c r="B2492" t="s">
        <v>12</v>
      </c>
      <c r="C2492" t="s">
        <v>9</v>
      </c>
      <c r="D2492">
        <v>266</v>
      </c>
      <c r="E2492">
        <v>18</v>
      </c>
      <c r="F2492">
        <v>6.77</v>
      </c>
      <c r="G2492">
        <v>54.35</v>
      </c>
      <c r="H2492">
        <v>14457.1</v>
      </c>
    </row>
    <row r="2493" spans="1:8" x14ac:dyDescent="0.35">
      <c r="A2493" t="s">
        <v>5</v>
      </c>
      <c r="B2493" t="s">
        <v>12</v>
      </c>
      <c r="C2493" t="s">
        <v>9</v>
      </c>
      <c r="D2493">
        <v>166</v>
      </c>
      <c r="E2493">
        <v>7</v>
      </c>
      <c r="F2493">
        <v>4.22</v>
      </c>
      <c r="G2493">
        <v>42.54</v>
      </c>
      <c r="H2493">
        <v>7061.64</v>
      </c>
    </row>
    <row r="2494" spans="1:8" x14ac:dyDescent="0.35">
      <c r="A2494" t="s">
        <v>8</v>
      </c>
      <c r="B2494" t="s">
        <v>12</v>
      </c>
      <c r="C2494" t="s">
        <v>9</v>
      </c>
      <c r="D2494">
        <v>114</v>
      </c>
      <c r="E2494">
        <v>7</v>
      </c>
      <c r="F2494">
        <v>6.14</v>
      </c>
      <c r="G2494">
        <v>43.09</v>
      </c>
      <c r="H2494">
        <v>4912.26</v>
      </c>
    </row>
    <row r="2495" spans="1:8" x14ac:dyDescent="0.35">
      <c r="A2495" t="s">
        <v>7</v>
      </c>
      <c r="B2495" t="s">
        <v>12</v>
      </c>
      <c r="C2495" t="s">
        <v>9</v>
      </c>
      <c r="D2495">
        <v>206</v>
      </c>
      <c r="E2495">
        <v>14</v>
      </c>
      <c r="F2495">
        <v>6.8</v>
      </c>
      <c r="G2495">
        <v>47.99</v>
      </c>
      <c r="H2495">
        <v>9885.94</v>
      </c>
    </row>
    <row r="2496" spans="1:8" x14ac:dyDescent="0.35">
      <c r="A2496" t="s">
        <v>8</v>
      </c>
      <c r="B2496" t="s">
        <v>12</v>
      </c>
      <c r="C2496" t="s">
        <v>9</v>
      </c>
      <c r="D2496">
        <v>99</v>
      </c>
      <c r="E2496">
        <v>8</v>
      </c>
      <c r="F2496">
        <v>8.08</v>
      </c>
      <c r="G2496">
        <v>48.65</v>
      </c>
      <c r="H2496">
        <v>4816.3500000000004</v>
      </c>
    </row>
    <row r="2497" spans="1:8" x14ac:dyDescent="0.35">
      <c r="A2497" t="s">
        <v>8</v>
      </c>
      <c r="B2497" t="s">
        <v>12</v>
      </c>
      <c r="C2497" t="s">
        <v>9</v>
      </c>
      <c r="D2497">
        <v>96</v>
      </c>
      <c r="E2497">
        <v>0</v>
      </c>
      <c r="F2497">
        <v>0</v>
      </c>
      <c r="G2497">
        <v>23.97</v>
      </c>
      <c r="H2497">
        <v>2301.12</v>
      </c>
    </row>
    <row r="2498" spans="1:8" x14ac:dyDescent="0.35">
      <c r="A2498" t="s">
        <v>7</v>
      </c>
      <c r="B2498" t="s">
        <v>12</v>
      </c>
      <c r="C2498" t="s">
        <v>10</v>
      </c>
      <c r="D2498">
        <v>161</v>
      </c>
      <c r="E2498">
        <v>13</v>
      </c>
      <c r="F2498">
        <v>8.07</v>
      </c>
      <c r="G2498">
        <v>28.94</v>
      </c>
      <c r="H2498">
        <v>4659.34</v>
      </c>
    </row>
    <row r="2499" spans="1:8" x14ac:dyDescent="0.35">
      <c r="A2499" t="s">
        <v>7</v>
      </c>
      <c r="B2499" t="s">
        <v>12</v>
      </c>
      <c r="C2499" t="s">
        <v>10</v>
      </c>
      <c r="D2499">
        <v>202</v>
      </c>
      <c r="E2499">
        <v>11</v>
      </c>
      <c r="F2499">
        <v>5.45</v>
      </c>
      <c r="G2499">
        <v>61.35</v>
      </c>
      <c r="H2499">
        <v>12392.7</v>
      </c>
    </row>
    <row r="2500" spans="1:8" x14ac:dyDescent="0.35">
      <c r="A2500" t="s">
        <v>6</v>
      </c>
      <c r="B2500" t="s">
        <v>12</v>
      </c>
      <c r="C2500" t="s">
        <v>9</v>
      </c>
      <c r="D2500">
        <v>88</v>
      </c>
      <c r="E2500">
        <v>7</v>
      </c>
      <c r="F2500">
        <v>7.95</v>
      </c>
      <c r="G2500">
        <v>24.96</v>
      </c>
      <c r="H2500">
        <v>2196.48</v>
      </c>
    </row>
    <row r="2501" spans="1:8" x14ac:dyDescent="0.35">
      <c r="A2501" t="s">
        <v>6</v>
      </c>
      <c r="B2501" t="s">
        <v>12</v>
      </c>
      <c r="C2501" t="s">
        <v>9</v>
      </c>
      <c r="D2501">
        <v>197</v>
      </c>
      <c r="E2501">
        <v>17</v>
      </c>
      <c r="F2501">
        <v>8.6300000000000008</v>
      </c>
      <c r="G2501">
        <v>46.67</v>
      </c>
      <c r="H2501">
        <v>9193.99</v>
      </c>
    </row>
    <row r="2502" spans="1:8" x14ac:dyDescent="0.35">
      <c r="A2502" t="s">
        <v>6</v>
      </c>
      <c r="B2502" t="s">
        <v>12</v>
      </c>
      <c r="C2502" t="s">
        <v>11</v>
      </c>
      <c r="D2502">
        <v>117</v>
      </c>
      <c r="E2502">
        <v>1</v>
      </c>
      <c r="F2502">
        <v>0.85</v>
      </c>
      <c r="G2502">
        <v>12.85</v>
      </c>
      <c r="H2502">
        <v>1503.45</v>
      </c>
    </row>
    <row r="2503" spans="1:8" x14ac:dyDescent="0.35">
      <c r="A2503" t="s">
        <v>6</v>
      </c>
      <c r="B2503" t="s">
        <v>12</v>
      </c>
      <c r="C2503" t="s">
        <v>9</v>
      </c>
      <c r="D2503">
        <v>211</v>
      </c>
      <c r="E2503">
        <v>8</v>
      </c>
      <c r="F2503">
        <v>3.79</v>
      </c>
      <c r="G2503">
        <v>29.37</v>
      </c>
      <c r="H2503">
        <v>6197.07</v>
      </c>
    </row>
    <row r="2504" spans="1:8" x14ac:dyDescent="0.35">
      <c r="A2504" t="s">
        <v>7</v>
      </c>
      <c r="B2504" t="s">
        <v>12</v>
      </c>
      <c r="C2504" t="s">
        <v>10</v>
      </c>
      <c r="D2504">
        <v>180</v>
      </c>
      <c r="E2504">
        <v>13</v>
      </c>
      <c r="F2504">
        <v>7.22</v>
      </c>
      <c r="G2504">
        <v>26.5</v>
      </c>
      <c r="H2504">
        <v>4770</v>
      </c>
    </row>
    <row r="2505" spans="1:8" x14ac:dyDescent="0.35">
      <c r="A2505" t="s">
        <v>7</v>
      </c>
      <c r="B2505" t="s">
        <v>12</v>
      </c>
      <c r="C2505" t="s">
        <v>10</v>
      </c>
      <c r="D2505">
        <v>109</v>
      </c>
      <c r="E2505">
        <v>10</v>
      </c>
      <c r="F2505">
        <v>9.17</v>
      </c>
      <c r="G2505">
        <v>58.24</v>
      </c>
      <c r="H2505">
        <v>6348.16</v>
      </c>
    </row>
    <row r="2506" spans="1:8" x14ac:dyDescent="0.35">
      <c r="A2506" t="s">
        <v>7</v>
      </c>
      <c r="B2506" t="s">
        <v>12</v>
      </c>
      <c r="C2506" t="s">
        <v>10</v>
      </c>
      <c r="D2506">
        <v>141</v>
      </c>
      <c r="E2506">
        <v>9</v>
      </c>
      <c r="F2506">
        <v>6.38</v>
      </c>
      <c r="G2506">
        <v>45.54</v>
      </c>
      <c r="H2506">
        <v>6421.14</v>
      </c>
    </row>
    <row r="2507" spans="1:8" x14ac:dyDescent="0.35">
      <c r="A2507" t="s">
        <v>6</v>
      </c>
      <c r="B2507" t="s">
        <v>12</v>
      </c>
      <c r="C2507" t="s">
        <v>11</v>
      </c>
      <c r="D2507">
        <v>279</v>
      </c>
      <c r="E2507">
        <v>16</v>
      </c>
      <c r="F2507">
        <v>5.73</v>
      </c>
      <c r="G2507">
        <v>39.22</v>
      </c>
      <c r="H2507">
        <v>10942.38</v>
      </c>
    </row>
    <row r="2508" spans="1:8" x14ac:dyDescent="0.35">
      <c r="A2508" t="s">
        <v>7</v>
      </c>
      <c r="B2508" t="s">
        <v>12</v>
      </c>
      <c r="C2508" t="s">
        <v>9</v>
      </c>
      <c r="D2508">
        <v>130</v>
      </c>
      <c r="E2508">
        <v>6</v>
      </c>
      <c r="F2508">
        <v>4.62</v>
      </c>
      <c r="G2508">
        <v>69.92</v>
      </c>
      <c r="H2508">
        <v>9089.6</v>
      </c>
    </row>
    <row r="2509" spans="1:8" x14ac:dyDescent="0.35">
      <c r="A2509" t="s">
        <v>7</v>
      </c>
      <c r="B2509" t="s">
        <v>12</v>
      </c>
      <c r="C2509" t="s">
        <v>9</v>
      </c>
      <c r="D2509">
        <v>59</v>
      </c>
      <c r="E2509">
        <v>0</v>
      </c>
      <c r="F2509">
        <v>0</v>
      </c>
      <c r="G2509">
        <v>17.510000000000002</v>
      </c>
      <c r="H2509">
        <v>1033.0899999999999</v>
      </c>
    </row>
    <row r="2510" spans="1:8" x14ac:dyDescent="0.35">
      <c r="A2510" t="s">
        <v>5</v>
      </c>
      <c r="B2510" t="s">
        <v>12</v>
      </c>
      <c r="C2510" t="s">
        <v>9</v>
      </c>
      <c r="D2510">
        <v>223</v>
      </c>
      <c r="E2510">
        <v>11</v>
      </c>
      <c r="F2510">
        <v>4.93</v>
      </c>
      <c r="G2510">
        <v>65.239999999999995</v>
      </c>
      <c r="H2510">
        <v>14548.52</v>
      </c>
    </row>
    <row r="2511" spans="1:8" x14ac:dyDescent="0.35">
      <c r="A2511" t="s">
        <v>8</v>
      </c>
      <c r="B2511" t="s">
        <v>12</v>
      </c>
      <c r="C2511" t="s">
        <v>9</v>
      </c>
      <c r="D2511">
        <v>190</v>
      </c>
      <c r="E2511">
        <v>19</v>
      </c>
      <c r="F2511">
        <v>10</v>
      </c>
      <c r="G2511">
        <v>9.39</v>
      </c>
      <c r="H2511">
        <v>1784.1</v>
      </c>
    </row>
    <row r="2512" spans="1:8" x14ac:dyDescent="0.35">
      <c r="A2512" t="s">
        <v>8</v>
      </c>
      <c r="B2512" t="s">
        <v>12</v>
      </c>
      <c r="C2512" t="s">
        <v>9</v>
      </c>
      <c r="D2512">
        <v>286</v>
      </c>
      <c r="E2512">
        <v>22</v>
      </c>
      <c r="F2512">
        <v>7.69</v>
      </c>
      <c r="G2512">
        <v>25.9</v>
      </c>
      <c r="H2512">
        <v>7407.4</v>
      </c>
    </row>
    <row r="2513" spans="1:8" x14ac:dyDescent="0.35">
      <c r="A2513" t="s">
        <v>8</v>
      </c>
      <c r="B2513" t="s">
        <v>12</v>
      </c>
      <c r="C2513" t="s">
        <v>9</v>
      </c>
      <c r="D2513">
        <v>136</v>
      </c>
      <c r="E2513">
        <v>6</v>
      </c>
      <c r="F2513">
        <v>4.41</v>
      </c>
      <c r="G2513">
        <v>35.83</v>
      </c>
      <c r="H2513">
        <v>4872.88</v>
      </c>
    </row>
    <row r="2514" spans="1:8" x14ac:dyDescent="0.35">
      <c r="A2514" t="s">
        <v>5</v>
      </c>
      <c r="B2514" t="s">
        <v>12</v>
      </c>
      <c r="C2514" t="s">
        <v>9</v>
      </c>
      <c r="D2514">
        <v>155</v>
      </c>
      <c r="E2514">
        <v>15</v>
      </c>
      <c r="F2514">
        <v>9.68</v>
      </c>
      <c r="G2514">
        <v>63.78</v>
      </c>
      <c r="H2514">
        <v>9885.9</v>
      </c>
    </row>
    <row r="2515" spans="1:8" x14ac:dyDescent="0.35">
      <c r="A2515" t="s">
        <v>6</v>
      </c>
      <c r="B2515" t="s">
        <v>12</v>
      </c>
      <c r="C2515" t="s">
        <v>9</v>
      </c>
      <c r="D2515">
        <v>215</v>
      </c>
      <c r="E2515">
        <v>16</v>
      </c>
      <c r="F2515">
        <v>7.44</v>
      </c>
      <c r="G2515">
        <v>29.49</v>
      </c>
      <c r="H2515">
        <v>6340.35</v>
      </c>
    </row>
    <row r="2516" spans="1:8" x14ac:dyDescent="0.35">
      <c r="A2516" t="s">
        <v>5</v>
      </c>
      <c r="B2516" t="s">
        <v>12</v>
      </c>
      <c r="C2516" t="s">
        <v>9</v>
      </c>
      <c r="D2516">
        <v>232</v>
      </c>
      <c r="E2516">
        <v>6</v>
      </c>
      <c r="F2516">
        <v>2.59</v>
      </c>
      <c r="G2516">
        <v>18.43</v>
      </c>
      <c r="H2516">
        <v>4275.76</v>
      </c>
    </row>
    <row r="2517" spans="1:8" x14ac:dyDescent="0.35">
      <c r="A2517" t="s">
        <v>7</v>
      </c>
      <c r="B2517" t="s">
        <v>12</v>
      </c>
      <c r="C2517" t="s">
        <v>9</v>
      </c>
      <c r="D2517">
        <v>71</v>
      </c>
      <c r="E2517">
        <v>5</v>
      </c>
      <c r="F2517">
        <v>7.04</v>
      </c>
      <c r="G2517">
        <v>56.34</v>
      </c>
      <c r="H2517">
        <v>4000.14</v>
      </c>
    </row>
    <row r="2518" spans="1:8" x14ac:dyDescent="0.35">
      <c r="A2518" t="s">
        <v>7</v>
      </c>
      <c r="B2518" t="s">
        <v>12</v>
      </c>
      <c r="C2518" t="s">
        <v>9</v>
      </c>
      <c r="D2518">
        <v>297</v>
      </c>
      <c r="E2518">
        <v>20</v>
      </c>
      <c r="F2518">
        <v>6.73</v>
      </c>
      <c r="G2518">
        <v>40.92</v>
      </c>
      <c r="H2518">
        <v>12153.24</v>
      </c>
    </row>
    <row r="2519" spans="1:8" x14ac:dyDescent="0.35">
      <c r="A2519" t="s">
        <v>7</v>
      </c>
      <c r="B2519" t="s">
        <v>12</v>
      </c>
      <c r="C2519" t="s">
        <v>10</v>
      </c>
      <c r="D2519">
        <v>100</v>
      </c>
      <c r="E2519">
        <v>4</v>
      </c>
      <c r="F2519">
        <v>4</v>
      </c>
      <c r="G2519">
        <v>65.290000000000006</v>
      </c>
      <c r="H2519">
        <v>6529</v>
      </c>
    </row>
    <row r="2520" spans="1:8" x14ac:dyDescent="0.35">
      <c r="A2520" t="s">
        <v>6</v>
      </c>
      <c r="B2520" t="s">
        <v>12</v>
      </c>
      <c r="C2520" t="s">
        <v>11</v>
      </c>
      <c r="D2520">
        <v>137</v>
      </c>
      <c r="E2520">
        <v>0</v>
      </c>
      <c r="F2520">
        <v>0</v>
      </c>
      <c r="G2520">
        <v>65.92</v>
      </c>
      <c r="H2520">
        <v>9031.0400000000009</v>
      </c>
    </row>
    <row r="2521" spans="1:8" x14ac:dyDescent="0.35">
      <c r="A2521" t="s">
        <v>6</v>
      </c>
      <c r="B2521" t="s">
        <v>12</v>
      </c>
      <c r="C2521" t="s">
        <v>11</v>
      </c>
      <c r="D2521">
        <v>282</v>
      </c>
      <c r="E2521">
        <v>26</v>
      </c>
      <c r="F2521">
        <v>9.2200000000000006</v>
      </c>
      <c r="G2521">
        <v>38.92</v>
      </c>
      <c r="H2521">
        <v>10975.44</v>
      </c>
    </row>
    <row r="2522" spans="1:8" x14ac:dyDescent="0.35">
      <c r="A2522" t="s">
        <v>7</v>
      </c>
      <c r="B2522" t="s">
        <v>12</v>
      </c>
      <c r="C2522" t="s">
        <v>9</v>
      </c>
      <c r="D2522">
        <v>286</v>
      </c>
      <c r="E2522">
        <v>1</v>
      </c>
      <c r="F2522">
        <v>0.35</v>
      </c>
      <c r="G2522">
        <v>56.66</v>
      </c>
      <c r="H2522">
        <v>16204.76</v>
      </c>
    </row>
    <row r="2523" spans="1:8" x14ac:dyDescent="0.35">
      <c r="A2523" t="s">
        <v>7</v>
      </c>
      <c r="B2523" t="s">
        <v>12</v>
      </c>
      <c r="C2523" t="s">
        <v>9</v>
      </c>
      <c r="D2523">
        <v>52</v>
      </c>
      <c r="E2523">
        <v>1</v>
      </c>
      <c r="F2523">
        <v>1.92</v>
      </c>
      <c r="G2523">
        <v>26.42</v>
      </c>
      <c r="H2523">
        <v>1373.84</v>
      </c>
    </row>
    <row r="2524" spans="1:8" x14ac:dyDescent="0.35">
      <c r="A2524" t="s">
        <v>6</v>
      </c>
      <c r="B2524" t="s">
        <v>12</v>
      </c>
      <c r="C2524" t="s">
        <v>11</v>
      </c>
      <c r="D2524">
        <v>259</v>
      </c>
      <c r="E2524">
        <v>18</v>
      </c>
      <c r="F2524">
        <v>6.95</v>
      </c>
      <c r="G2524">
        <v>11.05</v>
      </c>
      <c r="H2524">
        <v>2861.95</v>
      </c>
    </row>
    <row r="2525" spans="1:8" x14ac:dyDescent="0.35">
      <c r="A2525" t="s">
        <v>8</v>
      </c>
      <c r="B2525" t="s">
        <v>12</v>
      </c>
      <c r="C2525" t="s">
        <v>9</v>
      </c>
      <c r="D2525">
        <v>190</v>
      </c>
      <c r="E2525">
        <v>19</v>
      </c>
      <c r="F2525">
        <v>10</v>
      </c>
      <c r="G2525">
        <v>69.459999999999994</v>
      </c>
      <c r="H2525">
        <v>13197.4</v>
      </c>
    </row>
    <row r="2526" spans="1:8" x14ac:dyDescent="0.35">
      <c r="A2526" t="s">
        <v>7</v>
      </c>
      <c r="B2526" t="s">
        <v>12</v>
      </c>
      <c r="C2526" t="s">
        <v>10</v>
      </c>
      <c r="D2526">
        <v>233</v>
      </c>
      <c r="E2526">
        <v>6</v>
      </c>
      <c r="F2526">
        <v>2.58</v>
      </c>
      <c r="G2526">
        <v>55.24</v>
      </c>
      <c r="H2526">
        <v>12870.92</v>
      </c>
    </row>
    <row r="2527" spans="1:8" x14ac:dyDescent="0.35">
      <c r="A2527" t="s">
        <v>6</v>
      </c>
      <c r="B2527" t="s">
        <v>12</v>
      </c>
      <c r="C2527" t="s">
        <v>11</v>
      </c>
      <c r="D2527">
        <v>98</v>
      </c>
      <c r="E2527">
        <v>3</v>
      </c>
      <c r="F2527">
        <v>3.06</v>
      </c>
      <c r="G2527">
        <v>32.479999999999997</v>
      </c>
      <c r="H2527">
        <v>3183.04</v>
      </c>
    </row>
    <row r="2528" spans="1:8" x14ac:dyDescent="0.35">
      <c r="A2528" t="s">
        <v>7</v>
      </c>
      <c r="B2528" t="s">
        <v>12</v>
      </c>
      <c r="C2528" t="s">
        <v>9</v>
      </c>
      <c r="D2528">
        <v>54</v>
      </c>
      <c r="E2528">
        <v>1</v>
      </c>
      <c r="F2528">
        <v>1.85</v>
      </c>
      <c r="G2528">
        <v>33.18</v>
      </c>
      <c r="H2528">
        <v>1791.72</v>
      </c>
    </row>
    <row r="2529" spans="1:8" x14ac:dyDescent="0.35">
      <c r="A2529" t="s">
        <v>6</v>
      </c>
      <c r="B2529" t="s">
        <v>12</v>
      </c>
      <c r="C2529" t="s">
        <v>9</v>
      </c>
      <c r="D2529">
        <v>165</v>
      </c>
      <c r="E2529">
        <v>16</v>
      </c>
      <c r="F2529">
        <v>9.6999999999999993</v>
      </c>
      <c r="G2529">
        <v>24.57</v>
      </c>
      <c r="H2529">
        <v>4054.05</v>
      </c>
    </row>
    <row r="2530" spans="1:8" x14ac:dyDescent="0.35">
      <c r="A2530" t="s">
        <v>7</v>
      </c>
      <c r="B2530" t="s">
        <v>12</v>
      </c>
      <c r="C2530" t="s">
        <v>9</v>
      </c>
      <c r="D2530">
        <v>184</v>
      </c>
      <c r="E2530">
        <v>6</v>
      </c>
      <c r="F2530">
        <v>3.26</v>
      </c>
      <c r="G2530">
        <v>67.83</v>
      </c>
      <c r="H2530">
        <v>12480.72</v>
      </c>
    </row>
    <row r="2531" spans="1:8" x14ac:dyDescent="0.35">
      <c r="A2531" t="s">
        <v>5</v>
      </c>
      <c r="B2531" t="s">
        <v>12</v>
      </c>
      <c r="C2531" t="s">
        <v>9</v>
      </c>
      <c r="D2531">
        <v>127</v>
      </c>
      <c r="E2531">
        <v>0</v>
      </c>
      <c r="F2531">
        <v>0</v>
      </c>
      <c r="G2531">
        <v>18.440000000000001</v>
      </c>
      <c r="H2531">
        <v>2341.88</v>
      </c>
    </row>
    <row r="2532" spans="1:8" x14ac:dyDescent="0.35">
      <c r="A2532" t="s">
        <v>7</v>
      </c>
      <c r="B2532" t="s">
        <v>12</v>
      </c>
      <c r="C2532" t="s">
        <v>9</v>
      </c>
      <c r="D2532">
        <v>89</v>
      </c>
      <c r="E2532">
        <v>3</v>
      </c>
      <c r="F2532">
        <v>3.37</v>
      </c>
      <c r="G2532">
        <v>34.74</v>
      </c>
      <c r="H2532">
        <v>3091.86</v>
      </c>
    </row>
    <row r="2533" spans="1:8" x14ac:dyDescent="0.35">
      <c r="A2533" t="s">
        <v>6</v>
      </c>
      <c r="B2533" t="s">
        <v>12</v>
      </c>
      <c r="C2533" t="s">
        <v>9</v>
      </c>
      <c r="D2533">
        <v>262</v>
      </c>
      <c r="E2533">
        <v>21</v>
      </c>
      <c r="F2533">
        <v>8.02</v>
      </c>
      <c r="G2533">
        <v>57.19</v>
      </c>
      <c r="H2533">
        <v>14983.78</v>
      </c>
    </row>
    <row r="2534" spans="1:8" x14ac:dyDescent="0.35">
      <c r="A2534" t="s">
        <v>8</v>
      </c>
      <c r="B2534" t="s">
        <v>12</v>
      </c>
      <c r="C2534" t="s">
        <v>9</v>
      </c>
      <c r="D2534">
        <v>291</v>
      </c>
      <c r="E2534">
        <v>7</v>
      </c>
      <c r="F2534">
        <v>2.41</v>
      </c>
      <c r="G2534">
        <v>19.77</v>
      </c>
      <c r="H2534">
        <v>5753.07</v>
      </c>
    </row>
    <row r="2535" spans="1:8" x14ac:dyDescent="0.35">
      <c r="A2535" t="s">
        <v>7</v>
      </c>
      <c r="B2535" t="s">
        <v>12</v>
      </c>
      <c r="C2535" t="s">
        <v>10</v>
      </c>
      <c r="D2535">
        <v>196</v>
      </c>
      <c r="E2535">
        <v>10</v>
      </c>
      <c r="F2535">
        <v>5.0999999999999996</v>
      </c>
      <c r="G2535">
        <v>17.61</v>
      </c>
      <c r="H2535">
        <v>3451.56</v>
      </c>
    </row>
    <row r="2536" spans="1:8" x14ac:dyDescent="0.35">
      <c r="A2536" t="s">
        <v>6</v>
      </c>
      <c r="B2536" t="s">
        <v>12</v>
      </c>
      <c r="C2536" t="s">
        <v>11</v>
      </c>
      <c r="D2536">
        <v>203</v>
      </c>
      <c r="E2536">
        <v>0</v>
      </c>
      <c r="F2536">
        <v>0</v>
      </c>
      <c r="G2536">
        <v>49.08</v>
      </c>
      <c r="H2536">
        <v>9963.24</v>
      </c>
    </row>
    <row r="2537" spans="1:8" x14ac:dyDescent="0.35">
      <c r="A2537" t="s">
        <v>7</v>
      </c>
      <c r="B2537" t="s">
        <v>12</v>
      </c>
      <c r="C2537" t="s">
        <v>9</v>
      </c>
      <c r="D2537">
        <v>96</v>
      </c>
      <c r="E2537">
        <v>2</v>
      </c>
      <c r="F2537">
        <v>2.08</v>
      </c>
      <c r="G2537">
        <v>28.21</v>
      </c>
      <c r="H2537">
        <v>2708.16</v>
      </c>
    </row>
    <row r="2538" spans="1:8" x14ac:dyDescent="0.35">
      <c r="A2538" t="s">
        <v>5</v>
      </c>
      <c r="B2538" t="s">
        <v>12</v>
      </c>
      <c r="C2538" t="s">
        <v>9</v>
      </c>
      <c r="D2538">
        <v>242</v>
      </c>
      <c r="E2538">
        <v>14</v>
      </c>
      <c r="F2538">
        <v>5.79</v>
      </c>
      <c r="G2538">
        <v>19.59</v>
      </c>
      <c r="H2538">
        <v>4740.78</v>
      </c>
    </row>
    <row r="2539" spans="1:8" x14ac:dyDescent="0.35">
      <c r="A2539" t="s">
        <v>8</v>
      </c>
      <c r="B2539" t="s">
        <v>12</v>
      </c>
      <c r="C2539" t="s">
        <v>9</v>
      </c>
      <c r="D2539">
        <v>153</v>
      </c>
      <c r="E2539">
        <v>12</v>
      </c>
      <c r="F2539">
        <v>7.84</v>
      </c>
      <c r="G2539">
        <v>47.4</v>
      </c>
      <c r="H2539">
        <v>7252.2</v>
      </c>
    </row>
    <row r="2540" spans="1:8" x14ac:dyDescent="0.35">
      <c r="A2540" t="s">
        <v>7</v>
      </c>
      <c r="B2540" t="s">
        <v>12</v>
      </c>
      <c r="C2540" t="s">
        <v>9</v>
      </c>
      <c r="D2540">
        <v>210</v>
      </c>
      <c r="E2540">
        <v>11</v>
      </c>
      <c r="F2540">
        <v>5.24</v>
      </c>
      <c r="G2540">
        <v>36.18</v>
      </c>
      <c r="H2540">
        <v>7597.8</v>
      </c>
    </row>
    <row r="2541" spans="1:8" x14ac:dyDescent="0.35">
      <c r="A2541" t="s">
        <v>7</v>
      </c>
      <c r="B2541" t="s">
        <v>12</v>
      </c>
      <c r="C2541" t="s">
        <v>10</v>
      </c>
      <c r="D2541">
        <v>126</v>
      </c>
      <c r="E2541">
        <v>0</v>
      </c>
      <c r="F2541">
        <v>0</v>
      </c>
      <c r="G2541">
        <v>8.3800000000000008</v>
      </c>
      <c r="H2541">
        <v>1055.8800000000001</v>
      </c>
    </row>
    <row r="2542" spans="1:8" x14ac:dyDescent="0.35">
      <c r="A2542" t="s">
        <v>6</v>
      </c>
      <c r="B2542" t="s">
        <v>12</v>
      </c>
      <c r="C2542" t="s">
        <v>9</v>
      </c>
      <c r="D2542">
        <v>291</v>
      </c>
      <c r="E2542">
        <v>11</v>
      </c>
      <c r="F2542">
        <v>3.78</v>
      </c>
      <c r="G2542">
        <v>11.51</v>
      </c>
      <c r="H2542">
        <v>3349.41</v>
      </c>
    </row>
    <row r="2543" spans="1:8" x14ac:dyDescent="0.35">
      <c r="A2543" t="s">
        <v>7</v>
      </c>
      <c r="B2543" t="s">
        <v>12</v>
      </c>
      <c r="C2543" t="s">
        <v>9</v>
      </c>
      <c r="D2543">
        <v>270</v>
      </c>
      <c r="E2543">
        <v>10</v>
      </c>
      <c r="F2543">
        <v>3.7</v>
      </c>
      <c r="G2543">
        <v>6.57</v>
      </c>
      <c r="H2543">
        <v>1773.9</v>
      </c>
    </row>
    <row r="2544" spans="1:8" x14ac:dyDescent="0.35">
      <c r="A2544" t="s">
        <v>7</v>
      </c>
      <c r="B2544" t="s">
        <v>12</v>
      </c>
      <c r="C2544" t="s">
        <v>10</v>
      </c>
      <c r="D2544">
        <v>105</v>
      </c>
      <c r="E2544">
        <v>5</v>
      </c>
      <c r="F2544">
        <v>4.76</v>
      </c>
      <c r="G2544">
        <v>54.01</v>
      </c>
      <c r="H2544">
        <v>5671.05</v>
      </c>
    </row>
    <row r="2545" spans="1:8" x14ac:dyDescent="0.35">
      <c r="A2545" t="s">
        <v>6</v>
      </c>
      <c r="B2545" t="s">
        <v>12</v>
      </c>
      <c r="C2545" t="s">
        <v>9</v>
      </c>
      <c r="D2545">
        <v>144</v>
      </c>
      <c r="E2545">
        <v>13</v>
      </c>
      <c r="F2545">
        <v>9.0299999999999994</v>
      </c>
      <c r="G2545">
        <v>21.78</v>
      </c>
      <c r="H2545">
        <v>3136.32</v>
      </c>
    </row>
    <row r="2546" spans="1:8" x14ac:dyDescent="0.35">
      <c r="A2546" t="s">
        <v>7</v>
      </c>
      <c r="B2546" t="s">
        <v>12</v>
      </c>
      <c r="C2546" t="s">
        <v>9</v>
      </c>
      <c r="D2546">
        <v>150</v>
      </c>
      <c r="E2546">
        <v>10</v>
      </c>
      <c r="F2546">
        <v>6.67</v>
      </c>
      <c r="G2546">
        <v>13.63</v>
      </c>
      <c r="H2546">
        <v>2044.5</v>
      </c>
    </row>
    <row r="2547" spans="1:8" x14ac:dyDescent="0.35">
      <c r="A2547" t="s">
        <v>6</v>
      </c>
      <c r="B2547" t="s">
        <v>12</v>
      </c>
      <c r="C2547" t="s">
        <v>9</v>
      </c>
      <c r="D2547">
        <v>228</v>
      </c>
      <c r="E2547">
        <v>1</v>
      </c>
      <c r="F2547">
        <v>0.44</v>
      </c>
      <c r="G2547">
        <v>43.05</v>
      </c>
      <c r="H2547">
        <v>9815.4</v>
      </c>
    </row>
    <row r="2548" spans="1:8" x14ac:dyDescent="0.35">
      <c r="A2548" t="s">
        <v>6</v>
      </c>
      <c r="B2548" t="s">
        <v>12</v>
      </c>
      <c r="C2548" t="s">
        <v>9</v>
      </c>
      <c r="D2548">
        <v>139</v>
      </c>
      <c r="E2548">
        <v>9</v>
      </c>
      <c r="F2548">
        <v>6.47</v>
      </c>
      <c r="G2548">
        <v>58.67</v>
      </c>
      <c r="H2548">
        <v>8155.13</v>
      </c>
    </row>
    <row r="2549" spans="1:8" x14ac:dyDescent="0.35">
      <c r="A2549" t="s">
        <v>7</v>
      </c>
      <c r="B2549" t="s">
        <v>12</v>
      </c>
      <c r="C2549" t="s">
        <v>9</v>
      </c>
      <c r="D2549">
        <v>200</v>
      </c>
      <c r="E2549">
        <v>10</v>
      </c>
      <c r="F2549">
        <v>5</v>
      </c>
      <c r="G2549">
        <v>19.579999999999998</v>
      </c>
      <c r="H2549">
        <v>3916</v>
      </c>
    </row>
    <row r="2550" spans="1:8" x14ac:dyDescent="0.35">
      <c r="A2550" t="s">
        <v>8</v>
      </c>
      <c r="B2550" t="s">
        <v>12</v>
      </c>
      <c r="C2550" t="s">
        <v>9</v>
      </c>
      <c r="D2550">
        <v>144</v>
      </c>
      <c r="E2550">
        <v>12</v>
      </c>
      <c r="F2550">
        <v>8.33</v>
      </c>
      <c r="G2550">
        <v>26.24</v>
      </c>
      <c r="H2550">
        <v>3778.56</v>
      </c>
    </row>
    <row r="2551" spans="1:8" x14ac:dyDescent="0.35">
      <c r="A2551" t="s">
        <v>6</v>
      </c>
      <c r="B2551" t="s">
        <v>12</v>
      </c>
      <c r="C2551" t="s">
        <v>11</v>
      </c>
      <c r="D2551">
        <v>217</v>
      </c>
      <c r="E2551">
        <v>15</v>
      </c>
      <c r="F2551">
        <v>6.91</v>
      </c>
      <c r="G2551">
        <v>45.9</v>
      </c>
      <c r="H2551">
        <v>9960.2999999999993</v>
      </c>
    </row>
    <row r="2552" spans="1:8" x14ac:dyDescent="0.35">
      <c r="A2552" t="s">
        <v>7</v>
      </c>
      <c r="B2552" t="s">
        <v>12</v>
      </c>
      <c r="C2552" t="s">
        <v>9</v>
      </c>
      <c r="D2552">
        <v>61</v>
      </c>
      <c r="E2552">
        <v>3</v>
      </c>
      <c r="F2552">
        <v>4.92</v>
      </c>
      <c r="G2552">
        <v>57.18</v>
      </c>
      <c r="H2552">
        <v>3487.98</v>
      </c>
    </row>
    <row r="2553" spans="1:8" x14ac:dyDescent="0.35">
      <c r="A2553" t="s">
        <v>5</v>
      </c>
      <c r="B2553" t="s">
        <v>12</v>
      </c>
      <c r="C2553" t="s">
        <v>9</v>
      </c>
      <c r="D2553">
        <v>181</v>
      </c>
      <c r="E2553">
        <v>4</v>
      </c>
      <c r="F2553">
        <v>2.21</v>
      </c>
      <c r="G2553">
        <v>55.24</v>
      </c>
      <c r="H2553">
        <v>9998.44</v>
      </c>
    </row>
    <row r="2554" spans="1:8" x14ac:dyDescent="0.35">
      <c r="A2554" t="s">
        <v>5</v>
      </c>
      <c r="B2554" t="s">
        <v>12</v>
      </c>
      <c r="C2554" t="s">
        <v>9</v>
      </c>
      <c r="D2554">
        <v>215</v>
      </c>
      <c r="E2554">
        <v>10</v>
      </c>
      <c r="F2554">
        <v>4.6500000000000004</v>
      </c>
      <c r="G2554">
        <v>12.19</v>
      </c>
      <c r="H2554">
        <v>2620.85</v>
      </c>
    </row>
    <row r="2555" spans="1:8" x14ac:dyDescent="0.35">
      <c r="A2555" t="s">
        <v>7</v>
      </c>
      <c r="B2555" t="s">
        <v>12</v>
      </c>
      <c r="C2555" t="s">
        <v>9</v>
      </c>
      <c r="D2555">
        <v>69</v>
      </c>
      <c r="E2555">
        <v>3</v>
      </c>
      <c r="F2555">
        <v>4.3499999999999996</v>
      </c>
      <c r="G2555">
        <v>63.13</v>
      </c>
      <c r="H2555">
        <v>4355.97</v>
      </c>
    </row>
    <row r="2556" spans="1:8" x14ac:dyDescent="0.35">
      <c r="A2556" t="s">
        <v>6</v>
      </c>
      <c r="B2556" t="s">
        <v>12</v>
      </c>
      <c r="C2556" t="s">
        <v>9</v>
      </c>
      <c r="D2556">
        <v>272</v>
      </c>
      <c r="E2556">
        <v>16</v>
      </c>
      <c r="F2556">
        <v>5.88</v>
      </c>
      <c r="G2556">
        <v>12.04</v>
      </c>
      <c r="H2556">
        <v>3274.88</v>
      </c>
    </row>
    <row r="2557" spans="1:8" x14ac:dyDescent="0.35">
      <c r="A2557" t="s">
        <v>6</v>
      </c>
      <c r="B2557" t="s">
        <v>12</v>
      </c>
      <c r="C2557" t="s">
        <v>11</v>
      </c>
      <c r="D2557">
        <v>277</v>
      </c>
      <c r="E2557">
        <v>6</v>
      </c>
      <c r="F2557">
        <v>2.17</v>
      </c>
      <c r="G2557">
        <v>59.16</v>
      </c>
      <c r="H2557">
        <v>16387.32</v>
      </c>
    </row>
    <row r="2558" spans="1:8" x14ac:dyDescent="0.35">
      <c r="A2558" t="s">
        <v>6</v>
      </c>
      <c r="B2558" t="s">
        <v>12</v>
      </c>
      <c r="C2558" t="s">
        <v>11</v>
      </c>
      <c r="D2558">
        <v>229</v>
      </c>
      <c r="E2558">
        <v>17</v>
      </c>
      <c r="F2558">
        <v>7.42</v>
      </c>
      <c r="G2558">
        <v>23.83</v>
      </c>
      <c r="H2558">
        <v>5457.07</v>
      </c>
    </row>
    <row r="2559" spans="1:8" x14ac:dyDescent="0.35">
      <c r="A2559" t="s">
        <v>8</v>
      </c>
      <c r="B2559" t="s">
        <v>12</v>
      </c>
      <c r="C2559" t="s">
        <v>9</v>
      </c>
      <c r="D2559">
        <v>110</v>
      </c>
      <c r="E2559">
        <v>11</v>
      </c>
      <c r="F2559">
        <v>10</v>
      </c>
      <c r="G2559">
        <v>38.340000000000003</v>
      </c>
      <c r="H2559">
        <v>4217.3999999999996</v>
      </c>
    </row>
    <row r="2560" spans="1:8" x14ac:dyDescent="0.35">
      <c r="A2560" t="s">
        <v>8</v>
      </c>
      <c r="B2560" t="s">
        <v>12</v>
      </c>
      <c r="C2560" t="s">
        <v>9</v>
      </c>
      <c r="D2560">
        <v>59</v>
      </c>
      <c r="E2560">
        <v>5</v>
      </c>
      <c r="F2560">
        <v>8.4700000000000006</v>
      </c>
      <c r="G2560">
        <v>48.38</v>
      </c>
      <c r="H2560">
        <v>2854.42</v>
      </c>
    </row>
    <row r="2561" spans="1:8" x14ac:dyDescent="0.35">
      <c r="A2561" t="s">
        <v>8</v>
      </c>
      <c r="B2561" t="s">
        <v>12</v>
      </c>
      <c r="C2561" t="s">
        <v>9</v>
      </c>
      <c r="D2561">
        <v>267</v>
      </c>
      <c r="E2561">
        <v>2</v>
      </c>
      <c r="F2561">
        <v>0.75</v>
      </c>
      <c r="G2561">
        <v>52.99</v>
      </c>
      <c r="H2561">
        <v>14148.33</v>
      </c>
    </row>
    <row r="2562" spans="1:8" x14ac:dyDescent="0.35">
      <c r="A2562" t="s">
        <v>8</v>
      </c>
      <c r="B2562" t="s">
        <v>12</v>
      </c>
      <c r="C2562" t="s">
        <v>9</v>
      </c>
      <c r="D2562">
        <v>252</v>
      </c>
      <c r="E2562">
        <v>23</v>
      </c>
      <c r="F2562">
        <v>9.1300000000000008</v>
      </c>
      <c r="G2562">
        <v>48.23</v>
      </c>
      <c r="H2562">
        <v>12153.96</v>
      </c>
    </row>
    <row r="2563" spans="1:8" x14ac:dyDescent="0.35">
      <c r="A2563" t="s">
        <v>7</v>
      </c>
      <c r="B2563" t="s">
        <v>12</v>
      </c>
      <c r="C2563" t="s">
        <v>9</v>
      </c>
      <c r="D2563">
        <v>127</v>
      </c>
      <c r="E2563">
        <v>8</v>
      </c>
      <c r="F2563">
        <v>6.3</v>
      </c>
      <c r="G2563">
        <v>44.5</v>
      </c>
      <c r="H2563">
        <v>5651.5</v>
      </c>
    </row>
    <row r="2564" spans="1:8" x14ac:dyDescent="0.35">
      <c r="A2564" t="s">
        <v>7</v>
      </c>
      <c r="B2564" t="s">
        <v>12</v>
      </c>
      <c r="C2564" t="s">
        <v>10</v>
      </c>
      <c r="D2564">
        <v>220</v>
      </c>
      <c r="E2564">
        <v>2</v>
      </c>
      <c r="F2564">
        <v>0.91</v>
      </c>
      <c r="G2564">
        <v>68.44</v>
      </c>
      <c r="H2564">
        <v>15056.8</v>
      </c>
    </row>
    <row r="2565" spans="1:8" x14ac:dyDescent="0.35">
      <c r="A2565" t="s">
        <v>6</v>
      </c>
      <c r="B2565" t="s">
        <v>12</v>
      </c>
      <c r="C2565" t="s">
        <v>9</v>
      </c>
      <c r="D2565">
        <v>267</v>
      </c>
      <c r="E2565">
        <v>26</v>
      </c>
      <c r="F2565">
        <v>9.74</v>
      </c>
      <c r="G2565">
        <v>19.39</v>
      </c>
      <c r="H2565">
        <v>5177.13</v>
      </c>
    </row>
    <row r="2566" spans="1:8" x14ac:dyDescent="0.35">
      <c r="A2566" t="s">
        <v>6</v>
      </c>
      <c r="B2566" t="s">
        <v>12</v>
      </c>
      <c r="C2566" t="s">
        <v>9</v>
      </c>
      <c r="D2566">
        <v>241</v>
      </c>
      <c r="E2566">
        <v>11</v>
      </c>
      <c r="F2566">
        <v>4.5599999999999996</v>
      </c>
      <c r="G2566">
        <v>52.92</v>
      </c>
      <c r="H2566">
        <v>12753.72</v>
      </c>
    </row>
    <row r="2567" spans="1:8" x14ac:dyDescent="0.35">
      <c r="A2567" t="s">
        <v>7</v>
      </c>
      <c r="B2567" t="s">
        <v>12</v>
      </c>
      <c r="C2567" t="s">
        <v>9</v>
      </c>
      <c r="D2567">
        <v>177</v>
      </c>
      <c r="E2567">
        <v>8</v>
      </c>
      <c r="F2567">
        <v>4.5199999999999996</v>
      </c>
      <c r="G2567">
        <v>57.6</v>
      </c>
      <c r="H2567">
        <v>10195.200000000001</v>
      </c>
    </row>
    <row r="2568" spans="1:8" x14ac:dyDescent="0.35">
      <c r="A2568" t="s">
        <v>5</v>
      </c>
      <c r="B2568" t="s">
        <v>12</v>
      </c>
      <c r="C2568" t="s">
        <v>9</v>
      </c>
      <c r="D2568">
        <v>88</v>
      </c>
      <c r="E2568">
        <v>4</v>
      </c>
      <c r="F2568">
        <v>4.55</v>
      </c>
      <c r="G2568">
        <v>47.92</v>
      </c>
      <c r="H2568">
        <v>4216.96</v>
      </c>
    </row>
    <row r="2569" spans="1:8" x14ac:dyDescent="0.35">
      <c r="A2569" t="s">
        <v>7</v>
      </c>
      <c r="B2569" t="s">
        <v>12</v>
      </c>
      <c r="C2569" t="s">
        <v>9</v>
      </c>
      <c r="D2569">
        <v>57</v>
      </c>
      <c r="E2569">
        <v>0</v>
      </c>
      <c r="F2569">
        <v>0</v>
      </c>
      <c r="G2569">
        <v>32.33</v>
      </c>
      <c r="H2569">
        <v>1842.81</v>
      </c>
    </row>
    <row r="2570" spans="1:8" x14ac:dyDescent="0.35">
      <c r="A2570" t="s">
        <v>8</v>
      </c>
      <c r="B2570" t="s">
        <v>12</v>
      </c>
      <c r="C2570" t="s">
        <v>9</v>
      </c>
      <c r="D2570">
        <v>245</v>
      </c>
      <c r="E2570">
        <v>10</v>
      </c>
      <c r="F2570">
        <v>4.08</v>
      </c>
      <c r="G2570">
        <v>29.77</v>
      </c>
      <c r="H2570">
        <v>7293.65</v>
      </c>
    </row>
    <row r="2571" spans="1:8" x14ac:dyDescent="0.35">
      <c r="A2571" t="s">
        <v>5</v>
      </c>
      <c r="B2571" t="s">
        <v>12</v>
      </c>
      <c r="C2571" t="s">
        <v>9</v>
      </c>
      <c r="D2571">
        <v>191</v>
      </c>
      <c r="E2571">
        <v>19</v>
      </c>
      <c r="F2571">
        <v>9.9499999999999993</v>
      </c>
      <c r="G2571">
        <v>20.3</v>
      </c>
      <c r="H2571">
        <v>3877.3</v>
      </c>
    </row>
    <row r="2572" spans="1:8" x14ac:dyDescent="0.35">
      <c r="A2572" t="s">
        <v>6</v>
      </c>
      <c r="B2572" t="s">
        <v>12</v>
      </c>
      <c r="C2572" t="s">
        <v>9</v>
      </c>
      <c r="D2572">
        <v>100</v>
      </c>
      <c r="E2572">
        <v>3</v>
      </c>
      <c r="F2572">
        <v>3</v>
      </c>
      <c r="G2572">
        <v>52.12</v>
      </c>
      <c r="H2572">
        <v>5212</v>
      </c>
    </row>
    <row r="2573" spans="1:8" x14ac:dyDescent="0.35">
      <c r="A2573" t="s">
        <v>7</v>
      </c>
      <c r="B2573" t="s">
        <v>12</v>
      </c>
      <c r="C2573" t="s">
        <v>10</v>
      </c>
      <c r="D2573">
        <v>101</v>
      </c>
      <c r="E2573">
        <v>9</v>
      </c>
      <c r="F2573">
        <v>8.91</v>
      </c>
      <c r="G2573">
        <v>56.32</v>
      </c>
      <c r="H2573">
        <v>5688.32</v>
      </c>
    </row>
    <row r="2574" spans="1:8" x14ac:dyDescent="0.35">
      <c r="A2574" t="s">
        <v>6</v>
      </c>
      <c r="B2574" t="s">
        <v>12</v>
      </c>
      <c r="C2574" t="s">
        <v>9</v>
      </c>
      <c r="D2574">
        <v>299</v>
      </c>
      <c r="E2574">
        <v>6</v>
      </c>
      <c r="F2574">
        <v>2.0099999999999998</v>
      </c>
      <c r="G2574">
        <v>25.92</v>
      </c>
      <c r="H2574">
        <v>7750.08</v>
      </c>
    </row>
    <row r="2575" spans="1:8" x14ac:dyDescent="0.35">
      <c r="A2575" t="s">
        <v>6</v>
      </c>
      <c r="B2575" t="s">
        <v>12</v>
      </c>
      <c r="C2575" t="s">
        <v>9</v>
      </c>
      <c r="D2575">
        <v>300</v>
      </c>
      <c r="E2575">
        <v>11</v>
      </c>
      <c r="F2575">
        <v>3.67</v>
      </c>
      <c r="G2575">
        <v>41.91</v>
      </c>
      <c r="H2575">
        <v>12573</v>
      </c>
    </row>
    <row r="2576" spans="1:8" x14ac:dyDescent="0.35">
      <c r="A2576" t="s">
        <v>5</v>
      </c>
      <c r="B2576" t="s">
        <v>12</v>
      </c>
      <c r="C2576" t="s">
        <v>9</v>
      </c>
      <c r="D2576">
        <v>223</v>
      </c>
      <c r="E2576">
        <v>9</v>
      </c>
      <c r="F2576">
        <v>4.04</v>
      </c>
      <c r="G2576">
        <v>25.39</v>
      </c>
      <c r="H2576">
        <v>5661.97</v>
      </c>
    </row>
    <row r="2577" spans="1:8" x14ac:dyDescent="0.35">
      <c r="A2577" t="s">
        <v>6</v>
      </c>
      <c r="B2577" t="s">
        <v>12</v>
      </c>
      <c r="C2577" t="s">
        <v>11</v>
      </c>
      <c r="D2577">
        <v>153</v>
      </c>
      <c r="E2577">
        <v>2</v>
      </c>
      <c r="F2577">
        <v>1.31</v>
      </c>
      <c r="G2577">
        <v>43.14</v>
      </c>
      <c r="H2577">
        <v>6600.42</v>
      </c>
    </row>
    <row r="2578" spans="1:8" x14ac:dyDescent="0.35">
      <c r="A2578" t="s">
        <v>5</v>
      </c>
      <c r="B2578" t="s">
        <v>12</v>
      </c>
      <c r="C2578" t="s">
        <v>9</v>
      </c>
      <c r="D2578">
        <v>223</v>
      </c>
      <c r="E2578">
        <v>7</v>
      </c>
      <c r="F2578">
        <v>3.14</v>
      </c>
      <c r="G2578">
        <v>23.43</v>
      </c>
      <c r="H2578">
        <v>5224.8900000000003</v>
      </c>
    </row>
    <row r="2579" spans="1:8" x14ac:dyDescent="0.35">
      <c r="A2579" t="s">
        <v>8</v>
      </c>
      <c r="B2579" t="s">
        <v>12</v>
      </c>
      <c r="C2579" t="s">
        <v>9</v>
      </c>
      <c r="D2579">
        <v>167</v>
      </c>
      <c r="E2579">
        <v>1</v>
      </c>
      <c r="F2579">
        <v>0.6</v>
      </c>
      <c r="G2579">
        <v>66.62</v>
      </c>
      <c r="H2579">
        <v>11125.54</v>
      </c>
    </row>
    <row r="2580" spans="1:8" x14ac:dyDescent="0.35">
      <c r="A2580" t="s">
        <v>7</v>
      </c>
      <c r="B2580" t="s">
        <v>12</v>
      </c>
      <c r="C2580" t="s">
        <v>10</v>
      </c>
      <c r="D2580">
        <v>83</v>
      </c>
      <c r="E2580">
        <v>8</v>
      </c>
      <c r="F2580">
        <v>9.64</v>
      </c>
      <c r="G2580">
        <v>55.1</v>
      </c>
      <c r="H2580">
        <v>4573.3</v>
      </c>
    </row>
    <row r="2581" spans="1:8" x14ac:dyDescent="0.35">
      <c r="A2581" t="s">
        <v>7</v>
      </c>
      <c r="B2581" t="s">
        <v>12</v>
      </c>
      <c r="C2581" t="s">
        <v>10</v>
      </c>
      <c r="D2581">
        <v>74</v>
      </c>
      <c r="E2581">
        <v>4</v>
      </c>
      <c r="F2581">
        <v>5.41</v>
      </c>
      <c r="G2581">
        <v>22.12</v>
      </c>
      <c r="H2581">
        <v>1636.88</v>
      </c>
    </row>
    <row r="2582" spans="1:8" x14ac:dyDescent="0.35">
      <c r="A2582" t="s">
        <v>7</v>
      </c>
      <c r="B2582" t="s">
        <v>12</v>
      </c>
      <c r="C2582" t="s">
        <v>10</v>
      </c>
      <c r="D2582">
        <v>188</v>
      </c>
      <c r="E2582">
        <v>14</v>
      </c>
      <c r="F2582">
        <v>7.45</v>
      </c>
      <c r="G2582">
        <v>60.4</v>
      </c>
      <c r="H2582">
        <v>11355.2</v>
      </c>
    </row>
    <row r="2583" spans="1:8" x14ac:dyDescent="0.35">
      <c r="A2583" t="s">
        <v>6</v>
      </c>
      <c r="B2583" t="s">
        <v>12</v>
      </c>
      <c r="C2583" t="s">
        <v>11</v>
      </c>
      <c r="D2583">
        <v>244</v>
      </c>
      <c r="E2583">
        <v>23</v>
      </c>
      <c r="F2583">
        <v>9.43</v>
      </c>
      <c r="G2583">
        <v>24.77</v>
      </c>
      <c r="H2583">
        <v>6043.88</v>
      </c>
    </row>
    <row r="2584" spans="1:8" x14ac:dyDescent="0.35">
      <c r="A2584" t="s">
        <v>8</v>
      </c>
      <c r="B2584" t="s">
        <v>12</v>
      </c>
      <c r="C2584" t="s">
        <v>9</v>
      </c>
      <c r="D2584">
        <v>98</v>
      </c>
      <c r="E2584">
        <v>2</v>
      </c>
      <c r="F2584">
        <v>2.04</v>
      </c>
      <c r="G2584">
        <v>7.81</v>
      </c>
      <c r="H2584">
        <v>765.38</v>
      </c>
    </row>
    <row r="2585" spans="1:8" x14ac:dyDescent="0.35">
      <c r="A2585" t="s">
        <v>5</v>
      </c>
      <c r="B2585" t="s">
        <v>12</v>
      </c>
      <c r="C2585" t="s">
        <v>9</v>
      </c>
      <c r="D2585">
        <v>231</v>
      </c>
      <c r="E2585">
        <v>18</v>
      </c>
      <c r="F2585">
        <v>7.79</v>
      </c>
      <c r="G2585">
        <v>44.96</v>
      </c>
      <c r="H2585">
        <v>10385.76</v>
      </c>
    </row>
    <row r="2586" spans="1:8" x14ac:dyDescent="0.35">
      <c r="A2586" t="s">
        <v>7</v>
      </c>
      <c r="B2586" t="s">
        <v>12</v>
      </c>
      <c r="C2586" t="s">
        <v>9</v>
      </c>
      <c r="D2586">
        <v>243</v>
      </c>
      <c r="E2586">
        <v>15</v>
      </c>
      <c r="F2586">
        <v>6.17</v>
      </c>
      <c r="G2586">
        <v>38.6</v>
      </c>
      <c r="H2586">
        <v>9379.7999999999993</v>
      </c>
    </row>
    <row r="2587" spans="1:8" x14ac:dyDescent="0.35">
      <c r="A2587" t="s">
        <v>7</v>
      </c>
      <c r="B2587" t="s">
        <v>12</v>
      </c>
      <c r="C2587" t="s">
        <v>10</v>
      </c>
      <c r="D2587">
        <v>248</v>
      </c>
      <c r="E2587">
        <v>8</v>
      </c>
      <c r="F2587">
        <v>3.23</v>
      </c>
      <c r="G2587">
        <v>46.71</v>
      </c>
      <c r="H2587">
        <v>11584.08</v>
      </c>
    </row>
    <row r="2588" spans="1:8" x14ac:dyDescent="0.35">
      <c r="A2588" t="s">
        <v>6</v>
      </c>
      <c r="B2588" t="s">
        <v>12</v>
      </c>
      <c r="C2588" t="s">
        <v>11</v>
      </c>
      <c r="D2588">
        <v>300</v>
      </c>
      <c r="E2588">
        <v>2</v>
      </c>
      <c r="F2588">
        <v>0.67</v>
      </c>
      <c r="G2588">
        <v>10.07</v>
      </c>
      <c r="H2588">
        <v>3021</v>
      </c>
    </row>
    <row r="2589" spans="1:8" x14ac:dyDescent="0.35">
      <c r="A2589" t="s">
        <v>6</v>
      </c>
      <c r="B2589" t="s">
        <v>12</v>
      </c>
      <c r="C2589" t="s">
        <v>11</v>
      </c>
      <c r="D2589">
        <v>257</v>
      </c>
      <c r="E2589">
        <v>19</v>
      </c>
      <c r="F2589">
        <v>7.39</v>
      </c>
      <c r="G2589">
        <v>24.04</v>
      </c>
      <c r="H2589">
        <v>6178.28</v>
      </c>
    </row>
    <row r="2590" spans="1:8" x14ac:dyDescent="0.35">
      <c r="A2590" t="s">
        <v>8</v>
      </c>
      <c r="B2590" t="s">
        <v>12</v>
      </c>
      <c r="C2590" t="s">
        <v>9</v>
      </c>
      <c r="D2590">
        <v>113</v>
      </c>
      <c r="E2590">
        <v>2</v>
      </c>
      <c r="F2590">
        <v>1.77</v>
      </c>
      <c r="G2590">
        <v>35.31</v>
      </c>
      <c r="H2590">
        <v>3990.03</v>
      </c>
    </row>
    <row r="2591" spans="1:8" x14ac:dyDescent="0.35">
      <c r="A2591" t="s">
        <v>6</v>
      </c>
      <c r="B2591" t="s">
        <v>12</v>
      </c>
      <c r="C2591" t="s">
        <v>11</v>
      </c>
      <c r="D2591">
        <v>246</v>
      </c>
      <c r="E2591">
        <v>22</v>
      </c>
      <c r="F2591">
        <v>8.94</v>
      </c>
      <c r="G2591">
        <v>55.66</v>
      </c>
      <c r="H2591">
        <v>13692.36</v>
      </c>
    </row>
    <row r="2592" spans="1:8" x14ac:dyDescent="0.35">
      <c r="A2592" t="s">
        <v>7</v>
      </c>
      <c r="B2592" t="s">
        <v>12</v>
      </c>
      <c r="C2592" t="s">
        <v>10</v>
      </c>
      <c r="D2592">
        <v>133</v>
      </c>
      <c r="E2592">
        <v>2</v>
      </c>
      <c r="F2592">
        <v>1.5</v>
      </c>
      <c r="G2592">
        <v>11.03</v>
      </c>
      <c r="H2592">
        <v>1466.99</v>
      </c>
    </row>
    <row r="2593" spans="1:8" x14ac:dyDescent="0.35">
      <c r="A2593" t="s">
        <v>7</v>
      </c>
      <c r="B2593" t="s">
        <v>12</v>
      </c>
      <c r="C2593" t="s">
        <v>9</v>
      </c>
      <c r="D2593">
        <v>146</v>
      </c>
      <c r="E2593">
        <v>8</v>
      </c>
      <c r="F2593">
        <v>5.48</v>
      </c>
      <c r="G2593">
        <v>28.19</v>
      </c>
      <c r="H2593">
        <v>4115.74</v>
      </c>
    </row>
    <row r="2594" spans="1:8" x14ac:dyDescent="0.35">
      <c r="A2594" t="s">
        <v>5</v>
      </c>
      <c r="B2594" t="s">
        <v>12</v>
      </c>
      <c r="C2594" t="s">
        <v>9</v>
      </c>
      <c r="D2594">
        <v>111</v>
      </c>
      <c r="E2594">
        <v>0</v>
      </c>
      <c r="F2594">
        <v>0</v>
      </c>
      <c r="G2594">
        <v>50.23</v>
      </c>
      <c r="H2594">
        <v>5575.53</v>
      </c>
    </row>
    <row r="2595" spans="1:8" x14ac:dyDescent="0.35">
      <c r="A2595" t="s">
        <v>8</v>
      </c>
      <c r="B2595" t="s">
        <v>12</v>
      </c>
      <c r="C2595" t="s">
        <v>9</v>
      </c>
      <c r="D2595">
        <v>143</v>
      </c>
      <c r="E2595">
        <v>12</v>
      </c>
      <c r="F2595">
        <v>8.39</v>
      </c>
      <c r="G2595">
        <v>16.260000000000002</v>
      </c>
      <c r="H2595">
        <v>2325.1799999999998</v>
      </c>
    </row>
    <row r="2596" spans="1:8" x14ac:dyDescent="0.35">
      <c r="A2596" t="s">
        <v>6</v>
      </c>
      <c r="B2596" t="s">
        <v>12</v>
      </c>
      <c r="C2596" t="s">
        <v>9</v>
      </c>
      <c r="D2596">
        <v>150</v>
      </c>
      <c r="E2596">
        <v>1</v>
      </c>
      <c r="F2596">
        <v>0.67</v>
      </c>
      <c r="G2596">
        <v>15.12</v>
      </c>
      <c r="H2596">
        <v>2268</v>
      </c>
    </row>
    <row r="2597" spans="1:8" x14ac:dyDescent="0.35">
      <c r="A2597" t="s">
        <v>7</v>
      </c>
      <c r="B2597" t="s">
        <v>12</v>
      </c>
      <c r="C2597" t="s">
        <v>10</v>
      </c>
      <c r="D2597">
        <v>100</v>
      </c>
      <c r="E2597">
        <v>6</v>
      </c>
      <c r="F2597">
        <v>6</v>
      </c>
      <c r="G2597">
        <v>50.79</v>
      </c>
      <c r="H2597">
        <v>5079</v>
      </c>
    </row>
    <row r="2598" spans="1:8" x14ac:dyDescent="0.35">
      <c r="A2598" t="s">
        <v>7</v>
      </c>
      <c r="B2598" t="s">
        <v>12</v>
      </c>
      <c r="C2598" t="s">
        <v>10</v>
      </c>
      <c r="D2598">
        <v>159</v>
      </c>
      <c r="E2598">
        <v>5</v>
      </c>
      <c r="F2598">
        <v>3.14</v>
      </c>
      <c r="G2598">
        <v>47.59</v>
      </c>
      <c r="H2598">
        <v>7566.81</v>
      </c>
    </row>
    <row r="2599" spans="1:8" x14ac:dyDescent="0.35">
      <c r="A2599" t="s">
        <v>8</v>
      </c>
      <c r="B2599" t="s">
        <v>12</v>
      </c>
      <c r="C2599" t="s">
        <v>9</v>
      </c>
      <c r="D2599">
        <v>300</v>
      </c>
      <c r="E2599">
        <v>4</v>
      </c>
      <c r="F2599">
        <v>1.33</v>
      </c>
      <c r="G2599">
        <v>62.25</v>
      </c>
      <c r="H2599">
        <v>18675</v>
      </c>
    </row>
    <row r="2600" spans="1:8" x14ac:dyDescent="0.35">
      <c r="A2600" t="s">
        <v>7</v>
      </c>
      <c r="B2600" t="s">
        <v>12</v>
      </c>
      <c r="C2600" t="s">
        <v>10</v>
      </c>
      <c r="D2600">
        <v>220</v>
      </c>
      <c r="E2600">
        <v>16</v>
      </c>
      <c r="F2600">
        <v>7.27</v>
      </c>
      <c r="G2600">
        <v>7.82</v>
      </c>
      <c r="H2600">
        <v>1720.4</v>
      </c>
    </row>
    <row r="2601" spans="1:8" x14ac:dyDescent="0.35">
      <c r="A2601" t="s">
        <v>6</v>
      </c>
      <c r="B2601" t="s">
        <v>12</v>
      </c>
      <c r="C2601" t="s">
        <v>9</v>
      </c>
      <c r="D2601">
        <v>195</v>
      </c>
      <c r="E2601">
        <v>16</v>
      </c>
      <c r="F2601">
        <v>8.2100000000000009</v>
      </c>
      <c r="G2601">
        <v>65.36</v>
      </c>
      <c r="H2601">
        <v>12745.2</v>
      </c>
    </row>
    <row r="2602" spans="1:8" x14ac:dyDescent="0.35">
      <c r="A2602" t="s">
        <v>7</v>
      </c>
      <c r="B2602" t="s">
        <v>12</v>
      </c>
      <c r="C2602" t="s">
        <v>10</v>
      </c>
      <c r="D2602">
        <v>202</v>
      </c>
      <c r="E2602">
        <v>18</v>
      </c>
      <c r="F2602">
        <v>8.91</v>
      </c>
      <c r="G2602">
        <v>51.27</v>
      </c>
      <c r="H2602">
        <v>10356.540000000001</v>
      </c>
    </row>
    <row r="2603" spans="1:8" x14ac:dyDescent="0.35">
      <c r="A2603" t="s">
        <v>7</v>
      </c>
      <c r="B2603" t="s">
        <v>12</v>
      </c>
      <c r="C2603" t="s">
        <v>10</v>
      </c>
      <c r="D2603">
        <v>101</v>
      </c>
      <c r="E2603">
        <v>0</v>
      </c>
      <c r="F2603">
        <v>0</v>
      </c>
      <c r="G2603">
        <v>6.66</v>
      </c>
      <c r="H2603">
        <v>672.66</v>
      </c>
    </row>
    <row r="2604" spans="1:8" x14ac:dyDescent="0.35">
      <c r="A2604" t="s">
        <v>7</v>
      </c>
      <c r="B2604" t="s">
        <v>12</v>
      </c>
      <c r="C2604" t="s">
        <v>9</v>
      </c>
      <c r="D2604">
        <v>83</v>
      </c>
      <c r="E2604">
        <v>8</v>
      </c>
      <c r="F2604">
        <v>9.64</v>
      </c>
      <c r="G2604">
        <v>48.17</v>
      </c>
      <c r="H2604">
        <v>3998.11</v>
      </c>
    </row>
    <row r="2605" spans="1:8" x14ac:dyDescent="0.35">
      <c r="A2605" t="s">
        <v>6</v>
      </c>
      <c r="B2605" t="s">
        <v>12</v>
      </c>
      <c r="C2605" t="s">
        <v>11</v>
      </c>
      <c r="D2605">
        <v>95</v>
      </c>
      <c r="E2605">
        <v>6</v>
      </c>
      <c r="F2605">
        <v>6.32</v>
      </c>
      <c r="G2605">
        <v>16.95</v>
      </c>
      <c r="H2605">
        <v>1610.25</v>
      </c>
    </row>
    <row r="2606" spans="1:8" x14ac:dyDescent="0.35">
      <c r="A2606" t="s">
        <v>6</v>
      </c>
      <c r="B2606" t="s">
        <v>12</v>
      </c>
      <c r="C2606" t="s">
        <v>11</v>
      </c>
      <c r="D2606">
        <v>108</v>
      </c>
      <c r="E2606">
        <v>5</v>
      </c>
      <c r="F2606">
        <v>4.63</v>
      </c>
      <c r="G2606">
        <v>50.48</v>
      </c>
      <c r="H2606">
        <v>5451.84</v>
      </c>
    </row>
    <row r="2607" spans="1:8" x14ac:dyDescent="0.35">
      <c r="A2607" t="s">
        <v>7</v>
      </c>
      <c r="B2607" t="s">
        <v>12</v>
      </c>
      <c r="C2607" t="s">
        <v>9</v>
      </c>
      <c r="D2607">
        <v>173</v>
      </c>
      <c r="E2607">
        <v>7</v>
      </c>
      <c r="F2607">
        <v>4.05</v>
      </c>
      <c r="G2607">
        <v>49.8</v>
      </c>
      <c r="H2607">
        <v>8615.4</v>
      </c>
    </row>
    <row r="2608" spans="1:8" x14ac:dyDescent="0.35">
      <c r="A2608" t="s">
        <v>8</v>
      </c>
      <c r="B2608" t="s">
        <v>12</v>
      </c>
      <c r="C2608" t="s">
        <v>9</v>
      </c>
      <c r="D2608">
        <v>258</v>
      </c>
      <c r="E2608">
        <v>4</v>
      </c>
      <c r="F2608">
        <v>1.55</v>
      </c>
      <c r="G2608">
        <v>61.9</v>
      </c>
      <c r="H2608">
        <v>15970.2</v>
      </c>
    </row>
    <row r="2609" spans="1:8" x14ac:dyDescent="0.35">
      <c r="A2609" t="s">
        <v>7</v>
      </c>
      <c r="B2609" t="s">
        <v>12</v>
      </c>
      <c r="C2609" t="s">
        <v>9</v>
      </c>
      <c r="D2609">
        <v>222</v>
      </c>
      <c r="E2609">
        <v>6</v>
      </c>
      <c r="F2609">
        <v>2.7</v>
      </c>
      <c r="G2609">
        <v>22.37</v>
      </c>
      <c r="H2609">
        <v>4966.1400000000003</v>
      </c>
    </row>
    <row r="2610" spans="1:8" x14ac:dyDescent="0.35">
      <c r="A2610" t="s">
        <v>6</v>
      </c>
      <c r="B2610" t="s">
        <v>12</v>
      </c>
      <c r="C2610" t="s">
        <v>11</v>
      </c>
      <c r="D2610">
        <v>268</v>
      </c>
      <c r="E2610">
        <v>2</v>
      </c>
      <c r="F2610">
        <v>0.75</v>
      </c>
      <c r="G2610">
        <v>33.700000000000003</v>
      </c>
      <c r="H2610">
        <v>9031.6</v>
      </c>
    </row>
    <row r="2611" spans="1:8" x14ac:dyDescent="0.35">
      <c r="A2611" t="s">
        <v>5</v>
      </c>
      <c r="B2611" t="s">
        <v>12</v>
      </c>
      <c r="C2611" t="s">
        <v>9</v>
      </c>
      <c r="D2611">
        <v>289</v>
      </c>
      <c r="E2611">
        <v>5</v>
      </c>
      <c r="F2611">
        <v>1.73</v>
      </c>
      <c r="G2611">
        <v>50.55</v>
      </c>
      <c r="H2611">
        <v>14608.95</v>
      </c>
    </row>
    <row r="2612" spans="1:8" x14ac:dyDescent="0.35">
      <c r="A2612" t="s">
        <v>8</v>
      </c>
      <c r="B2612" t="s">
        <v>12</v>
      </c>
      <c r="C2612" t="s">
        <v>9</v>
      </c>
      <c r="D2612">
        <v>96</v>
      </c>
      <c r="E2612">
        <v>7</v>
      </c>
      <c r="F2612">
        <v>7.29</v>
      </c>
      <c r="G2612">
        <v>22.7</v>
      </c>
      <c r="H2612">
        <v>2179.1999999999998</v>
      </c>
    </row>
    <row r="2613" spans="1:8" x14ac:dyDescent="0.35">
      <c r="A2613" t="s">
        <v>5</v>
      </c>
      <c r="B2613" t="s">
        <v>12</v>
      </c>
      <c r="C2613" t="s">
        <v>9</v>
      </c>
      <c r="D2613">
        <v>166</v>
      </c>
      <c r="E2613">
        <v>6</v>
      </c>
      <c r="F2613">
        <v>3.61</v>
      </c>
      <c r="G2613">
        <v>6.6</v>
      </c>
      <c r="H2613">
        <v>1095.5999999999999</v>
      </c>
    </row>
    <row r="2614" spans="1:8" x14ac:dyDescent="0.35">
      <c r="A2614" t="s">
        <v>6</v>
      </c>
      <c r="B2614" t="s">
        <v>12</v>
      </c>
      <c r="C2614" t="s">
        <v>11</v>
      </c>
      <c r="D2614">
        <v>91</v>
      </c>
      <c r="E2614">
        <v>4</v>
      </c>
      <c r="F2614">
        <v>4.4000000000000004</v>
      </c>
      <c r="G2614">
        <v>58.04</v>
      </c>
      <c r="H2614">
        <v>5281.64</v>
      </c>
    </row>
    <row r="2615" spans="1:8" x14ac:dyDescent="0.35">
      <c r="A2615" t="s">
        <v>6</v>
      </c>
      <c r="B2615" t="s">
        <v>12</v>
      </c>
      <c r="C2615" t="s">
        <v>9</v>
      </c>
      <c r="D2615">
        <v>132</v>
      </c>
      <c r="E2615">
        <v>1</v>
      </c>
      <c r="F2615">
        <v>0.76</v>
      </c>
      <c r="G2615">
        <v>16.8</v>
      </c>
      <c r="H2615">
        <v>2217.6</v>
      </c>
    </row>
    <row r="2616" spans="1:8" x14ac:dyDescent="0.35">
      <c r="A2616" t="s">
        <v>7</v>
      </c>
      <c r="B2616" t="s">
        <v>12</v>
      </c>
      <c r="C2616" t="s">
        <v>10</v>
      </c>
      <c r="D2616">
        <v>55</v>
      </c>
      <c r="E2616">
        <v>3</v>
      </c>
      <c r="F2616">
        <v>5.45</v>
      </c>
      <c r="G2616">
        <v>67.319999999999993</v>
      </c>
      <c r="H2616">
        <v>3702.6</v>
      </c>
    </row>
    <row r="2617" spans="1:8" x14ac:dyDescent="0.35">
      <c r="A2617" t="s">
        <v>6</v>
      </c>
      <c r="B2617" t="s">
        <v>12</v>
      </c>
      <c r="C2617" t="s">
        <v>11</v>
      </c>
      <c r="D2617">
        <v>167</v>
      </c>
      <c r="E2617">
        <v>6</v>
      </c>
      <c r="F2617">
        <v>3.59</v>
      </c>
      <c r="G2617">
        <v>67.06</v>
      </c>
      <c r="H2617">
        <v>11199.02</v>
      </c>
    </row>
    <row r="2618" spans="1:8" x14ac:dyDescent="0.35">
      <c r="A2618" t="s">
        <v>7</v>
      </c>
      <c r="B2618" t="s">
        <v>12</v>
      </c>
      <c r="C2618" t="s">
        <v>9</v>
      </c>
      <c r="D2618">
        <v>64</v>
      </c>
      <c r="E2618">
        <v>4</v>
      </c>
      <c r="F2618">
        <v>6.25</v>
      </c>
      <c r="G2618">
        <v>56.13</v>
      </c>
      <c r="H2618">
        <v>3592.32</v>
      </c>
    </row>
    <row r="2619" spans="1:8" x14ac:dyDescent="0.35">
      <c r="A2619" t="s">
        <v>7</v>
      </c>
      <c r="B2619" t="s">
        <v>12</v>
      </c>
      <c r="C2619" t="s">
        <v>9</v>
      </c>
      <c r="D2619">
        <v>132</v>
      </c>
      <c r="E2619">
        <v>4</v>
      </c>
      <c r="F2619">
        <v>3.03</v>
      </c>
      <c r="G2619">
        <v>58.29</v>
      </c>
      <c r="H2619">
        <v>7694.28</v>
      </c>
    </row>
    <row r="2620" spans="1:8" x14ac:dyDescent="0.35">
      <c r="A2620" t="s">
        <v>7</v>
      </c>
      <c r="B2620" t="s">
        <v>12</v>
      </c>
      <c r="C2620" t="s">
        <v>9</v>
      </c>
      <c r="D2620">
        <v>206</v>
      </c>
      <c r="E2620">
        <v>12</v>
      </c>
      <c r="F2620">
        <v>5.83</v>
      </c>
      <c r="G2620">
        <v>29.78</v>
      </c>
      <c r="H2620">
        <v>6134.68</v>
      </c>
    </row>
    <row r="2621" spans="1:8" x14ac:dyDescent="0.35">
      <c r="A2621" t="s">
        <v>6</v>
      </c>
      <c r="B2621" t="s">
        <v>12</v>
      </c>
      <c r="C2621" t="s">
        <v>11</v>
      </c>
      <c r="D2621">
        <v>255</v>
      </c>
      <c r="E2621">
        <v>6</v>
      </c>
      <c r="F2621">
        <v>2.35</v>
      </c>
      <c r="G2621">
        <v>15.17</v>
      </c>
      <c r="H2621">
        <v>3868.35</v>
      </c>
    </row>
    <row r="2622" spans="1:8" x14ac:dyDescent="0.35">
      <c r="A2622" t="s">
        <v>8</v>
      </c>
      <c r="B2622" t="s">
        <v>12</v>
      </c>
      <c r="C2622" t="s">
        <v>9</v>
      </c>
      <c r="D2622">
        <v>159</v>
      </c>
      <c r="E2622">
        <v>8</v>
      </c>
      <c r="F2622">
        <v>5.03</v>
      </c>
      <c r="G2622">
        <v>53.62</v>
      </c>
      <c r="H2622">
        <v>8525.58</v>
      </c>
    </row>
    <row r="2623" spans="1:8" x14ac:dyDescent="0.35">
      <c r="A2623" t="s">
        <v>6</v>
      </c>
      <c r="B2623" t="s">
        <v>12</v>
      </c>
      <c r="C2623" t="s">
        <v>9</v>
      </c>
      <c r="D2623">
        <v>300</v>
      </c>
      <c r="E2623">
        <v>4</v>
      </c>
      <c r="F2623">
        <v>1.33</v>
      </c>
      <c r="G2623">
        <v>16.079999999999998</v>
      </c>
      <c r="H2623">
        <v>4824</v>
      </c>
    </row>
    <row r="2624" spans="1:8" x14ac:dyDescent="0.35">
      <c r="A2624" t="s">
        <v>6</v>
      </c>
      <c r="B2624" t="s">
        <v>12</v>
      </c>
      <c r="C2624" t="s">
        <v>11</v>
      </c>
      <c r="D2624">
        <v>87</v>
      </c>
      <c r="E2624">
        <v>7</v>
      </c>
      <c r="F2624">
        <v>8.0500000000000007</v>
      </c>
      <c r="G2624">
        <v>17.47</v>
      </c>
      <c r="H2624">
        <v>1519.89</v>
      </c>
    </row>
    <row r="2625" spans="1:8" x14ac:dyDescent="0.35">
      <c r="A2625" t="s">
        <v>6</v>
      </c>
      <c r="B2625" t="s">
        <v>12</v>
      </c>
      <c r="C2625" t="s">
        <v>9</v>
      </c>
      <c r="D2625">
        <v>184</v>
      </c>
      <c r="E2625">
        <v>6</v>
      </c>
      <c r="F2625">
        <v>3.26</v>
      </c>
      <c r="G2625">
        <v>41.86</v>
      </c>
      <c r="H2625">
        <v>7702.24</v>
      </c>
    </row>
    <row r="2626" spans="1:8" x14ac:dyDescent="0.35">
      <c r="A2626" t="s">
        <v>5</v>
      </c>
      <c r="B2626" t="s">
        <v>12</v>
      </c>
      <c r="C2626" t="s">
        <v>9</v>
      </c>
      <c r="D2626">
        <v>222</v>
      </c>
      <c r="E2626">
        <v>7</v>
      </c>
      <c r="F2626">
        <v>3.15</v>
      </c>
      <c r="G2626">
        <v>40.340000000000003</v>
      </c>
      <c r="H2626">
        <v>8955.48</v>
      </c>
    </row>
    <row r="2627" spans="1:8" x14ac:dyDescent="0.35">
      <c r="A2627" t="s">
        <v>8</v>
      </c>
      <c r="B2627" t="s">
        <v>12</v>
      </c>
      <c r="C2627" t="s">
        <v>9</v>
      </c>
      <c r="D2627">
        <v>78</v>
      </c>
      <c r="E2627">
        <v>7</v>
      </c>
      <c r="F2627">
        <v>8.9700000000000006</v>
      </c>
      <c r="G2627">
        <v>6.23</v>
      </c>
      <c r="H2627">
        <v>485.94</v>
      </c>
    </row>
    <row r="2628" spans="1:8" x14ac:dyDescent="0.35">
      <c r="A2628" t="s">
        <v>6</v>
      </c>
      <c r="B2628" t="s">
        <v>12</v>
      </c>
      <c r="C2628" t="s">
        <v>11</v>
      </c>
      <c r="D2628">
        <v>250</v>
      </c>
      <c r="E2628">
        <v>24</v>
      </c>
      <c r="F2628">
        <v>9.6</v>
      </c>
      <c r="G2628">
        <v>53.57</v>
      </c>
      <c r="H2628">
        <v>13392.5</v>
      </c>
    </row>
    <row r="2629" spans="1:8" x14ac:dyDescent="0.35">
      <c r="A2629" t="s">
        <v>7</v>
      </c>
      <c r="B2629" t="s">
        <v>12</v>
      </c>
      <c r="C2629" t="s">
        <v>9</v>
      </c>
      <c r="D2629">
        <v>229</v>
      </c>
      <c r="E2629">
        <v>7</v>
      </c>
      <c r="F2629">
        <v>3.06</v>
      </c>
      <c r="G2629">
        <v>46.32</v>
      </c>
      <c r="H2629">
        <v>10607.28</v>
      </c>
    </row>
    <row r="2630" spans="1:8" x14ac:dyDescent="0.35">
      <c r="A2630" t="s">
        <v>6</v>
      </c>
      <c r="B2630" t="s">
        <v>12</v>
      </c>
      <c r="C2630" t="s">
        <v>11</v>
      </c>
      <c r="D2630">
        <v>157</v>
      </c>
      <c r="E2630">
        <v>9</v>
      </c>
      <c r="F2630">
        <v>5.73</v>
      </c>
      <c r="G2630">
        <v>60.23</v>
      </c>
      <c r="H2630">
        <v>9456.11</v>
      </c>
    </row>
    <row r="2631" spans="1:8" x14ac:dyDescent="0.35">
      <c r="A2631" t="s">
        <v>5</v>
      </c>
      <c r="B2631" t="s">
        <v>12</v>
      </c>
      <c r="C2631" t="s">
        <v>9</v>
      </c>
      <c r="D2631">
        <v>245</v>
      </c>
      <c r="E2631">
        <v>14</v>
      </c>
      <c r="F2631">
        <v>5.71</v>
      </c>
      <c r="G2631">
        <v>50.35</v>
      </c>
      <c r="H2631">
        <v>12335.75</v>
      </c>
    </row>
    <row r="2632" spans="1:8" x14ac:dyDescent="0.35">
      <c r="A2632" t="s">
        <v>7</v>
      </c>
      <c r="B2632" t="s">
        <v>12</v>
      </c>
      <c r="C2632" t="s">
        <v>9</v>
      </c>
      <c r="D2632">
        <v>296</v>
      </c>
      <c r="E2632">
        <v>17</v>
      </c>
      <c r="F2632">
        <v>5.74</v>
      </c>
      <c r="G2632">
        <v>20.420000000000002</v>
      </c>
      <c r="H2632">
        <v>6044.32</v>
      </c>
    </row>
    <row r="2633" spans="1:8" x14ac:dyDescent="0.35">
      <c r="A2633" t="s">
        <v>6</v>
      </c>
      <c r="B2633" t="s">
        <v>12</v>
      </c>
      <c r="C2633" t="s">
        <v>9</v>
      </c>
      <c r="D2633">
        <v>93</v>
      </c>
      <c r="E2633">
        <v>0</v>
      </c>
      <c r="F2633">
        <v>0</v>
      </c>
      <c r="G2633">
        <v>69.13</v>
      </c>
      <c r="H2633">
        <v>6429.09</v>
      </c>
    </row>
    <row r="2634" spans="1:8" x14ac:dyDescent="0.35">
      <c r="A2634" t="s">
        <v>7</v>
      </c>
      <c r="B2634" t="s">
        <v>12</v>
      </c>
      <c r="C2634" t="s">
        <v>9</v>
      </c>
      <c r="D2634">
        <v>113</v>
      </c>
      <c r="E2634">
        <v>8</v>
      </c>
      <c r="F2634">
        <v>7.08</v>
      </c>
      <c r="G2634">
        <v>58.46</v>
      </c>
      <c r="H2634">
        <v>6605.98</v>
      </c>
    </row>
    <row r="2635" spans="1:8" x14ac:dyDescent="0.35">
      <c r="A2635" t="s">
        <v>7</v>
      </c>
      <c r="B2635" t="s">
        <v>12</v>
      </c>
      <c r="C2635" t="s">
        <v>9</v>
      </c>
      <c r="D2635">
        <v>259</v>
      </c>
      <c r="E2635">
        <v>12</v>
      </c>
      <c r="F2635">
        <v>4.63</v>
      </c>
      <c r="G2635">
        <v>29</v>
      </c>
      <c r="H2635">
        <v>7511</v>
      </c>
    </row>
    <row r="2636" spans="1:8" x14ac:dyDescent="0.35">
      <c r="A2636" t="s">
        <v>6</v>
      </c>
      <c r="B2636" t="s">
        <v>12</v>
      </c>
      <c r="C2636" t="s">
        <v>9</v>
      </c>
      <c r="D2636">
        <v>231</v>
      </c>
      <c r="E2636">
        <v>15</v>
      </c>
      <c r="F2636">
        <v>6.49</v>
      </c>
      <c r="G2636">
        <v>53.93</v>
      </c>
      <c r="H2636">
        <v>12457.83</v>
      </c>
    </row>
    <row r="2637" spans="1:8" x14ac:dyDescent="0.35">
      <c r="A2637" t="s">
        <v>5</v>
      </c>
      <c r="B2637" t="s">
        <v>12</v>
      </c>
      <c r="C2637" t="s">
        <v>9</v>
      </c>
      <c r="D2637">
        <v>94</v>
      </c>
      <c r="E2637">
        <v>7</v>
      </c>
      <c r="F2637">
        <v>7.45</v>
      </c>
      <c r="G2637">
        <v>30.3</v>
      </c>
      <c r="H2637">
        <v>2848.2</v>
      </c>
    </row>
    <row r="2638" spans="1:8" x14ac:dyDescent="0.35">
      <c r="A2638" t="s">
        <v>7</v>
      </c>
      <c r="B2638" t="s">
        <v>12</v>
      </c>
      <c r="C2638" t="s">
        <v>10</v>
      </c>
      <c r="D2638">
        <v>78</v>
      </c>
      <c r="E2638">
        <v>0</v>
      </c>
      <c r="F2638">
        <v>0</v>
      </c>
      <c r="G2638">
        <v>65.39</v>
      </c>
      <c r="H2638">
        <v>5100.42</v>
      </c>
    </row>
    <row r="2639" spans="1:8" x14ac:dyDescent="0.35">
      <c r="A2639" t="s">
        <v>6</v>
      </c>
      <c r="B2639" t="s">
        <v>12</v>
      </c>
      <c r="C2639" t="s">
        <v>9</v>
      </c>
      <c r="D2639">
        <v>157</v>
      </c>
      <c r="E2639">
        <v>4</v>
      </c>
      <c r="F2639">
        <v>2.5499999999999998</v>
      </c>
      <c r="G2639">
        <v>60.35</v>
      </c>
      <c r="H2639">
        <v>9474.9500000000007</v>
      </c>
    </row>
    <row r="2640" spans="1:8" x14ac:dyDescent="0.35">
      <c r="A2640" t="s">
        <v>6</v>
      </c>
      <c r="B2640" t="s">
        <v>12</v>
      </c>
      <c r="C2640" t="s">
        <v>11</v>
      </c>
      <c r="D2640">
        <v>91</v>
      </c>
      <c r="E2640">
        <v>9</v>
      </c>
      <c r="F2640">
        <v>9.89</v>
      </c>
      <c r="G2640">
        <v>49.11</v>
      </c>
      <c r="H2640">
        <v>4469.01</v>
      </c>
    </row>
    <row r="2641" spans="1:8" x14ac:dyDescent="0.35">
      <c r="A2641" t="s">
        <v>7</v>
      </c>
      <c r="B2641" t="s">
        <v>12</v>
      </c>
      <c r="C2641" t="s">
        <v>10</v>
      </c>
      <c r="D2641">
        <v>192</v>
      </c>
      <c r="E2641">
        <v>4</v>
      </c>
      <c r="F2641">
        <v>2.08</v>
      </c>
      <c r="G2641">
        <v>39.39</v>
      </c>
      <c r="H2641">
        <v>7562.88</v>
      </c>
    </row>
    <row r="2642" spans="1:8" x14ac:dyDescent="0.35">
      <c r="A2642" t="s">
        <v>7</v>
      </c>
      <c r="B2642" t="s">
        <v>12</v>
      </c>
      <c r="C2642" t="s">
        <v>9</v>
      </c>
      <c r="D2642">
        <v>222</v>
      </c>
      <c r="E2642">
        <v>9</v>
      </c>
      <c r="F2642">
        <v>4.05</v>
      </c>
      <c r="G2642">
        <v>6.44</v>
      </c>
      <c r="H2642">
        <v>1429.68</v>
      </c>
    </row>
    <row r="2643" spans="1:8" x14ac:dyDescent="0.35">
      <c r="A2643" t="s">
        <v>7</v>
      </c>
      <c r="B2643" t="s">
        <v>12</v>
      </c>
      <c r="C2643" t="s">
        <v>9</v>
      </c>
      <c r="D2643">
        <v>204</v>
      </c>
      <c r="E2643">
        <v>5</v>
      </c>
      <c r="F2643">
        <v>2.4500000000000002</v>
      </c>
      <c r="G2643">
        <v>25.84</v>
      </c>
      <c r="H2643">
        <v>5271.36</v>
      </c>
    </row>
    <row r="2644" spans="1:8" x14ac:dyDescent="0.35">
      <c r="A2644" t="s">
        <v>7</v>
      </c>
      <c r="B2644" t="s">
        <v>12</v>
      </c>
      <c r="C2644" t="s">
        <v>9</v>
      </c>
      <c r="D2644">
        <v>135</v>
      </c>
      <c r="E2644">
        <v>4</v>
      </c>
      <c r="F2644">
        <v>2.96</v>
      </c>
      <c r="G2644">
        <v>14.5</v>
      </c>
      <c r="H2644">
        <v>1957.5</v>
      </c>
    </row>
    <row r="2645" spans="1:8" x14ac:dyDescent="0.35">
      <c r="A2645" t="s">
        <v>5</v>
      </c>
      <c r="B2645" t="s">
        <v>12</v>
      </c>
      <c r="C2645" t="s">
        <v>9</v>
      </c>
      <c r="D2645">
        <v>261</v>
      </c>
      <c r="E2645">
        <v>20</v>
      </c>
      <c r="F2645">
        <v>7.66</v>
      </c>
      <c r="G2645">
        <v>45.29</v>
      </c>
      <c r="H2645">
        <v>11820.69</v>
      </c>
    </row>
    <row r="2646" spans="1:8" x14ac:dyDescent="0.35">
      <c r="A2646" t="s">
        <v>7</v>
      </c>
      <c r="B2646" t="s">
        <v>12</v>
      </c>
      <c r="C2646" t="s">
        <v>9</v>
      </c>
      <c r="D2646">
        <v>176</v>
      </c>
      <c r="E2646">
        <v>9</v>
      </c>
      <c r="F2646">
        <v>5.1100000000000003</v>
      </c>
      <c r="G2646">
        <v>49.43</v>
      </c>
      <c r="H2646">
        <v>8699.68</v>
      </c>
    </row>
    <row r="2647" spans="1:8" x14ac:dyDescent="0.35">
      <c r="A2647" t="s">
        <v>6</v>
      </c>
      <c r="B2647" t="s">
        <v>12</v>
      </c>
      <c r="C2647" t="s">
        <v>9</v>
      </c>
      <c r="D2647">
        <v>236</v>
      </c>
      <c r="E2647">
        <v>14</v>
      </c>
      <c r="F2647">
        <v>5.93</v>
      </c>
      <c r="G2647">
        <v>31.93</v>
      </c>
      <c r="H2647">
        <v>7535.48</v>
      </c>
    </row>
    <row r="2648" spans="1:8" x14ac:dyDescent="0.35">
      <c r="A2648" t="s">
        <v>5</v>
      </c>
      <c r="B2648" t="s">
        <v>12</v>
      </c>
      <c r="C2648" t="s">
        <v>9</v>
      </c>
      <c r="D2648">
        <v>145</v>
      </c>
      <c r="E2648">
        <v>5</v>
      </c>
      <c r="F2648">
        <v>3.45</v>
      </c>
      <c r="G2648">
        <v>44.27</v>
      </c>
      <c r="H2648">
        <v>6419.15</v>
      </c>
    </row>
    <row r="2649" spans="1:8" x14ac:dyDescent="0.35">
      <c r="A2649" t="s">
        <v>6</v>
      </c>
      <c r="B2649" t="s">
        <v>12</v>
      </c>
      <c r="C2649" t="s">
        <v>11</v>
      </c>
      <c r="D2649">
        <v>224</v>
      </c>
      <c r="E2649">
        <v>3</v>
      </c>
      <c r="F2649">
        <v>1.34</v>
      </c>
      <c r="G2649">
        <v>24.97</v>
      </c>
      <c r="H2649">
        <v>5593.28</v>
      </c>
    </row>
    <row r="2650" spans="1:8" x14ac:dyDescent="0.35">
      <c r="A2650" t="s">
        <v>7</v>
      </c>
      <c r="B2650" t="s">
        <v>12</v>
      </c>
      <c r="C2650" t="s">
        <v>10</v>
      </c>
      <c r="D2650">
        <v>290</v>
      </c>
      <c r="E2650">
        <v>1</v>
      </c>
      <c r="F2650">
        <v>0.34</v>
      </c>
      <c r="G2650">
        <v>41.75</v>
      </c>
      <c r="H2650">
        <v>12107.5</v>
      </c>
    </row>
    <row r="2651" spans="1:8" x14ac:dyDescent="0.35">
      <c r="A2651" t="s">
        <v>7</v>
      </c>
      <c r="B2651" t="s">
        <v>12</v>
      </c>
      <c r="C2651" t="s">
        <v>9</v>
      </c>
      <c r="D2651">
        <v>226</v>
      </c>
      <c r="E2651">
        <v>15</v>
      </c>
      <c r="F2651">
        <v>6.64</v>
      </c>
      <c r="G2651">
        <v>27.82</v>
      </c>
      <c r="H2651">
        <v>6287.32</v>
      </c>
    </row>
    <row r="2652" spans="1:8" x14ac:dyDescent="0.35">
      <c r="A2652" t="s">
        <v>7</v>
      </c>
      <c r="B2652" t="s">
        <v>12</v>
      </c>
      <c r="C2652" t="s">
        <v>9</v>
      </c>
      <c r="D2652">
        <v>156</v>
      </c>
      <c r="E2652">
        <v>2</v>
      </c>
      <c r="F2652">
        <v>1.28</v>
      </c>
      <c r="G2652">
        <v>27.66</v>
      </c>
      <c r="H2652">
        <v>4314.96</v>
      </c>
    </row>
    <row r="2653" spans="1:8" x14ac:dyDescent="0.35">
      <c r="A2653" t="s">
        <v>5</v>
      </c>
      <c r="B2653" t="s">
        <v>12</v>
      </c>
      <c r="C2653" t="s">
        <v>9</v>
      </c>
      <c r="D2653">
        <v>124</v>
      </c>
      <c r="E2653">
        <v>1</v>
      </c>
      <c r="F2653">
        <v>0.81</v>
      </c>
      <c r="G2653">
        <v>10.49</v>
      </c>
      <c r="H2653">
        <v>1300.76</v>
      </c>
    </row>
    <row r="2654" spans="1:8" x14ac:dyDescent="0.35">
      <c r="A2654" t="s">
        <v>6</v>
      </c>
      <c r="B2654" t="s">
        <v>12</v>
      </c>
      <c r="C2654" t="s">
        <v>11</v>
      </c>
      <c r="D2654">
        <v>209</v>
      </c>
      <c r="E2654">
        <v>12</v>
      </c>
      <c r="F2654">
        <v>5.74</v>
      </c>
      <c r="G2654">
        <v>63.13</v>
      </c>
      <c r="H2654">
        <v>13194.17</v>
      </c>
    </row>
    <row r="2655" spans="1:8" x14ac:dyDescent="0.35">
      <c r="A2655" t="s">
        <v>8</v>
      </c>
      <c r="B2655" t="s">
        <v>12</v>
      </c>
      <c r="C2655" t="s">
        <v>9</v>
      </c>
      <c r="D2655">
        <v>133</v>
      </c>
      <c r="E2655">
        <v>11</v>
      </c>
      <c r="F2655">
        <v>8.27</v>
      </c>
      <c r="G2655">
        <v>55.15</v>
      </c>
      <c r="H2655">
        <v>7334.95</v>
      </c>
    </row>
    <row r="2656" spans="1:8" x14ac:dyDescent="0.35">
      <c r="A2656" t="s">
        <v>7</v>
      </c>
      <c r="B2656" t="s">
        <v>12</v>
      </c>
      <c r="C2656" t="s">
        <v>10</v>
      </c>
      <c r="D2656">
        <v>98</v>
      </c>
      <c r="E2656">
        <v>0</v>
      </c>
      <c r="F2656">
        <v>0</v>
      </c>
      <c r="G2656">
        <v>6.54</v>
      </c>
      <c r="H2656">
        <v>640.91999999999996</v>
      </c>
    </row>
    <row r="2657" spans="1:8" x14ac:dyDescent="0.35">
      <c r="A2657" t="s">
        <v>5</v>
      </c>
      <c r="B2657" t="s">
        <v>12</v>
      </c>
      <c r="C2657" t="s">
        <v>9</v>
      </c>
      <c r="D2657">
        <v>69</v>
      </c>
      <c r="E2657">
        <v>1</v>
      </c>
      <c r="F2657">
        <v>1.45</v>
      </c>
      <c r="G2657">
        <v>37.619999999999997</v>
      </c>
      <c r="H2657">
        <v>2595.7800000000002</v>
      </c>
    </row>
    <row r="2658" spans="1:8" x14ac:dyDescent="0.35">
      <c r="A2658" t="s">
        <v>6</v>
      </c>
      <c r="B2658" t="s">
        <v>12</v>
      </c>
      <c r="C2658" t="s">
        <v>9</v>
      </c>
      <c r="D2658">
        <v>117</v>
      </c>
      <c r="E2658">
        <v>6</v>
      </c>
      <c r="F2658">
        <v>5.13</v>
      </c>
      <c r="G2658">
        <v>17.440000000000001</v>
      </c>
      <c r="H2658">
        <v>2040.48</v>
      </c>
    </row>
    <row r="2659" spans="1:8" x14ac:dyDescent="0.35">
      <c r="A2659" t="s">
        <v>7</v>
      </c>
      <c r="B2659" t="s">
        <v>12</v>
      </c>
      <c r="C2659" t="s">
        <v>10</v>
      </c>
      <c r="D2659">
        <v>183</v>
      </c>
      <c r="E2659">
        <v>11</v>
      </c>
      <c r="F2659">
        <v>6.01</v>
      </c>
      <c r="G2659">
        <v>30.8</v>
      </c>
      <c r="H2659">
        <v>5636.4</v>
      </c>
    </row>
    <row r="2660" spans="1:8" x14ac:dyDescent="0.35">
      <c r="A2660" t="s">
        <v>7</v>
      </c>
      <c r="B2660" t="s">
        <v>12</v>
      </c>
      <c r="C2660" t="s">
        <v>9</v>
      </c>
      <c r="D2660">
        <v>157</v>
      </c>
      <c r="E2660">
        <v>10</v>
      </c>
      <c r="F2660">
        <v>6.37</v>
      </c>
      <c r="G2660">
        <v>44.8</v>
      </c>
      <c r="H2660">
        <v>7033.6</v>
      </c>
    </row>
    <row r="2661" spans="1:8" x14ac:dyDescent="0.35">
      <c r="A2661" t="s">
        <v>6</v>
      </c>
      <c r="B2661" t="s">
        <v>12</v>
      </c>
      <c r="C2661" t="s">
        <v>11</v>
      </c>
      <c r="D2661">
        <v>282</v>
      </c>
      <c r="E2661">
        <v>7</v>
      </c>
      <c r="F2661">
        <v>2.48</v>
      </c>
      <c r="G2661">
        <v>67.319999999999993</v>
      </c>
      <c r="H2661">
        <v>18984.240000000002</v>
      </c>
    </row>
    <row r="2662" spans="1:8" x14ac:dyDescent="0.35">
      <c r="A2662" t="s">
        <v>7</v>
      </c>
      <c r="B2662" t="s">
        <v>12</v>
      </c>
      <c r="C2662" t="s">
        <v>9</v>
      </c>
      <c r="D2662">
        <v>62</v>
      </c>
      <c r="E2662">
        <v>3</v>
      </c>
      <c r="F2662">
        <v>4.84</v>
      </c>
      <c r="G2662">
        <v>8.4499999999999993</v>
      </c>
      <c r="H2662">
        <v>523.9</v>
      </c>
    </row>
    <row r="2663" spans="1:8" x14ac:dyDescent="0.35">
      <c r="A2663" t="s">
        <v>6</v>
      </c>
      <c r="B2663" t="s">
        <v>12</v>
      </c>
      <c r="C2663" t="s">
        <v>9</v>
      </c>
      <c r="D2663">
        <v>105</v>
      </c>
      <c r="E2663">
        <v>0</v>
      </c>
      <c r="F2663">
        <v>0</v>
      </c>
      <c r="G2663">
        <v>61.73</v>
      </c>
      <c r="H2663">
        <v>6481.65</v>
      </c>
    </row>
    <row r="2664" spans="1:8" x14ac:dyDescent="0.35">
      <c r="A2664" t="s">
        <v>6</v>
      </c>
      <c r="B2664" t="s">
        <v>12</v>
      </c>
      <c r="C2664" t="s">
        <v>11</v>
      </c>
      <c r="D2664">
        <v>218</v>
      </c>
      <c r="E2664">
        <v>16</v>
      </c>
      <c r="F2664">
        <v>7.34</v>
      </c>
      <c r="G2664">
        <v>9.65</v>
      </c>
      <c r="H2664">
        <v>2103.6999999999998</v>
      </c>
    </row>
    <row r="2665" spans="1:8" x14ac:dyDescent="0.35">
      <c r="A2665" t="s">
        <v>6</v>
      </c>
      <c r="B2665" t="s">
        <v>12</v>
      </c>
      <c r="C2665" t="s">
        <v>11</v>
      </c>
      <c r="D2665">
        <v>208</v>
      </c>
      <c r="E2665">
        <v>1</v>
      </c>
      <c r="F2665">
        <v>0.48</v>
      </c>
      <c r="G2665">
        <v>36.659999999999997</v>
      </c>
      <c r="H2665">
        <v>7625.28</v>
      </c>
    </row>
    <row r="2666" spans="1:8" x14ac:dyDescent="0.35">
      <c r="A2666" t="s">
        <v>7</v>
      </c>
      <c r="B2666" t="s">
        <v>12</v>
      </c>
      <c r="C2666" t="s">
        <v>9</v>
      </c>
      <c r="D2666">
        <v>208</v>
      </c>
      <c r="E2666">
        <v>13</v>
      </c>
      <c r="F2666">
        <v>6.25</v>
      </c>
      <c r="G2666">
        <v>14.12</v>
      </c>
      <c r="H2666">
        <v>2936.96</v>
      </c>
    </row>
    <row r="2667" spans="1:8" x14ac:dyDescent="0.35">
      <c r="A2667" t="s">
        <v>5</v>
      </c>
      <c r="B2667" t="s">
        <v>12</v>
      </c>
      <c r="C2667" t="s">
        <v>9</v>
      </c>
      <c r="D2667">
        <v>266</v>
      </c>
      <c r="E2667">
        <v>8</v>
      </c>
      <c r="F2667">
        <v>3.01</v>
      </c>
      <c r="G2667">
        <v>63.35</v>
      </c>
      <c r="H2667">
        <v>16851.099999999999</v>
      </c>
    </row>
    <row r="2668" spans="1:8" x14ac:dyDescent="0.35">
      <c r="A2668" t="s">
        <v>8</v>
      </c>
      <c r="B2668" t="s">
        <v>12</v>
      </c>
      <c r="C2668" t="s">
        <v>9</v>
      </c>
      <c r="D2668">
        <v>63</v>
      </c>
      <c r="E2668">
        <v>2</v>
      </c>
      <c r="F2668">
        <v>3.17</v>
      </c>
      <c r="G2668">
        <v>53.99</v>
      </c>
      <c r="H2668">
        <v>3401.37</v>
      </c>
    </row>
    <row r="2669" spans="1:8" x14ac:dyDescent="0.35">
      <c r="A2669" t="s">
        <v>7</v>
      </c>
      <c r="B2669" t="s">
        <v>12</v>
      </c>
      <c r="C2669" t="s">
        <v>10</v>
      </c>
      <c r="D2669">
        <v>64</v>
      </c>
      <c r="E2669">
        <v>2</v>
      </c>
      <c r="F2669">
        <v>3.12</v>
      </c>
      <c r="G2669">
        <v>22.19</v>
      </c>
      <c r="H2669">
        <v>1420.16</v>
      </c>
    </row>
    <row r="2670" spans="1:8" x14ac:dyDescent="0.35">
      <c r="A2670" t="s">
        <v>5</v>
      </c>
      <c r="B2670" t="s">
        <v>12</v>
      </c>
      <c r="C2670" t="s">
        <v>9</v>
      </c>
      <c r="D2670">
        <v>154</v>
      </c>
      <c r="E2670">
        <v>12</v>
      </c>
      <c r="F2670">
        <v>7.79</v>
      </c>
      <c r="G2670">
        <v>31.43</v>
      </c>
      <c r="H2670">
        <v>4840.22</v>
      </c>
    </row>
    <row r="2671" spans="1:8" x14ac:dyDescent="0.35">
      <c r="A2671" t="s">
        <v>6</v>
      </c>
      <c r="B2671" t="s">
        <v>12</v>
      </c>
      <c r="C2671" t="s">
        <v>9</v>
      </c>
      <c r="D2671">
        <v>125</v>
      </c>
      <c r="E2671">
        <v>7</v>
      </c>
      <c r="F2671">
        <v>5.6</v>
      </c>
      <c r="G2671">
        <v>69.56</v>
      </c>
      <c r="H2671">
        <v>8695</v>
      </c>
    </row>
    <row r="2672" spans="1:8" x14ac:dyDescent="0.35">
      <c r="A2672" t="s">
        <v>6</v>
      </c>
      <c r="B2672" t="s">
        <v>12</v>
      </c>
      <c r="C2672" t="s">
        <v>9</v>
      </c>
      <c r="D2672">
        <v>243</v>
      </c>
      <c r="E2672">
        <v>24</v>
      </c>
      <c r="F2672">
        <v>9.8800000000000008</v>
      </c>
      <c r="G2672">
        <v>23.5</v>
      </c>
      <c r="H2672">
        <v>5710.5</v>
      </c>
    </row>
    <row r="2673" spans="1:8" x14ac:dyDescent="0.35">
      <c r="A2673" t="s">
        <v>6</v>
      </c>
      <c r="B2673" t="s">
        <v>12</v>
      </c>
      <c r="C2673" t="s">
        <v>11</v>
      </c>
      <c r="D2673">
        <v>243</v>
      </c>
      <c r="E2673">
        <v>15</v>
      </c>
      <c r="F2673">
        <v>6.17</v>
      </c>
      <c r="G2673">
        <v>48.91</v>
      </c>
      <c r="H2673">
        <v>11885.13</v>
      </c>
    </row>
    <row r="2674" spans="1:8" x14ac:dyDescent="0.35">
      <c r="A2674" t="s">
        <v>6</v>
      </c>
      <c r="B2674" t="s">
        <v>12</v>
      </c>
      <c r="C2674" t="s">
        <v>9</v>
      </c>
      <c r="D2674">
        <v>181</v>
      </c>
      <c r="E2674">
        <v>11</v>
      </c>
      <c r="F2674">
        <v>6.08</v>
      </c>
      <c r="G2674">
        <v>67.260000000000005</v>
      </c>
      <c r="H2674">
        <v>12174.06</v>
      </c>
    </row>
    <row r="2675" spans="1:8" x14ac:dyDescent="0.35">
      <c r="A2675" t="s">
        <v>6</v>
      </c>
      <c r="B2675" t="s">
        <v>12</v>
      </c>
      <c r="C2675" t="s">
        <v>9</v>
      </c>
      <c r="D2675">
        <v>198</v>
      </c>
      <c r="E2675">
        <v>1</v>
      </c>
      <c r="F2675">
        <v>0.51</v>
      </c>
      <c r="G2675">
        <v>37.26</v>
      </c>
      <c r="H2675">
        <v>7377.48</v>
      </c>
    </row>
    <row r="2676" spans="1:8" x14ac:dyDescent="0.35">
      <c r="A2676" t="s">
        <v>7</v>
      </c>
      <c r="B2676" t="s">
        <v>12</v>
      </c>
      <c r="C2676" t="s">
        <v>9</v>
      </c>
      <c r="D2676">
        <v>192</v>
      </c>
      <c r="E2676">
        <v>0</v>
      </c>
      <c r="F2676">
        <v>0</v>
      </c>
      <c r="G2676">
        <v>55.47</v>
      </c>
      <c r="H2676">
        <v>10650.24</v>
      </c>
    </row>
    <row r="2677" spans="1:8" x14ac:dyDescent="0.35">
      <c r="A2677" t="s">
        <v>5</v>
      </c>
      <c r="B2677" t="s">
        <v>12</v>
      </c>
      <c r="C2677" t="s">
        <v>9</v>
      </c>
      <c r="D2677">
        <v>207</v>
      </c>
      <c r="E2677">
        <v>9</v>
      </c>
      <c r="F2677">
        <v>4.3499999999999996</v>
      </c>
      <c r="G2677">
        <v>61.3</v>
      </c>
      <c r="H2677">
        <v>12689.1</v>
      </c>
    </row>
    <row r="2678" spans="1:8" x14ac:dyDescent="0.35">
      <c r="A2678" t="s">
        <v>7</v>
      </c>
      <c r="B2678" t="s">
        <v>12</v>
      </c>
      <c r="C2678" t="s">
        <v>10</v>
      </c>
      <c r="D2678">
        <v>196</v>
      </c>
      <c r="E2678">
        <v>13</v>
      </c>
      <c r="F2678">
        <v>6.63</v>
      </c>
      <c r="G2678">
        <v>10.81</v>
      </c>
      <c r="H2678">
        <v>2118.7600000000002</v>
      </c>
    </row>
    <row r="2679" spans="1:8" x14ac:dyDescent="0.35">
      <c r="A2679" t="s">
        <v>5</v>
      </c>
      <c r="B2679" t="s">
        <v>12</v>
      </c>
      <c r="C2679" t="s">
        <v>9</v>
      </c>
      <c r="D2679">
        <v>150</v>
      </c>
      <c r="E2679">
        <v>14</v>
      </c>
      <c r="F2679">
        <v>9.33</v>
      </c>
      <c r="G2679">
        <v>60.49</v>
      </c>
      <c r="H2679">
        <v>9073.5</v>
      </c>
    </row>
    <row r="2680" spans="1:8" x14ac:dyDescent="0.35">
      <c r="A2680" t="s">
        <v>7</v>
      </c>
      <c r="B2680" t="s">
        <v>12</v>
      </c>
      <c r="C2680" t="s">
        <v>9</v>
      </c>
      <c r="D2680">
        <v>238</v>
      </c>
      <c r="E2680">
        <v>12</v>
      </c>
      <c r="F2680">
        <v>5.04</v>
      </c>
      <c r="G2680">
        <v>5.71</v>
      </c>
      <c r="H2680">
        <v>1358.98</v>
      </c>
    </row>
    <row r="2681" spans="1:8" x14ac:dyDescent="0.35">
      <c r="A2681" t="s">
        <v>8</v>
      </c>
      <c r="B2681" t="s">
        <v>12</v>
      </c>
      <c r="C2681" t="s">
        <v>9</v>
      </c>
      <c r="D2681">
        <v>285</v>
      </c>
      <c r="E2681">
        <v>20</v>
      </c>
      <c r="F2681">
        <v>7.02</v>
      </c>
      <c r="G2681">
        <v>41.97</v>
      </c>
      <c r="H2681">
        <v>11961.45</v>
      </c>
    </row>
    <row r="2682" spans="1:8" x14ac:dyDescent="0.35">
      <c r="A2682" t="s">
        <v>6</v>
      </c>
      <c r="B2682" t="s">
        <v>12</v>
      </c>
      <c r="C2682" t="s">
        <v>11</v>
      </c>
      <c r="D2682">
        <v>235</v>
      </c>
      <c r="E2682">
        <v>5</v>
      </c>
      <c r="F2682">
        <v>2.13</v>
      </c>
      <c r="G2682">
        <v>7.91</v>
      </c>
      <c r="H2682">
        <v>1858.85</v>
      </c>
    </row>
    <row r="2683" spans="1:8" x14ac:dyDescent="0.35">
      <c r="A2683" t="s">
        <v>8</v>
      </c>
      <c r="B2683" t="s">
        <v>12</v>
      </c>
      <c r="C2683" t="s">
        <v>9</v>
      </c>
      <c r="D2683">
        <v>151</v>
      </c>
      <c r="E2683">
        <v>13</v>
      </c>
      <c r="F2683">
        <v>8.61</v>
      </c>
      <c r="G2683">
        <v>5.29</v>
      </c>
      <c r="H2683">
        <v>798.79</v>
      </c>
    </row>
    <row r="2684" spans="1:8" x14ac:dyDescent="0.35">
      <c r="A2684" t="s">
        <v>6</v>
      </c>
      <c r="B2684" t="s">
        <v>12</v>
      </c>
      <c r="C2684" t="s">
        <v>11</v>
      </c>
      <c r="D2684">
        <v>243</v>
      </c>
      <c r="E2684">
        <v>12</v>
      </c>
      <c r="F2684">
        <v>4.9400000000000004</v>
      </c>
      <c r="G2684">
        <v>61.31</v>
      </c>
      <c r="H2684">
        <v>14898.33</v>
      </c>
    </row>
    <row r="2685" spans="1:8" x14ac:dyDescent="0.35">
      <c r="A2685" t="s">
        <v>6</v>
      </c>
      <c r="B2685" t="s">
        <v>12</v>
      </c>
      <c r="C2685" t="s">
        <v>9</v>
      </c>
      <c r="D2685">
        <v>289</v>
      </c>
      <c r="E2685">
        <v>14</v>
      </c>
      <c r="F2685">
        <v>4.84</v>
      </c>
      <c r="G2685">
        <v>23.45</v>
      </c>
      <c r="H2685">
        <v>6777.05</v>
      </c>
    </row>
    <row r="2686" spans="1:8" x14ac:dyDescent="0.35">
      <c r="A2686" t="s">
        <v>5</v>
      </c>
      <c r="B2686" t="s">
        <v>12</v>
      </c>
      <c r="C2686" t="s">
        <v>9</v>
      </c>
      <c r="D2686">
        <v>289</v>
      </c>
      <c r="E2686">
        <v>6</v>
      </c>
      <c r="F2686">
        <v>2.08</v>
      </c>
      <c r="G2686">
        <v>33.450000000000003</v>
      </c>
      <c r="H2686">
        <v>9667.0499999999993</v>
      </c>
    </row>
    <row r="2687" spans="1:8" x14ac:dyDescent="0.35">
      <c r="A2687" t="s">
        <v>8</v>
      </c>
      <c r="B2687" t="s">
        <v>12</v>
      </c>
      <c r="C2687" t="s">
        <v>9</v>
      </c>
      <c r="D2687">
        <v>77</v>
      </c>
      <c r="E2687">
        <v>3</v>
      </c>
      <c r="F2687">
        <v>3.9</v>
      </c>
      <c r="G2687">
        <v>23.78</v>
      </c>
      <c r="H2687">
        <v>1831.06</v>
      </c>
    </row>
    <row r="2688" spans="1:8" x14ac:dyDescent="0.35">
      <c r="A2688" t="s">
        <v>7</v>
      </c>
      <c r="B2688" t="s">
        <v>12</v>
      </c>
      <c r="C2688" t="s">
        <v>9</v>
      </c>
      <c r="D2688">
        <v>281</v>
      </c>
      <c r="E2688">
        <v>8</v>
      </c>
      <c r="F2688">
        <v>2.85</v>
      </c>
      <c r="G2688">
        <v>43.42</v>
      </c>
      <c r="H2688">
        <v>12201.02</v>
      </c>
    </row>
    <row r="2689" spans="1:8" x14ac:dyDescent="0.35">
      <c r="A2689" t="s">
        <v>6</v>
      </c>
      <c r="B2689" t="s">
        <v>12</v>
      </c>
      <c r="C2689" t="s">
        <v>11</v>
      </c>
      <c r="D2689">
        <v>168</v>
      </c>
      <c r="E2689">
        <v>14</v>
      </c>
      <c r="F2689">
        <v>8.33</v>
      </c>
      <c r="G2689">
        <v>19.37</v>
      </c>
      <c r="H2689">
        <v>3254.16</v>
      </c>
    </row>
    <row r="2690" spans="1:8" x14ac:dyDescent="0.35">
      <c r="A2690" t="s">
        <v>5</v>
      </c>
      <c r="B2690" t="s">
        <v>12</v>
      </c>
      <c r="C2690" t="s">
        <v>9</v>
      </c>
      <c r="D2690">
        <v>136</v>
      </c>
      <c r="E2690">
        <v>12</v>
      </c>
      <c r="F2690">
        <v>8.82</v>
      </c>
      <c r="G2690">
        <v>57.06</v>
      </c>
      <c r="H2690">
        <v>7760.16</v>
      </c>
    </row>
    <row r="2691" spans="1:8" x14ac:dyDescent="0.35">
      <c r="A2691" t="s">
        <v>7</v>
      </c>
      <c r="B2691" t="s">
        <v>12</v>
      </c>
      <c r="C2691" t="s">
        <v>10</v>
      </c>
      <c r="D2691">
        <v>294</v>
      </c>
      <c r="E2691">
        <v>8</v>
      </c>
      <c r="F2691">
        <v>2.72</v>
      </c>
      <c r="G2691">
        <v>36.4</v>
      </c>
      <c r="H2691">
        <v>10701.6</v>
      </c>
    </row>
    <row r="2692" spans="1:8" x14ac:dyDescent="0.35">
      <c r="A2692" t="s">
        <v>8</v>
      </c>
      <c r="B2692" t="s">
        <v>12</v>
      </c>
      <c r="C2692" t="s">
        <v>9</v>
      </c>
      <c r="D2692">
        <v>159</v>
      </c>
      <c r="E2692">
        <v>8</v>
      </c>
      <c r="F2692">
        <v>5.03</v>
      </c>
      <c r="G2692">
        <v>37.700000000000003</v>
      </c>
      <c r="H2692">
        <v>5994.3</v>
      </c>
    </row>
    <row r="2693" spans="1:8" x14ac:dyDescent="0.35">
      <c r="A2693" t="s">
        <v>7</v>
      </c>
      <c r="B2693" t="s">
        <v>12</v>
      </c>
      <c r="C2693" t="s">
        <v>9</v>
      </c>
      <c r="D2693">
        <v>119</v>
      </c>
      <c r="E2693">
        <v>11</v>
      </c>
      <c r="F2693">
        <v>9.24</v>
      </c>
      <c r="G2693">
        <v>62.62</v>
      </c>
      <c r="H2693">
        <v>7451.78</v>
      </c>
    </row>
    <row r="2694" spans="1:8" x14ac:dyDescent="0.35">
      <c r="A2694" t="s">
        <v>7</v>
      </c>
      <c r="B2694" t="s">
        <v>12</v>
      </c>
      <c r="C2694" t="s">
        <v>10</v>
      </c>
      <c r="D2694">
        <v>132</v>
      </c>
      <c r="E2694">
        <v>6</v>
      </c>
      <c r="F2694">
        <v>4.55</v>
      </c>
      <c r="G2694">
        <v>68.59</v>
      </c>
      <c r="H2694">
        <v>9053.8799999999992</v>
      </c>
    </row>
    <row r="2695" spans="1:8" x14ac:dyDescent="0.35">
      <c r="A2695" t="s">
        <v>6</v>
      </c>
      <c r="B2695" t="s">
        <v>12</v>
      </c>
      <c r="C2695" t="s">
        <v>9</v>
      </c>
      <c r="D2695">
        <v>268</v>
      </c>
      <c r="E2695">
        <v>20</v>
      </c>
      <c r="F2695">
        <v>7.46</v>
      </c>
      <c r="G2695">
        <v>62.5</v>
      </c>
      <c r="H2695">
        <v>16750</v>
      </c>
    </row>
    <row r="2696" spans="1:8" x14ac:dyDescent="0.35">
      <c r="A2696" t="s">
        <v>7</v>
      </c>
      <c r="B2696" t="s">
        <v>12</v>
      </c>
      <c r="C2696" t="s">
        <v>10</v>
      </c>
      <c r="D2696">
        <v>132</v>
      </c>
      <c r="E2696">
        <v>9</v>
      </c>
      <c r="F2696">
        <v>6.82</v>
      </c>
      <c r="G2696">
        <v>56.99</v>
      </c>
      <c r="H2696">
        <v>7522.68</v>
      </c>
    </row>
    <row r="2697" spans="1:8" x14ac:dyDescent="0.35">
      <c r="A2697" t="s">
        <v>7</v>
      </c>
      <c r="B2697" t="s">
        <v>12</v>
      </c>
      <c r="C2697" t="s">
        <v>9</v>
      </c>
      <c r="D2697">
        <v>123</v>
      </c>
      <c r="E2697">
        <v>10</v>
      </c>
      <c r="F2697">
        <v>8.1300000000000008</v>
      </c>
      <c r="G2697">
        <v>59.38</v>
      </c>
      <c r="H2697">
        <v>7303.74</v>
      </c>
    </row>
    <row r="2698" spans="1:8" x14ac:dyDescent="0.35">
      <c r="A2698" t="s">
        <v>5</v>
      </c>
      <c r="B2698" t="s">
        <v>12</v>
      </c>
      <c r="C2698" t="s">
        <v>9</v>
      </c>
      <c r="D2698">
        <v>193</v>
      </c>
      <c r="E2698">
        <v>6</v>
      </c>
      <c r="F2698">
        <v>3.11</v>
      </c>
      <c r="G2698">
        <v>11.85</v>
      </c>
      <c r="H2698">
        <v>2287.0500000000002</v>
      </c>
    </row>
    <row r="2699" spans="1:8" x14ac:dyDescent="0.35">
      <c r="A2699" t="s">
        <v>5</v>
      </c>
      <c r="B2699" t="s">
        <v>12</v>
      </c>
      <c r="C2699" t="s">
        <v>9</v>
      </c>
      <c r="D2699">
        <v>78</v>
      </c>
      <c r="E2699">
        <v>5</v>
      </c>
      <c r="F2699">
        <v>6.41</v>
      </c>
      <c r="G2699">
        <v>13.07</v>
      </c>
      <c r="H2699">
        <v>1019.46</v>
      </c>
    </row>
    <row r="2700" spans="1:8" x14ac:dyDescent="0.35">
      <c r="A2700" t="s">
        <v>5</v>
      </c>
      <c r="B2700" t="s">
        <v>12</v>
      </c>
      <c r="C2700" t="s">
        <v>9</v>
      </c>
      <c r="D2700">
        <v>203</v>
      </c>
      <c r="E2700">
        <v>15</v>
      </c>
      <c r="F2700">
        <v>7.39</v>
      </c>
      <c r="G2700">
        <v>40.32</v>
      </c>
      <c r="H2700">
        <v>8184.96</v>
      </c>
    </row>
    <row r="2701" spans="1:8" x14ac:dyDescent="0.35">
      <c r="A2701" t="s">
        <v>5</v>
      </c>
      <c r="B2701" t="s">
        <v>12</v>
      </c>
      <c r="C2701" t="s">
        <v>9</v>
      </c>
      <c r="D2701">
        <v>139</v>
      </c>
      <c r="E2701">
        <v>7</v>
      </c>
      <c r="F2701">
        <v>5.04</v>
      </c>
      <c r="G2701">
        <v>68.33</v>
      </c>
      <c r="H2701">
        <v>9497.8700000000008</v>
      </c>
    </row>
    <row r="2702" spans="1:8" x14ac:dyDescent="0.35">
      <c r="A2702" t="s">
        <v>8</v>
      </c>
      <c r="B2702" t="s">
        <v>12</v>
      </c>
      <c r="C2702" t="s">
        <v>9</v>
      </c>
      <c r="D2702">
        <v>246</v>
      </c>
      <c r="E2702">
        <v>17</v>
      </c>
      <c r="F2702">
        <v>6.91</v>
      </c>
      <c r="G2702">
        <v>44.83</v>
      </c>
      <c r="H2702">
        <v>11028.18</v>
      </c>
    </row>
    <row r="2703" spans="1:8" x14ac:dyDescent="0.35">
      <c r="A2703" t="s">
        <v>8</v>
      </c>
      <c r="B2703" t="s">
        <v>12</v>
      </c>
      <c r="C2703" t="s">
        <v>9</v>
      </c>
      <c r="D2703">
        <v>236</v>
      </c>
      <c r="E2703">
        <v>6</v>
      </c>
      <c r="F2703">
        <v>2.54</v>
      </c>
      <c r="G2703">
        <v>39.58</v>
      </c>
      <c r="H2703">
        <v>9340.8799999999992</v>
      </c>
    </row>
    <row r="2704" spans="1:8" x14ac:dyDescent="0.35">
      <c r="A2704" t="s">
        <v>6</v>
      </c>
      <c r="B2704" t="s">
        <v>12</v>
      </c>
      <c r="C2704" t="s">
        <v>11</v>
      </c>
      <c r="D2704">
        <v>242</v>
      </c>
      <c r="E2704">
        <v>5</v>
      </c>
      <c r="F2704">
        <v>2.0699999999999998</v>
      </c>
      <c r="G2704">
        <v>34.53</v>
      </c>
      <c r="H2704">
        <v>8356.26</v>
      </c>
    </row>
    <row r="2705" spans="1:8" x14ac:dyDescent="0.35">
      <c r="A2705" t="s">
        <v>8</v>
      </c>
      <c r="B2705" t="s">
        <v>12</v>
      </c>
      <c r="C2705" t="s">
        <v>9</v>
      </c>
      <c r="D2705">
        <v>140</v>
      </c>
      <c r="E2705">
        <v>1</v>
      </c>
      <c r="F2705">
        <v>0.71</v>
      </c>
      <c r="G2705">
        <v>44.85</v>
      </c>
      <c r="H2705">
        <v>6279</v>
      </c>
    </row>
    <row r="2706" spans="1:8" x14ac:dyDescent="0.35">
      <c r="A2706" t="s">
        <v>6</v>
      </c>
      <c r="B2706" t="s">
        <v>12</v>
      </c>
      <c r="C2706" t="s">
        <v>11</v>
      </c>
      <c r="D2706">
        <v>150</v>
      </c>
      <c r="E2706">
        <v>6</v>
      </c>
      <c r="F2706">
        <v>4</v>
      </c>
      <c r="G2706">
        <v>37.29</v>
      </c>
      <c r="H2706">
        <v>5593.5</v>
      </c>
    </row>
    <row r="2707" spans="1:8" x14ac:dyDescent="0.35">
      <c r="A2707" t="s">
        <v>6</v>
      </c>
      <c r="B2707" t="s">
        <v>12</v>
      </c>
      <c r="C2707" t="s">
        <v>11</v>
      </c>
      <c r="D2707">
        <v>78</v>
      </c>
      <c r="E2707">
        <v>1</v>
      </c>
      <c r="F2707">
        <v>1.28</v>
      </c>
      <c r="G2707">
        <v>15.36</v>
      </c>
      <c r="H2707">
        <v>1198.08</v>
      </c>
    </row>
    <row r="2708" spans="1:8" x14ac:dyDescent="0.35">
      <c r="A2708" t="s">
        <v>7</v>
      </c>
      <c r="B2708" t="s">
        <v>12</v>
      </c>
      <c r="C2708" t="s">
        <v>9</v>
      </c>
      <c r="D2708">
        <v>238</v>
      </c>
      <c r="E2708">
        <v>21</v>
      </c>
      <c r="F2708">
        <v>8.82</v>
      </c>
      <c r="G2708">
        <v>13.9</v>
      </c>
      <c r="H2708">
        <v>3308.2</v>
      </c>
    </row>
    <row r="2709" spans="1:8" x14ac:dyDescent="0.35">
      <c r="A2709" t="s">
        <v>5</v>
      </c>
      <c r="B2709" t="s">
        <v>12</v>
      </c>
      <c r="C2709" t="s">
        <v>9</v>
      </c>
      <c r="D2709">
        <v>121</v>
      </c>
      <c r="E2709">
        <v>7</v>
      </c>
      <c r="F2709">
        <v>5.79</v>
      </c>
      <c r="G2709">
        <v>24.98</v>
      </c>
      <c r="H2709">
        <v>3022.58</v>
      </c>
    </row>
    <row r="2710" spans="1:8" x14ac:dyDescent="0.35">
      <c r="A2710" t="s">
        <v>7</v>
      </c>
      <c r="B2710" t="s">
        <v>12</v>
      </c>
      <c r="C2710" t="s">
        <v>9</v>
      </c>
      <c r="D2710">
        <v>242</v>
      </c>
      <c r="E2710">
        <v>13</v>
      </c>
      <c r="F2710">
        <v>5.37</v>
      </c>
      <c r="G2710">
        <v>36.49</v>
      </c>
      <c r="H2710">
        <v>8830.58</v>
      </c>
    </row>
    <row r="2711" spans="1:8" x14ac:dyDescent="0.35">
      <c r="A2711" t="s">
        <v>8</v>
      </c>
      <c r="B2711" t="s">
        <v>12</v>
      </c>
      <c r="C2711" t="s">
        <v>9</v>
      </c>
      <c r="D2711">
        <v>111</v>
      </c>
      <c r="E2711">
        <v>6</v>
      </c>
      <c r="F2711">
        <v>5.41</v>
      </c>
      <c r="G2711">
        <v>35.11</v>
      </c>
      <c r="H2711">
        <v>3897.21</v>
      </c>
    </row>
    <row r="2712" spans="1:8" x14ac:dyDescent="0.35">
      <c r="A2712" t="s">
        <v>7</v>
      </c>
      <c r="B2712" t="s">
        <v>12</v>
      </c>
      <c r="C2712" t="s">
        <v>9</v>
      </c>
      <c r="D2712">
        <v>93</v>
      </c>
      <c r="E2712">
        <v>3</v>
      </c>
      <c r="F2712">
        <v>3.23</v>
      </c>
      <c r="G2712">
        <v>35.880000000000003</v>
      </c>
      <c r="H2712">
        <v>3336.84</v>
      </c>
    </row>
    <row r="2713" spans="1:8" x14ac:dyDescent="0.35">
      <c r="A2713" t="s">
        <v>7</v>
      </c>
      <c r="B2713" t="s">
        <v>12</v>
      </c>
      <c r="C2713" t="s">
        <v>10</v>
      </c>
      <c r="D2713">
        <v>61</v>
      </c>
      <c r="E2713">
        <v>1</v>
      </c>
      <c r="F2713">
        <v>1.64</v>
      </c>
      <c r="G2713">
        <v>59.16</v>
      </c>
      <c r="H2713">
        <v>3608.76</v>
      </c>
    </row>
    <row r="2714" spans="1:8" x14ac:dyDescent="0.35">
      <c r="A2714" t="s">
        <v>7</v>
      </c>
      <c r="B2714" t="s">
        <v>12</v>
      </c>
      <c r="C2714" t="s">
        <v>9</v>
      </c>
      <c r="D2714">
        <v>232</v>
      </c>
      <c r="E2714">
        <v>3</v>
      </c>
      <c r="F2714">
        <v>1.29</v>
      </c>
      <c r="G2714">
        <v>42.21</v>
      </c>
      <c r="H2714">
        <v>9792.7199999999993</v>
      </c>
    </row>
    <row r="2715" spans="1:8" x14ac:dyDescent="0.35">
      <c r="A2715" t="s">
        <v>6</v>
      </c>
      <c r="B2715" t="s">
        <v>12</v>
      </c>
      <c r="C2715" t="s">
        <v>11</v>
      </c>
      <c r="D2715">
        <v>254</v>
      </c>
      <c r="E2715">
        <v>6</v>
      </c>
      <c r="F2715">
        <v>2.36</v>
      </c>
      <c r="G2715">
        <v>17.7</v>
      </c>
      <c r="H2715">
        <v>4495.8</v>
      </c>
    </row>
    <row r="2716" spans="1:8" x14ac:dyDescent="0.35">
      <c r="A2716" t="s">
        <v>8</v>
      </c>
      <c r="B2716" t="s">
        <v>12</v>
      </c>
      <c r="C2716" t="s">
        <v>9</v>
      </c>
      <c r="D2716">
        <v>87</v>
      </c>
      <c r="E2716">
        <v>5</v>
      </c>
      <c r="F2716">
        <v>5.75</v>
      </c>
      <c r="G2716">
        <v>14.82</v>
      </c>
      <c r="H2716">
        <v>1289.3399999999999</v>
      </c>
    </row>
    <row r="2717" spans="1:8" x14ac:dyDescent="0.35">
      <c r="A2717" t="s">
        <v>8</v>
      </c>
      <c r="B2717" t="s">
        <v>12</v>
      </c>
      <c r="C2717" t="s">
        <v>9</v>
      </c>
      <c r="D2717">
        <v>164</v>
      </c>
      <c r="E2717">
        <v>11</v>
      </c>
      <c r="F2717">
        <v>6.71</v>
      </c>
      <c r="G2717">
        <v>44.38</v>
      </c>
      <c r="H2717">
        <v>7278.32</v>
      </c>
    </row>
    <row r="2718" spans="1:8" x14ac:dyDescent="0.35">
      <c r="A2718" t="s">
        <v>7</v>
      </c>
      <c r="B2718" t="s">
        <v>12</v>
      </c>
      <c r="C2718" t="s">
        <v>9</v>
      </c>
      <c r="D2718">
        <v>171</v>
      </c>
      <c r="E2718">
        <v>3</v>
      </c>
      <c r="F2718">
        <v>1.75</v>
      </c>
      <c r="G2718">
        <v>32.42</v>
      </c>
      <c r="H2718">
        <v>5543.82</v>
      </c>
    </row>
    <row r="2719" spans="1:8" x14ac:dyDescent="0.35">
      <c r="A2719" t="s">
        <v>6</v>
      </c>
      <c r="B2719" t="s">
        <v>12</v>
      </c>
      <c r="C2719" t="s">
        <v>11</v>
      </c>
      <c r="D2719">
        <v>289</v>
      </c>
      <c r="E2719">
        <v>25</v>
      </c>
      <c r="F2719">
        <v>8.65</v>
      </c>
      <c r="G2719">
        <v>5.18</v>
      </c>
      <c r="H2719">
        <v>1497.02</v>
      </c>
    </row>
    <row r="2720" spans="1:8" x14ac:dyDescent="0.35">
      <c r="A2720" t="s">
        <v>7</v>
      </c>
      <c r="B2720" t="s">
        <v>12</v>
      </c>
      <c r="C2720" t="s">
        <v>10</v>
      </c>
      <c r="D2720">
        <v>157</v>
      </c>
      <c r="E2720">
        <v>14</v>
      </c>
      <c r="F2720">
        <v>8.92</v>
      </c>
      <c r="G2720">
        <v>33.11</v>
      </c>
      <c r="H2720">
        <v>5198.2700000000004</v>
      </c>
    </row>
    <row r="2721" spans="1:8" x14ac:dyDescent="0.35">
      <c r="A2721" t="s">
        <v>8</v>
      </c>
      <c r="B2721" t="s">
        <v>12</v>
      </c>
      <c r="C2721" t="s">
        <v>9</v>
      </c>
      <c r="D2721">
        <v>106</v>
      </c>
      <c r="E2721">
        <v>3</v>
      </c>
      <c r="F2721">
        <v>2.83</v>
      </c>
      <c r="G2721">
        <v>21.46</v>
      </c>
      <c r="H2721">
        <v>2274.7600000000002</v>
      </c>
    </row>
    <row r="2722" spans="1:8" x14ac:dyDescent="0.35">
      <c r="A2722" t="s">
        <v>5</v>
      </c>
      <c r="B2722" t="s">
        <v>12</v>
      </c>
      <c r="C2722" t="s">
        <v>9</v>
      </c>
      <c r="D2722">
        <v>295</v>
      </c>
      <c r="E2722">
        <v>8</v>
      </c>
      <c r="F2722">
        <v>2.71</v>
      </c>
      <c r="G2722">
        <v>21.47</v>
      </c>
      <c r="H2722">
        <v>6333.65</v>
      </c>
    </row>
    <row r="2723" spans="1:8" x14ac:dyDescent="0.35">
      <c r="A2723" t="s">
        <v>6</v>
      </c>
      <c r="B2723" t="s">
        <v>12</v>
      </c>
      <c r="C2723" t="s">
        <v>9</v>
      </c>
      <c r="D2723">
        <v>92</v>
      </c>
      <c r="E2723">
        <v>1</v>
      </c>
      <c r="F2723">
        <v>1.0900000000000001</v>
      </c>
      <c r="G2723">
        <v>41.25</v>
      </c>
      <c r="H2723">
        <v>3795</v>
      </c>
    </row>
    <row r="2724" spans="1:8" x14ac:dyDescent="0.35">
      <c r="A2724" t="s">
        <v>5</v>
      </c>
      <c r="B2724" t="s">
        <v>12</v>
      </c>
      <c r="C2724" t="s">
        <v>9</v>
      </c>
      <c r="D2724">
        <v>299</v>
      </c>
      <c r="E2724">
        <v>2</v>
      </c>
      <c r="F2724">
        <v>0.67</v>
      </c>
      <c r="G2724">
        <v>23.73</v>
      </c>
      <c r="H2724">
        <v>7095.27</v>
      </c>
    </row>
    <row r="2725" spans="1:8" x14ac:dyDescent="0.35">
      <c r="A2725" t="s">
        <v>7</v>
      </c>
      <c r="B2725" t="s">
        <v>12</v>
      </c>
      <c r="C2725" t="s">
        <v>10</v>
      </c>
      <c r="D2725">
        <v>159</v>
      </c>
      <c r="E2725">
        <v>5</v>
      </c>
      <c r="F2725">
        <v>3.14</v>
      </c>
      <c r="G2725">
        <v>30.24</v>
      </c>
      <c r="H2725">
        <v>4808.16</v>
      </c>
    </row>
    <row r="2726" spans="1:8" x14ac:dyDescent="0.35">
      <c r="A2726" t="s">
        <v>7</v>
      </c>
      <c r="B2726" t="s">
        <v>12</v>
      </c>
      <c r="C2726" t="s">
        <v>9</v>
      </c>
      <c r="D2726">
        <v>245</v>
      </c>
      <c r="E2726">
        <v>17</v>
      </c>
      <c r="F2726">
        <v>6.94</v>
      </c>
      <c r="G2726">
        <v>34.04</v>
      </c>
      <c r="H2726">
        <v>8339.7999999999993</v>
      </c>
    </row>
    <row r="2727" spans="1:8" x14ac:dyDescent="0.35">
      <c r="A2727" t="s">
        <v>6</v>
      </c>
      <c r="B2727" t="s">
        <v>12</v>
      </c>
      <c r="C2727" t="s">
        <v>9</v>
      </c>
      <c r="D2727">
        <v>67</v>
      </c>
      <c r="E2727">
        <v>2</v>
      </c>
      <c r="F2727">
        <v>2.99</v>
      </c>
      <c r="G2727">
        <v>36.56</v>
      </c>
      <c r="H2727">
        <v>2449.52</v>
      </c>
    </row>
    <row r="2728" spans="1:8" x14ac:dyDescent="0.35">
      <c r="A2728" t="s">
        <v>7</v>
      </c>
      <c r="B2728" t="s">
        <v>12</v>
      </c>
      <c r="C2728" t="s">
        <v>10</v>
      </c>
      <c r="D2728">
        <v>225</v>
      </c>
      <c r="E2728">
        <v>14</v>
      </c>
      <c r="F2728">
        <v>6.22</v>
      </c>
      <c r="G2728">
        <v>12.98</v>
      </c>
      <c r="H2728">
        <v>2920.5</v>
      </c>
    </row>
    <row r="2729" spans="1:8" x14ac:dyDescent="0.35">
      <c r="A2729" t="s">
        <v>6</v>
      </c>
      <c r="B2729" t="s">
        <v>12</v>
      </c>
      <c r="C2729" t="s">
        <v>9</v>
      </c>
      <c r="D2729">
        <v>280</v>
      </c>
      <c r="E2729">
        <v>17</v>
      </c>
      <c r="F2729">
        <v>6.07</v>
      </c>
      <c r="G2729">
        <v>51.53</v>
      </c>
      <c r="H2729">
        <v>14428.4</v>
      </c>
    </row>
    <row r="2730" spans="1:8" x14ac:dyDescent="0.35">
      <c r="A2730" t="s">
        <v>6</v>
      </c>
      <c r="B2730" t="s">
        <v>12</v>
      </c>
      <c r="C2730" t="s">
        <v>9</v>
      </c>
      <c r="D2730">
        <v>76</v>
      </c>
      <c r="E2730">
        <v>4</v>
      </c>
      <c r="F2730">
        <v>5.26</v>
      </c>
      <c r="G2730">
        <v>47.58</v>
      </c>
      <c r="H2730">
        <v>3616.08</v>
      </c>
    </row>
    <row r="2731" spans="1:8" x14ac:dyDescent="0.35">
      <c r="A2731" t="s">
        <v>6</v>
      </c>
      <c r="B2731" t="s">
        <v>12</v>
      </c>
      <c r="C2731" t="s">
        <v>11</v>
      </c>
      <c r="D2731">
        <v>145</v>
      </c>
      <c r="E2731">
        <v>3</v>
      </c>
      <c r="F2731">
        <v>2.0699999999999998</v>
      </c>
      <c r="G2731">
        <v>10.28</v>
      </c>
      <c r="H2731">
        <v>1490.6</v>
      </c>
    </row>
    <row r="2732" spans="1:8" x14ac:dyDescent="0.35">
      <c r="A2732" t="s">
        <v>6</v>
      </c>
      <c r="B2732" t="s">
        <v>12</v>
      </c>
      <c r="C2732" t="s">
        <v>9</v>
      </c>
      <c r="D2732">
        <v>170</v>
      </c>
      <c r="E2732">
        <v>0</v>
      </c>
      <c r="F2732">
        <v>0</v>
      </c>
      <c r="G2732">
        <v>33.1</v>
      </c>
      <c r="H2732">
        <v>5627</v>
      </c>
    </row>
    <row r="2733" spans="1:8" x14ac:dyDescent="0.35">
      <c r="A2733" t="s">
        <v>5</v>
      </c>
      <c r="B2733" t="s">
        <v>12</v>
      </c>
      <c r="C2733" t="s">
        <v>9</v>
      </c>
      <c r="D2733">
        <v>247</v>
      </c>
      <c r="E2733">
        <v>2</v>
      </c>
      <c r="F2733">
        <v>0.81</v>
      </c>
      <c r="G2733">
        <v>5.88</v>
      </c>
      <c r="H2733">
        <v>1452.36</v>
      </c>
    </row>
    <row r="2734" spans="1:8" x14ac:dyDescent="0.35">
      <c r="A2734" t="s">
        <v>8</v>
      </c>
      <c r="B2734" t="s">
        <v>12</v>
      </c>
      <c r="C2734" t="s">
        <v>9</v>
      </c>
      <c r="D2734">
        <v>193</v>
      </c>
      <c r="E2734">
        <v>0</v>
      </c>
      <c r="F2734">
        <v>0</v>
      </c>
      <c r="G2734">
        <v>59</v>
      </c>
      <c r="H2734">
        <v>11387</v>
      </c>
    </row>
    <row r="2735" spans="1:8" x14ac:dyDescent="0.35">
      <c r="A2735" t="s">
        <v>7</v>
      </c>
      <c r="B2735" t="s">
        <v>12</v>
      </c>
      <c r="C2735" t="s">
        <v>9</v>
      </c>
      <c r="D2735">
        <v>83</v>
      </c>
      <c r="E2735">
        <v>1</v>
      </c>
      <c r="F2735">
        <v>1.2</v>
      </c>
      <c r="G2735">
        <v>56.15</v>
      </c>
      <c r="H2735">
        <v>4660.45</v>
      </c>
    </row>
    <row r="2736" spans="1:8" x14ac:dyDescent="0.35">
      <c r="A2736" t="s">
        <v>7</v>
      </c>
      <c r="B2736" t="s">
        <v>12</v>
      </c>
      <c r="C2736" t="s">
        <v>10</v>
      </c>
      <c r="D2736">
        <v>95</v>
      </c>
      <c r="E2736">
        <v>5</v>
      </c>
      <c r="F2736">
        <v>5.26</v>
      </c>
      <c r="G2736">
        <v>48.44</v>
      </c>
      <c r="H2736">
        <v>4601.8</v>
      </c>
    </row>
    <row r="2737" spans="1:8" x14ac:dyDescent="0.35">
      <c r="A2737" t="s">
        <v>5</v>
      </c>
      <c r="B2737" t="s">
        <v>12</v>
      </c>
      <c r="C2737" t="s">
        <v>9</v>
      </c>
      <c r="D2737">
        <v>276</v>
      </c>
      <c r="E2737">
        <v>12</v>
      </c>
      <c r="F2737">
        <v>4.3499999999999996</v>
      </c>
      <c r="G2737">
        <v>62.85</v>
      </c>
      <c r="H2737">
        <v>17346.599999999999</v>
      </c>
    </row>
    <row r="2738" spans="1:8" x14ac:dyDescent="0.35">
      <c r="A2738" t="s">
        <v>7</v>
      </c>
      <c r="B2738" t="s">
        <v>12</v>
      </c>
      <c r="C2738" t="s">
        <v>10</v>
      </c>
      <c r="D2738">
        <v>125</v>
      </c>
      <c r="E2738">
        <v>12</v>
      </c>
      <c r="F2738">
        <v>9.6</v>
      </c>
      <c r="G2738">
        <v>27.86</v>
      </c>
      <c r="H2738">
        <v>3482.5</v>
      </c>
    </row>
    <row r="2739" spans="1:8" x14ac:dyDescent="0.35">
      <c r="A2739" t="s">
        <v>7</v>
      </c>
      <c r="B2739" t="s">
        <v>12</v>
      </c>
      <c r="C2739" t="s">
        <v>10</v>
      </c>
      <c r="D2739">
        <v>214</v>
      </c>
      <c r="E2739">
        <v>19</v>
      </c>
      <c r="F2739">
        <v>8.8800000000000008</v>
      </c>
      <c r="G2739">
        <v>63</v>
      </c>
      <c r="H2739">
        <v>13482</v>
      </c>
    </row>
    <row r="2740" spans="1:8" x14ac:dyDescent="0.35">
      <c r="A2740" t="s">
        <v>6</v>
      </c>
      <c r="B2740" t="s">
        <v>12</v>
      </c>
      <c r="C2740" t="s">
        <v>11</v>
      </c>
      <c r="D2740">
        <v>89</v>
      </c>
      <c r="E2740">
        <v>8</v>
      </c>
      <c r="F2740">
        <v>8.99</v>
      </c>
      <c r="G2740">
        <v>62.91</v>
      </c>
      <c r="H2740">
        <v>5598.99</v>
      </c>
    </row>
    <row r="2741" spans="1:8" x14ac:dyDescent="0.35">
      <c r="A2741" t="s">
        <v>6</v>
      </c>
      <c r="B2741" t="s">
        <v>12</v>
      </c>
      <c r="C2741" t="s">
        <v>11</v>
      </c>
      <c r="D2741">
        <v>169</v>
      </c>
      <c r="E2741">
        <v>6</v>
      </c>
      <c r="F2741">
        <v>3.55</v>
      </c>
      <c r="G2741">
        <v>61.83</v>
      </c>
      <c r="H2741">
        <v>10449.27</v>
      </c>
    </row>
    <row r="2742" spans="1:8" x14ac:dyDescent="0.35">
      <c r="A2742" t="s">
        <v>7</v>
      </c>
      <c r="B2742" t="s">
        <v>12</v>
      </c>
      <c r="C2742" t="s">
        <v>9</v>
      </c>
      <c r="D2742">
        <v>256</v>
      </c>
      <c r="E2742">
        <v>9</v>
      </c>
      <c r="F2742">
        <v>3.52</v>
      </c>
      <c r="G2742">
        <v>52.54</v>
      </c>
      <c r="H2742">
        <v>13450.24</v>
      </c>
    </row>
    <row r="2743" spans="1:8" x14ac:dyDescent="0.35">
      <c r="A2743" t="s">
        <v>6</v>
      </c>
      <c r="B2743" t="s">
        <v>12</v>
      </c>
      <c r="C2743" t="s">
        <v>11</v>
      </c>
      <c r="D2743">
        <v>208</v>
      </c>
      <c r="E2743">
        <v>11</v>
      </c>
      <c r="F2743">
        <v>5.29</v>
      </c>
      <c r="G2743">
        <v>9.6300000000000008</v>
      </c>
      <c r="H2743">
        <v>2003.04</v>
      </c>
    </row>
    <row r="2744" spans="1:8" x14ac:dyDescent="0.35">
      <c r="A2744" t="s">
        <v>7</v>
      </c>
      <c r="B2744" t="s">
        <v>12</v>
      </c>
      <c r="C2744" t="s">
        <v>10</v>
      </c>
      <c r="D2744">
        <v>254</v>
      </c>
      <c r="E2744">
        <v>6</v>
      </c>
      <c r="F2744">
        <v>2.36</v>
      </c>
      <c r="G2744">
        <v>69.53</v>
      </c>
      <c r="H2744">
        <v>17660.62</v>
      </c>
    </row>
    <row r="2745" spans="1:8" x14ac:dyDescent="0.35">
      <c r="A2745" t="s">
        <v>7</v>
      </c>
      <c r="B2745" t="s">
        <v>12</v>
      </c>
      <c r="C2745" t="s">
        <v>10</v>
      </c>
      <c r="D2745">
        <v>155</v>
      </c>
      <c r="E2745">
        <v>3</v>
      </c>
      <c r="F2745">
        <v>1.94</v>
      </c>
      <c r="G2745">
        <v>41.08</v>
      </c>
      <c r="H2745">
        <v>6367.4</v>
      </c>
    </row>
    <row r="2746" spans="1:8" x14ac:dyDescent="0.35">
      <c r="A2746" t="s">
        <v>7</v>
      </c>
      <c r="B2746" t="s">
        <v>12</v>
      </c>
      <c r="C2746" t="s">
        <v>9</v>
      </c>
      <c r="D2746">
        <v>250</v>
      </c>
      <c r="E2746">
        <v>6</v>
      </c>
      <c r="F2746">
        <v>2.4</v>
      </c>
      <c r="G2746">
        <v>30.74</v>
      </c>
      <c r="H2746">
        <v>7685</v>
      </c>
    </row>
    <row r="2747" spans="1:8" x14ac:dyDescent="0.35">
      <c r="A2747" t="s">
        <v>6</v>
      </c>
      <c r="B2747" t="s">
        <v>12</v>
      </c>
      <c r="C2747" t="s">
        <v>9</v>
      </c>
      <c r="D2747">
        <v>196</v>
      </c>
      <c r="E2747">
        <v>12</v>
      </c>
      <c r="F2747">
        <v>6.12</v>
      </c>
      <c r="G2747">
        <v>6.43</v>
      </c>
      <c r="H2747">
        <v>1260.28</v>
      </c>
    </row>
    <row r="2748" spans="1:8" x14ac:dyDescent="0.35">
      <c r="A2748" t="s">
        <v>8</v>
      </c>
      <c r="B2748" t="s">
        <v>12</v>
      </c>
      <c r="C2748" t="s">
        <v>9</v>
      </c>
      <c r="D2748">
        <v>160</v>
      </c>
      <c r="E2748">
        <v>3</v>
      </c>
      <c r="F2748">
        <v>1.88</v>
      </c>
      <c r="G2748">
        <v>37.26</v>
      </c>
      <c r="H2748">
        <v>5961.6</v>
      </c>
    </row>
    <row r="2749" spans="1:8" x14ac:dyDescent="0.35">
      <c r="A2749" t="s">
        <v>5</v>
      </c>
      <c r="B2749" t="s">
        <v>12</v>
      </c>
      <c r="C2749" t="s">
        <v>9</v>
      </c>
      <c r="D2749">
        <v>294</v>
      </c>
      <c r="E2749">
        <v>14</v>
      </c>
      <c r="F2749">
        <v>4.76</v>
      </c>
      <c r="G2749">
        <v>31.11</v>
      </c>
      <c r="H2749">
        <v>9146.34</v>
      </c>
    </row>
    <row r="2750" spans="1:8" x14ac:dyDescent="0.35">
      <c r="A2750" t="s">
        <v>5</v>
      </c>
      <c r="B2750" t="s">
        <v>12</v>
      </c>
      <c r="C2750" t="s">
        <v>9</v>
      </c>
      <c r="D2750">
        <v>132</v>
      </c>
      <c r="E2750">
        <v>5</v>
      </c>
      <c r="F2750">
        <v>3.79</v>
      </c>
      <c r="G2750">
        <v>54.12</v>
      </c>
      <c r="H2750">
        <v>7143.84</v>
      </c>
    </row>
    <row r="2751" spans="1:8" x14ac:dyDescent="0.35">
      <c r="A2751" t="s">
        <v>7</v>
      </c>
      <c r="B2751" t="s">
        <v>12</v>
      </c>
      <c r="C2751" t="s">
        <v>9</v>
      </c>
      <c r="D2751">
        <v>154</v>
      </c>
      <c r="E2751">
        <v>10</v>
      </c>
      <c r="F2751">
        <v>6.49</v>
      </c>
      <c r="G2751">
        <v>56.73</v>
      </c>
      <c r="H2751">
        <v>8736.42</v>
      </c>
    </row>
    <row r="2752" spans="1:8" x14ac:dyDescent="0.35">
      <c r="A2752" t="s">
        <v>6</v>
      </c>
      <c r="B2752" t="s">
        <v>12</v>
      </c>
      <c r="C2752" t="s">
        <v>11</v>
      </c>
      <c r="D2752">
        <v>82</v>
      </c>
      <c r="E2752">
        <v>8</v>
      </c>
      <c r="F2752">
        <v>9.76</v>
      </c>
      <c r="G2752">
        <v>22.9</v>
      </c>
      <c r="H2752">
        <v>1877.8</v>
      </c>
    </row>
    <row r="2753" spans="1:8" x14ac:dyDescent="0.35">
      <c r="A2753" t="s">
        <v>7</v>
      </c>
      <c r="B2753" t="s">
        <v>12</v>
      </c>
      <c r="C2753" t="s">
        <v>9</v>
      </c>
      <c r="D2753">
        <v>146</v>
      </c>
      <c r="E2753">
        <v>7</v>
      </c>
      <c r="F2753">
        <v>4.79</v>
      </c>
      <c r="G2753">
        <v>54.42</v>
      </c>
      <c r="H2753">
        <v>7945.32</v>
      </c>
    </row>
    <row r="2754" spans="1:8" x14ac:dyDescent="0.35">
      <c r="A2754" t="s">
        <v>7</v>
      </c>
      <c r="B2754" t="s">
        <v>12</v>
      </c>
      <c r="C2754" t="s">
        <v>10</v>
      </c>
      <c r="D2754">
        <v>217</v>
      </c>
      <c r="E2754">
        <v>9</v>
      </c>
      <c r="F2754">
        <v>4.1500000000000004</v>
      </c>
      <c r="G2754">
        <v>66.53</v>
      </c>
      <c r="H2754">
        <v>14437.01</v>
      </c>
    </row>
    <row r="2755" spans="1:8" x14ac:dyDescent="0.35">
      <c r="A2755" t="s">
        <v>7</v>
      </c>
      <c r="B2755" t="s">
        <v>12</v>
      </c>
      <c r="C2755" t="s">
        <v>10</v>
      </c>
      <c r="D2755">
        <v>100</v>
      </c>
      <c r="E2755">
        <v>3</v>
      </c>
      <c r="F2755">
        <v>3</v>
      </c>
      <c r="G2755">
        <v>53.71</v>
      </c>
      <c r="H2755">
        <v>5371</v>
      </c>
    </row>
    <row r="2756" spans="1:8" x14ac:dyDescent="0.35">
      <c r="A2756" t="s">
        <v>6</v>
      </c>
      <c r="B2756" t="s">
        <v>12</v>
      </c>
      <c r="C2756" t="s">
        <v>9</v>
      </c>
      <c r="D2756">
        <v>109</v>
      </c>
      <c r="E2756">
        <v>5</v>
      </c>
      <c r="F2756">
        <v>4.59</v>
      </c>
      <c r="G2756">
        <v>13.78</v>
      </c>
      <c r="H2756">
        <v>1502.02</v>
      </c>
    </row>
    <row r="2757" spans="1:8" x14ac:dyDescent="0.35">
      <c r="A2757" t="s">
        <v>5</v>
      </c>
      <c r="B2757" t="s">
        <v>12</v>
      </c>
      <c r="C2757" t="s">
        <v>9</v>
      </c>
      <c r="D2757">
        <v>193</v>
      </c>
      <c r="E2757">
        <v>15</v>
      </c>
      <c r="F2757">
        <v>7.77</v>
      </c>
      <c r="G2757">
        <v>27.15</v>
      </c>
      <c r="H2757">
        <v>5239.95</v>
      </c>
    </row>
    <row r="2758" spans="1:8" x14ac:dyDescent="0.35">
      <c r="A2758" t="s">
        <v>6</v>
      </c>
      <c r="B2758" t="s">
        <v>12</v>
      </c>
      <c r="C2758" t="s">
        <v>9</v>
      </c>
      <c r="D2758">
        <v>114</v>
      </c>
      <c r="E2758">
        <v>8</v>
      </c>
      <c r="F2758">
        <v>7.02</v>
      </c>
      <c r="G2758">
        <v>66.33</v>
      </c>
      <c r="H2758">
        <v>7561.62</v>
      </c>
    </row>
    <row r="2759" spans="1:8" x14ac:dyDescent="0.35">
      <c r="A2759" t="s">
        <v>6</v>
      </c>
      <c r="B2759" t="s">
        <v>12</v>
      </c>
      <c r="C2759" t="s">
        <v>11</v>
      </c>
      <c r="D2759">
        <v>120</v>
      </c>
      <c r="E2759">
        <v>3</v>
      </c>
      <c r="F2759">
        <v>2.5</v>
      </c>
      <c r="G2759">
        <v>40.19</v>
      </c>
      <c r="H2759">
        <v>4822.8</v>
      </c>
    </row>
    <row r="2760" spans="1:8" x14ac:dyDescent="0.35">
      <c r="A2760" t="s">
        <v>7</v>
      </c>
      <c r="B2760" t="s">
        <v>12</v>
      </c>
      <c r="C2760" t="s">
        <v>9</v>
      </c>
      <c r="D2760">
        <v>91</v>
      </c>
      <c r="E2760">
        <v>5</v>
      </c>
      <c r="F2760">
        <v>5.49</v>
      </c>
      <c r="G2760">
        <v>67.38</v>
      </c>
      <c r="H2760">
        <v>6131.58</v>
      </c>
    </row>
    <row r="2761" spans="1:8" x14ac:dyDescent="0.35">
      <c r="A2761" t="s">
        <v>6</v>
      </c>
      <c r="B2761" t="s">
        <v>12</v>
      </c>
      <c r="C2761" t="s">
        <v>11</v>
      </c>
      <c r="D2761">
        <v>167</v>
      </c>
      <c r="E2761">
        <v>12</v>
      </c>
      <c r="F2761">
        <v>7.19</v>
      </c>
      <c r="G2761">
        <v>46.5</v>
      </c>
      <c r="H2761">
        <v>7765.5</v>
      </c>
    </row>
    <row r="2762" spans="1:8" x14ac:dyDescent="0.35">
      <c r="A2762" t="s">
        <v>8</v>
      </c>
      <c r="B2762" t="s">
        <v>12</v>
      </c>
      <c r="C2762" t="s">
        <v>9</v>
      </c>
      <c r="D2762">
        <v>261</v>
      </c>
      <c r="E2762">
        <v>0</v>
      </c>
      <c r="F2762">
        <v>0</v>
      </c>
      <c r="G2762">
        <v>50.33</v>
      </c>
      <c r="H2762">
        <v>13136.13</v>
      </c>
    </row>
    <row r="2763" spans="1:8" x14ac:dyDescent="0.35">
      <c r="A2763" t="s">
        <v>6</v>
      </c>
      <c r="B2763" t="s">
        <v>12</v>
      </c>
      <c r="C2763" t="s">
        <v>11</v>
      </c>
      <c r="D2763">
        <v>110</v>
      </c>
      <c r="E2763">
        <v>5</v>
      </c>
      <c r="F2763">
        <v>4.55</v>
      </c>
      <c r="G2763">
        <v>10.78</v>
      </c>
      <c r="H2763">
        <v>1185.8</v>
      </c>
    </row>
    <row r="2764" spans="1:8" x14ac:dyDescent="0.35">
      <c r="A2764" t="s">
        <v>7</v>
      </c>
      <c r="B2764" t="s">
        <v>12</v>
      </c>
      <c r="C2764" t="s">
        <v>9</v>
      </c>
      <c r="D2764">
        <v>239</v>
      </c>
      <c r="E2764">
        <v>1</v>
      </c>
      <c r="F2764">
        <v>0.42</v>
      </c>
      <c r="G2764">
        <v>28.37</v>
      </c>
      <c r="H2764">
        <v>6780.43</v>
      </c>
    </row>
    <row r="2765" spans="1:8" x14ac:dyDescent="0.35">
      <c r="A2765" t="s">
        <v>6</v>
      </c>
      <c r="B2765" t="s">
        <v>12</v>
      </c>
      <c r="C2765" t="s">
        <v>11</v>
      </c>
      <c r="D2765">
        <v>140</v>
      </c>
      <c r="E2765">
        <v>2</v>
      </c>
      <c r="F2765">
        <v>1.43</v>
      </c>
      <c r="G2765">
        <v>39.65</v>
      </c>
      <c r="H2765">
        <v>5551</v>
      </c>
    </row>
    <row r="2766" spans="1:8" x14ac:dyDescent="0.35">
      <c r="A2766" t="s">
        <v>7</v>
      </c>
      <c r="B2766" t="s">
        <v>12</v>
      </c>
      <c r="C2766" t="s">
        <v>9</v>
      </c>
      <c r="D2766">
        <v>242</v>
      </c>
      <c r="E2766">
        <v>13</v>
      </c>
      <c r="F2766">
        <v>5.37</v>
      </c>
      <c r="G2766">
        <v>54.59</v>
      </c>
      <c r="H2766">
        <v>13210.78</v>
      </c>
    </row>
    <row r="2767" spans="1:8" x14ac:dyDescent="0.35">
      <c r="A2767" t="s">
        <v>8</v>
      </c>
      <c r="B2767" t="s">
        <v>12</v>
      </c>
      <c r="C2767" t="s">
        <v>9</v>
      </c>
      <c r="D2767">
        <v>228</v>
      </c>
      <c r="E2767">
        <v>12</v>
      </c>
      <c r="F2767">
        <v>5.26</v>
      </c>
      <c r="G2767">
        <v>63.81</v>
      </c>
      <c r="H2767">
        <v>14548.68</v>
      </c>
    </row>
    <row r="2768" spans="1:8" x14ac:dyDescent="0.35">
      <c r="A2768" t="s">
        <v>6</v>
      </c>
      <c r="B2768" t="s">
        <v>12</v>
      </c>
      <c r="C2768" t="s">
        <v>9</v>
      </c>
      <c r="D2768">
        <v>255</v>
      </c>
      <c r="E2768">
        <v>21</v>
      </c>
      <c r="F2768">
        <v>8.24</v>
      </c>
      <c r="G2768">
        <v>12.64</v>
      </c>
      <c r="H2768">
        <v>3223.2</v>
      </c>
    </row>
    <row r="2769" spans="1:8" x14ac:dyDescent="0.35">
      <c r="A2769" t="s">
        <v>8</v>
      </c>
      <c r="B2769" t="s">
        <v>12</v>
      </c>
      <c r="C2769" t="s">
        <v>9</v>
      </c>
      <c r="D2769">
        <v>147</v>
      </c>
      <c r="E2769">
        <v>3</v>
      </c>
      <c r="F2769">
        <v>2.04</v>
      </c>
      <c r="G2769">
        <v>25.61</v>
      </c>
      <c r="H2769">
        <v>3764.67</v>
      </c>
    </row>
    <row r="2770" spans="1:8" x14ac:dyDescent="0.35">
      <c r="A2770" t="s">
        <v>8</v>
      </c>
      <c r="B2770" t="s">
        <v>12</v>
      </c>
      <c r="C2770" t="s">
        <v>9</v>
      </c>
      <c r="D2770">
        <v>150</v>
      </c>
      <c r="E2770">
        <v>0</v>
      </c>
      <c r="F2770">
        <v>0</v>
      </c>
      <c r="G2770">
        <v>23.95</v>
      </c>
      <c r="H2770">
        <v>3592.5</v>
      </c>
    </row>
    <row r="2771" spans="1:8" x14ac:dyDescent="0.35">
      <c r="A2771" t="s">
        <v>5</v>
      </c>
      <c r="B2771" t="s">
        <v>12</v>
      </c>
      <c r="C2771" t="s">
        <v>9</v>
      </c>
      <c r="D2771">
        <v>193</v>
      </c>
      <c r="E2771">
        <v>3</v>
      </c>
      <c r="F2771">
        <v>1.55</v>
      </c>
      <c r="G2771">
        <v>32.85</v>
      </c>
      <c r="H2771">
        <v>6340.05</v>
      </c>
    </row>
    <row r="2772" spans="1:8" x14ac:dyDescent="0.35">
      <c r="A2772" t="s">
        <v>5</v>
      </c>
      <c r="B2772" t="s">
        <v>12</v>
      </c>
      <c r="C2772" t="s">
        <v>9</v>
      </c>
      <c r="D2772">
        <v>107</v>
      </c>
      <c r="E2772">
        <v>8</v>
      </c>
      <c r="F2772">
        <v>7.48</v>
      </c>
      <c r="G2772">
        <v>23.46</v>
      </c>
      <c r="H2772">
        <v>2510.2199999999998</v>
      </c>
    </row>
    <row r="2773" spans="1:8" x14ac:dyDescent="0.35">
      <c r="A2773" t="s">
        <v>6</v>
      </c>
      <c r="B2773" t="s">
        <v>12</v>
      </c>
      <c r="C2773" t="s">
        <v>11</v>
      </c>
      <c r="D2773">
        <v>261</v>
      </c>
      <c r="E2773">
        <v>15</v>
      </c>
      <c r="F2773">
        <v>5.75</v>
      </c>
      <c r="G2773">
        <v>68.05</v>
      </c>
      <c r="H2773">
        <v>17761.05</v>
      </c>
    </row>
    <row r="2774" spans="1:8" x14ac:dyDescent="0.35">
      <c r="A2774" t="s">
        <v>8</v>
      </c>
      <c r="B2774" t="s">
        <v>12</v>
      </c>
      <c r="C2774" t="s">
        <v>9</v>
      </c>
      <c r="D2774">
        <v>202</v>
      </c>
      <c r="E2774">
        <v>12</v>
      </c>
      <c r="F2774">
        <v>5.94</v>
      </c>
      <c r="G2774">
        <v>8.6</v>
      </c>
      <c r="H2774">
        <v>1737.2</v>
      </c>
    </row>
    <row r="2775" spans="1:8" x14ac:dyDescent="0.35">
      <c r="A2775" t="s">
        <v>6</v>
      </c>
      <c r="B2775" t="s">
        <v>12</v>
      </c>
      <c r="C2775" t="s">
        <v>9</v>
      </c>
      <c r="D2775">
        <v>262</v>
      </c>
      <c r="E2775">
        <v>12</v>
      </c>
      <c r="F2775">
        <v>4.58</v>
      </c>
      <c r="G2775">
        <v>34.380000000000003</v>
      </c>
      <c r="H2775">
        <v>9007.56</v>
      </c>
    </row>
    <row r="2776" spans="1:8" x14ac:dyDescent="0.35">
      <c r="A2776" t="s">
        <v>5</v>
      </c>
      <c r="B2776" t="s">
        <v>12</v>
      </c>
      <c r="C2776" t="s">
        <v>9</v>
      </c>
      <c r="D2776">
        <v>251</v>
      </c>
      <c r="E2776">
        <v>17</v>
      </c>
      <c r="F2776">
        <v>6.77</v>
      </c>
      <c r="G2776">
        <v>58.12</v>
      </c>
      <c r="H2776">
        <v>14588.12</v>
      </c>
    </row>
    <row r="2777" spans="1:8" x14ac:dyDescent="0.35">
      <c r="A2777" t="s">
        <v>5</v>
      </c>
      <c r="B2777" t="s">
        <v>12</v>
      </c>
      <c r="C2777" t="s">
        <v>9</v>
      </c>
      <c r="D2777">
        <v>285</v>
      </c>
      <c r="E2777">
        <v>11</v>
      </c>
      <c r="F2777">
        <v>3.86</v>
      </c>
      <c r="G2777">
        <v>42.34</v>
      </c>
      <c r="H2777">
        <v>12066.9</v>
      </c>
    </row>
    <row r="2778" spans="1:8" x14ac:dyDescent="0.35">
      <c r="A2778" t="s">
        <v>6</v>
      </c>
      <c r="B2778" t="s">
        <v>12</v>
      </c>
      <c r="C2778" t="s">
        <v>9</v>
      </c>
      <c r="D2778">
        <v>111</v>
      </c>
      <c r="E2778">
        <v>5</v>
      </c>
      <c r="F2778">
        <v>4.5</v>
      </c>
      <c r="G2778">
        <v>48.51</v>
      </c>
      <c r="H2778">
        <v>5384.61</v>
      </c>
    </row>
    <row r="2779" spans="1:8" x14ac:dyDescent="0.35">
      <c r="A2779" t="s">
        <v>7</v>
      </c>
      <c r="B2779" t="s">
        <v>12</v>
      </c>
      <c r="C2779" t="s">
        <v>10</v>
      </c>
      <c r="D2779">
        <v>180</v>
      </c>
      <c r="E2779">
        <v>10</v>
      </c>
      <c r="F2779">
        <v>5.56</v>
      </c>
      <c r="G2779">
        <v>5.35</v>
      </c>
      <c r="H2779">
        <v>963</v>
      </c>
    </row>
    <row r="2780" spans="1:8" x14ac:dyDescent="0.35">
      <c r="A2780" t="s">
        <v>5</v>
      </c>
      <c r="B2780" t="s">
        <v>12</v>
      </c>
      <c r="C2780" t="s">
        <v>9</v>
      </c>
      <c r="D2780">
        <v>266</v>
      </c>
      <c r="E2780">
        <v>24</v>
      </c>
      <c r="F2780">
        <v>9.02</v>
      </c>
      <c r="G2780">
        <v>37.590000000000003</v>
      </c>
      <c r="H2780">
        <v>9998.94</v>
      </c>
    </row>
    <row r="2781" spans="1:8" x14ac:dyDescent="0.35">
      <c r="A2781" t="s">
        <v>7</v>
      </c>
      <c r="B2781" t="s">
        <v>12</v>
      </c>
      <c r="C2781" t="s">
        <v>10</v>
      </c>
      <c r="D2781">
        <v>266</v>
      </c>
      <c r="E2781">
        <v>22</v>
      </c>
      <c r="F2781">
        <v>8.27</v>
      </c>
      <c r="G2781">
        <v>24.94</v>
      </c>
      <c r="H2781">
        <v>6634.04</v>
      </c>
    </row>
    <row r="2782" spans="1:8" x14ac:dyDescent="0.35">
      <c r="A2782" t="s">
        <v>6</v>
      </c>
      <c r="B2782" t="s">
        <v>12</v>
      </c>
      <c r="C2782" t="s">
        <v>9</v>
      </c>
      <c r="D2782">
        <v>271</v>
      </c>
      <c r="E2782">
        <v>21</v>
      </c>
      <c r="F2782">
        <v>7.75</v>
      </c>
      <c r="G2782">
        <v>18.440000000000001</v>
      </c>
      <c r="H2782">
        <v>4997.24</v>
      </c>
    </row>
    <row r="2783" spans="1:8" x14ac:dyDescent="0.35">
      <c r="A2783" t="s">
        <v>7</v>
      </c>
      <c r="B2783" t="s">
        <v>12</v>
      </c>
      <c r="C2783" t="s">
        <v>9</v>
      </c>
      <c r="D2783">
        <v>287</v>
      </c>
      <c r="E2783">
        <v>17</v>
      </c>
      <c r="F2783">
        <v>5.92</v>
      </c>
      <c r="G2783">
        <v>28.9</v>
      </c>
      <c r="H2783">
        <v>8294.2999999999993</v>
      </c>
    </row>
    <row r="2784" spans="1:8" x14ac:dyDescent="0.35">
      <c r="A2784" t="s">
        <v>6</v>
      </c>
      <c r="B2784" t="s">
        <v>12</v>
      </c>
      <c r="C2784" t="s">
        <v>11</v>
      </c>
      <c r="D2784">
        <v>278</v>
      </c>
      <c r="E2784">
        <v>9</v>
      </c>
      <c r="F2784">
        <v>3.24</v>
      </c>
      <c r="G2784">
        <v>6.77</v>
      </c>
      <c r="H2784">
        <v>1882.06</v>
      </c>
    </row>
    <row r="2785" spans="1:8" x14ac:dyDescent="0.35">
      <c r="A2785" t="s">
        <v>5</v>
      </c>
      <c r="B2785" t="s">
        <v>12</v>
      </c>
      <c r="C2785" t="s">
        <v>9</v>
      </c>
      <c r="D2785">
        <v>236</v>
      </c>
      <c r="E2785">
        <v>7</v>
      </c>
      <c r="F2785">
        <v>2.97</v>
      </c>
      <c r="G2785">
        <v>51.05</v>
      </c>
      <c r="H2785">
        <v>12047.8</v>
      </c>
    </row>
    <row r="2786" spans="1:8" x14ac:dyDescent="0.35">
      <c r="A2786" t="s">
        <v>6</v>
      </c>
      <c r="B2786" t="s">
        <v>12</v>
      </c>
      <c r="C2786" t="s">
        <v>11</v>
      </c>
      <c r="D2786">
        <v>277</v>
      </c>
      <c r="E2786">
        <v>27</v>
      </c>
      <c r="F2786">
        <v>9.75</v>
      </c>
      <c r="G2786">
        <v>52.71</v>
      </c>
      <c r="H2786">
        <v>14600.67</v>
      </c>
    </row>
    <row r="2787" spans="1:8" x14ac:dyDescent="0.35">
      <c r="A2787" t="s">
        <v>8</v>
      </c>
      <c r="B2787" t="s">
        <v>12</v>
      </c>
      <c r="C2787" t="s">
        <v>9</v>
      </c>
      <c r="D2787">
        <v>279</v>
      </c>
      <c r="E2787">
        <v>9</v>
      </c>
      <c r="F2787">
        <v>3.23</v>
      </c>
      <c r="G2787">
        <v>6.53</v>
      </c>
      <c r="H2787">
        <v>1821.87</v>
      </c>
    </row>
    <row r="2788" spans="1:8" x14ac:dyDescent="0.35">
      <c r="A2788" t="s">
        <v>5</v>
      </c>
      <c r="B2788" t="s">
        <v>12</v>
      </c>
      <c r="C2788" t="s">
        <v>9</v>
      </c>
      <c r="D2788">
        <v>133</v>
      </c>
      <c r="E2788">
        <v>4</v>
      </c>
      <c r="F2788">
        <v>3.01</v>
      </c>
      <c r="G2788">
        <v>57.85</v>
      </c>
      <c r="H2788">
        <v>7694.05</v>
      </c>
    </row>
    <row r="2789" spans="1:8" x14ac:dyDescent="0.35">
      <c r="A2789" t="s">
        <v>6</v>
      </c>
      <c r="B2789" t="s">
        <v>12</v>
      </c>
      <c r="C2789" t="s">
        <v>9</v>
      </c>
      <c r="D2789">
        <v>53</v>
      </c>
      <c r="E2789">
        <v>2</v>
      </c>
      <c r="F2789">
        <v>3.77</v>
      </c>
      <c r="G2789">
        <v>22.79</v>
      </c>
      <c r="H2789">
        <v>1207.8699999999999</v>
      </c>
    </row>
    <row r="2790" spans="1:8" x14ac:dyDescent="0.35">
      <c r="A2790" t="s">
        <v>5</v>
      </c>
      <c r="B2790" t="s">
        <v>12</v>
      </c>
      <c r="C2790" t="s">
        <v>9</v>
      </c>
      <c r="D2790">
        <v>279</v>
      </c>
      <c r="E2790">
        <v>1</v>
      </c>
      <c r="F2790">
        <v>0.36</v>
      </c>
      <c r="G2790">
        <v>27.37</v>
      </c>
      <c r="H2790">
        <v>7636.23</v>
      </c>
    </row>
    <row r="2791" spans="1:8" x14ac:dyDescent="0.35">
      <c r="A2791" t="s">
        <v>6</v>
      </c>
      <c r="B2791" t="s">
        <v>12</v>
      </c>
      <c r="C2791" t="s">
        <v>11</v>
      </c>
      <c r="D2791">
        <v>75</v>
      </c>
      <c r="E2791">
        <v>5</v>
      </c>
      <c r="F2791">
        <v>6.67</v>
      </c>
      <c r="G2791">
        <v>56.46</v>
      </c>
      <c r="H2791">
        <v>4234.5</v>
      </c>
    </row>
    <row r="2792" spans="1:8" x14ac:dyDescent="0.35">
      <c r="A2792" t="s">
        <v>6</v>
      </c>
      <c r="B2792" t="s">
        <v>12</v>
      </c>
      <c r="C2792" t="s">
        <v>9</v>
      </c>
      <c r="D2792">
        <v>147</v>
      </c>
      <c r="E2792">
        <v>3</v>
      </c>
      <c r="F2792">
        <v>2.04</v>
      </c>
      <c r="G2792">
        <v>57.08</v>
      </c>
      <c r="H2792">
        <v>8390.76</v>
      </c>
    </row>
    <row r="2793" spans="1:8" x14ac:dyDescent="0.35">
      <c r="A2793" t="s">
        <v>5</v>
      </c>
      <c r="B2793" t="s">
        <v>12</v>
      </c>
      <c r="C2793" t="s">
        <v>9</v>
      </c>
      <c r="D2793">
        <v>128</v>
      </c>
      <c r="E2793">
        <v>0</v>
      </c>
      <c r="F2793">
        <v>0</v>
      </c>
      <c r="G2793">
        <v>29.51</v>
      </c>
      <c r="H2793">
        <v>3777.28</v>
      </c>
    </row>
    <row r="2794" spans="1:8" x14ac:dyDescent="0.35">
      <c r="A2794" t="s">
        <v>8</v>
      </c>
      <c r="B2794" t="s">
        <v>12</v>
      </c>
      <c r="C2794" t="s">
        <v>9</v>
      </c>
      <c r="D2794">
        <v>80</v>
      </c>
      <c r="E2794">
        <v>3</v>
      </c>
      <c r="F2794">
        <v>3.75</v>
      </c>
      <c r="G2794">
        <v>33.590000000000003</v>
      </c>
      <c r="H2794">
        <v>2687.2</v>
      </c>
    </row>
    <row r="2795" spans="1:8" x14ac:dyDescent="0.35">
      <c r="A2795" t="s">
        <v>6</v>
      </c>
      <c r="B2795" t="s">
        <v>12</v>
      </c>
      <c r="C2795" t="s">
        <v>9</v>
      </c>
      <c r="D2795">
        <v>241</v>
      </c>
      <c r="E2795">
        <v>22</v>
      </c>
      <c r="F2795">
        <v>9.1300000000000008</v>
      </c>
      <c r="G2795">
        <v>41.7</v>
      </c>
      <c r="H2795">
        <v>10049.700000000001</v>
      </c>
    </row>
    <row r="2796" spans="1:8" x14ac:dyDescent="0.35">
      <c r="A2796" t="s">
        <v>8</v>
      </c>
      <c r="B2796" t="s">
        <v>12</v>
      </c>
      <c r="C2796" t="s">
        <v>9</v>
      </c>
      <c r="D2796">
        <v>210</v>
      </c>
      <c r="E2796">
        <v>14</v>
      </c>
      <c r="F2796">
        <v>6.67</v>
      </c>
      <c r="G2796">
        <v>32.57</v>
      </c>
      <c r="H2796">
        <v>6839.7</v>
      </c>
    </row>
    <row r="2797" spans="1:8" x14ac:dyDescent="0.35">
      <c r="A2797" t="s">
        <v>8</v>
      </c>
      <c r="B2797" t="s">
        <v>12</v>
      </c>
      <c r="C2797" t="s">
        <v>9</v>
      </c>
      <c r="D2797">
        <v>166</v>
      </c>
      <c r="E2797">
        <v>7</v>
      </c>
      <c r="F2797">
        <v>4.22</v>
      </c>
      <c r="G2797">
        <v>68.45</v>
      </c>
      <c r="H2797">
        <v>11362.7</v>
      </c>
    </row>
    <row r="2798" spans="1:8" x14ac:dyDescent="0.35">
      <c r="A2798" t="s">
        <v>6</v>
      </c>
      <c r="B2798" t="s">
        <v>12</v>
      </c>
      <c r="C2798" t="s">
        <v>11</v>
      </c>
      <c r="D2798">
        <v>90</v>
      </c>
      <c r="E2798">
        <v>6</v>
      </c>
      <c r="F2798">
        <v>6.67</v>
      </c>
      <c r="G2798">
        <v>68.52</v>
      </c>
      <c r="H2798">
        <v>6166.8</v>
      </c>
    </row>
    <row r="2799" spans="1:8" x14ac:dyDescent="0.35">
      <c r="A2799" t="s">
        <v>6</v>
      </c>
      <c r="B2799" t="s">
        <v>12</v>
      </c>
      <c r="C2799" t="s">
        <v>9</v>
      </c>
      <c r="D2799">
        <v>204</v>
      </c>
      <c r="E2799">
        <v>18</v>
      </c>
      <c r="F2799">
        <v>8.82</v>
      </c>
      <c r="G2799">
        <v>20.41</v>
      </c>
      <c r="H2799">
        <v>4163.6400000000003</v>
      </c>
    </row>
    <row r="2800" spans="1:8" x14ac:dyDescent="0.35">
      <c r="A2800" t="s">
        <v>5</v>
      </c>
      <c r="B2800" t="s">
        <v>12</v>
      </c>
      <c r="C2800" t="s">
        <v>9</v>
      </c>
      <c r="D2800">
        <v>144</v>
      </c>
      <c r="E2800">
        <v>6</v>
      </c>
      <c r="F2800">
        <v>4.17</v>
      </c>
      <c r="G2800">
        <v>13.26</v>
      </c>
      <c r="H2800">
        <v>1909.44</v>
      </c>
    </row>
    <row r="2801" spans="1:8" x14ac:dyDescent="0.35">
      <c r="A2801" t="s">
        <v>8</v>
      </c>
      <c r="B2801" t="s">
        <v>12</v>
      </c>
      <c r="C2801" t="s">
        <v>9</v>
      </c>
      <c r="D2801">
        <v>168</v>
      </c>
      <c r="E2801">
        <v>14</v>
      </c>
      <c r="F2801">
        <v>8.33</v>
      </c>
      <c r="G2801">
        <v>44.97</v>
      </c>
      <c r="H2801">
        <v>7554.96</v>
      </c>
    </row>
    <row r="2802" spans="1:8" x14ac:dyDescent="0.35">
      <c r="A2802" t="s">
        <v>5</v>
      </c>
      <c r="B2802" t="s">
        <v>12</v>
      </c>
      <c r="C2802" t="s">
        <v>9</v>
      </c>
      <c r="D2802">
        <v>256</v>
      </c>
      <c r="E2802">
        <v>24</v>
      </c>
      <c r="F2802">
        <v>9.3800000000000008</v>
      </c>
      <c r="G2802">
        <v>7.67</v>
      </c>
      <c r="H2802">
        <v>1963.52</v>
      </c>
    </row>
    <row r="2803" spans="1:8" x14ac:dyDescent="0.35">
      <c r="A2803" t="s">
        <v>8</v>
      </c>
      <c r="B2803" t="s">
        <v>12</v>
      </c>
      <c r="C2803" t="s">
        <v>9</v>
      </c>
      <c r="D2803">
        <v>200</v>
      </c>
      <c r="E2803">
        <v>6</v>
      </c>
      <c r="F2803">
        <v>3</v>
      </c>
      <c r="G2803">
        <v>22.91</v>
      </c>
      <c r="H2803">
        <v>4582</v>
      </c>
    </row>
    <row r="2804" spans="1:8" x14ac:dyDescent="0.35">
      <c r="A2804" t="s">
        <v>6</v>
      </c>
      <c r="B2804" t="s">
        <v>12</v>
      </c>
      <c r="C2804" t="s">
        <v>11</v>
      </c>
      <c r="D2804">
        <v>147</v>
      </c>
      <c r="E2804">
        <v>0</v>
      </c>
      <c r="F2804">
        <v>0</v>
      </c>
      <c r="G2804">
        <v>41.41</v>
      </c>
      <c r="H2804">
        <v>6087.27</v>
      </c>
    </row>
    <row r="2805" spans="1:8" x14ac:dyDescent="0.35">
      <c r="A2805" t="s">
        <v>5</v>
      </c>
      <c r="B2805" t="s">
        <v>12</v>
      </c>
      <c r="C2805" t="s">
        <v>9</v>
      </c>
      <c r="D2805">
        <v>226</v>
      </c>
      <c r="E2805">
        <v>19</v>
      </c>
      <c r="F2805">
        <v>8.41</v>
      </c>
      <c r="G2805">
        <v>23.51</v>
      </c>
      <c r="H2805">
        <v>5313.26</v>
      </c>
    </row>
    <row r="2806" spans="1:8" x14ac:dyDescent="0.35">
      <c r="A2806" t="s">
        <v>8</v>
      </c>
      <c r="B2806" t="s">
        <v>12</v>
      </c>
      <c r="C2806" t="s">
        <v>9</v>
      </c>
      <c r="D2806">
        <v>82</v>
      </c>
      <c r="E2806">
        <v>4</v>
      </c>
      <c r="F2806">
        <v>4.88</v>
      </c>
      <c r="G2806">
        <v>54.35</v>
      </c>
      <c r="H2806">
        <v>4456.7</v>
      </c>
    </row>
    <row r="2807" spans="1:8" x14ac:dyDescent="0.35">
      <c r="A2807" t="s">
        <v>6</v>
      </c>
      <c r="B2807" t="s">
        <v>12</v>
      </c>
      <c r="C2807" t="s">
        <v>9</v>
      </c>
      <c r="D2807">
        <v>198</v>
      </c>
      <c r="E2807">
        <v>17</v>
      </c>
      <c r="F2807">
        <v>8.59</v>
      </c>
      <c r="G2807">
        <v>6.56</v>
      </c>
      <c r="H2807">
        <v>1298.8800000000001</v>
      </c>
    </row>
    <row r="2808" spans="1:8" x14ac:dyDescent="0.35">
      <c r="A2808" t="s">
        <v>5</v>
      </c>
      <c r="B2808" t="s">
        <v>12</v>
      </c>
      <c r="C2808" t="s">
        <v>9</v>
      </c>
      <c r="D2808">
        <v>110</v>
      </c>
      <c r="E2808">
        <v>11</v>
      </c>
      <c r="F2808">
        <v>10</v>
      </c>
      <c r="G2808">
        <v>49.44</v>
      </c>
      <c r="H2808">
        <v>5438.4</v>
      </c>
    </row>
    <row r="2809" spans="1:8" x14ac:dyDescent="0.35">
      <c r="A2809" t="s">
        <v>8</v>
      </c>
      <c r="B2809" t="s">
        <v>12</v>
      </c>
      <c r="C2809" t="s">
        <v>9</v>
      </c>
      <c r="D2809">
        <v>199</v>
      </c>
      <c r="E2809">
        <v>5</v>
      </c>
      <c r="F2809">
        <v>2.5099999999999998</v>
      </c>
      <c r="G2809">
        <v>65.31</v>
      </c>
      <c r="H2809">
        <v>12996.69</v>
      </c>
    </row>
    <row r="2810" spans="1:8" x14ac:dyDescent="0.35">
      <c r="A2810" t="s">
        <v>6</v>
      </c>
      <c r="B2810" t="s">
        <v>12</v>
      </c>
      <c r="C2810" t="s">
        <v>11</v>
      </c>
      <c r="D2810">
        <v>261</v>
      </c>
      <c r="E2810">
        <v>18</v>
      </c>
      <c r="F2810">
        <v>6.9</v>
      </c>
      <c r="G2810">
        <v>28.85</v>
      </c>
      <c r="H2810">
        <v>7529.85</v>
      </c>
    </row>
    <row r="2811" spans="1:8" x14ac:dyDescent="0.35">
      <c r="A2811" t="s">
        <v>6</v>
      </c>
      <c r="B2811" t="s">
        <v>12</v>
      </c>
      <c r="C2811" t="s">
        <v>9</v>
      </c>
      <c r="D2811">
        <v>140</v>
      </c>
      <c r="E2811">
        <v>5</v>
      </c>
      <c r="F2811">
        <v>3.57</v>
      </c>
      <c r="G2811">
        <v>9.1</v>
      </c>
      <c r="H2811">
        <v>1274</v>
      </c>
    </row>
    <row r="2812" spans="1:8" x14ac:dyDescent="0.35">
      <c r="A2812" t="s">
        <v>6</v>
      </c>
      <c r="B2812" t="s">
        <v>12</v>
      </c>
      <c r="C2812" t="s">
        <v>11</v>
      </c>
      <c r="D2812">
        <v>72</v>
      </c>
      <c r="E2812">
        <v>1</v>
      </c>
      <c r="F2812">
        <v>1.39</v>
      </c>
      <c r="G2812">
        <v>12.02</v>
      </c>
      <c r="H2812">
        <v>865.44</v>
      </c>
    </row>
    <row r="2813" spans="1:8" x14ac:dyDescent="0.35">
      <c r="A2813" t="s">
        <v>6</v>
      </c>
      <c r="B2813" t="s">
        <v>12</v>
      </c>
      <c r="C2813" t="s">
        <v>9</v>
      </c>
      <c r="D2813">
        <v>147</v>
      </c>
      <c r="E2813">
        <v>5</v>
      </c>
      <c r="F2813">
        <v>3.4</v>
      </c>
      <c r="G2813">
        <v>32.57</v>
      </c>
      <c r="H2813">
        <v>4787.79</v>
      </c>
    </row>
    <row r="2814" spans="1:8" x14ac:dyDescent="0.35">
      <c r="A2814" t="s">
        <v>7</v>
      </c>
      <c r="B2814" t="s">
        <v>12</v>
      </c>
      <c r="C2814" t="s">
        <v>10</v>
      </c>
      <c r="D2814">
        <v>94</v>
      </c>
      <c r="E2814">
        <v>0</v>
      </c>
      <c r="F2814">
        <v>0</v>
      </c>
      <c r="G2814">
        <v>6.64</v>
      </c>
      <c r="H2814">
        <v>624.16</v>
      </c>
    </row>
    <row r="2815" spans="1:8" x14ac:dyDescent="0.35">
      <c r="A2815" t="s">
        <v>6</v>
      </c>
      <c r="B2815" t="s">
        <v>12</v>
      </c>
      <c r="C2815" t="s">
        <v>11</v>
      </c>
      <c r="D2815">
        <v>217</v>
      </c>
      <c r="E2815">
        <v>6</v>
      </c>
      <c r="F2815">
        <v>2.76</v>
      </c>
      <c r="G2815">
        <v>7.88</v>
      </c>
      <c r="H2815">
        <v>1709.96</v>
      </c>
    </row>
    <row r="2816" spans="1:8" x14ac:dyDescent="0.35">
      <c r="A2816" t="s">
        <v>6</v>
      </c>
      <c r="B2816" t="s">
        <v>12</v>
      </c>
      <c r="C2816" t="s">
        <v>9</v>
      </c>
      <c r="D2816">
        <v>121</v>
      </c>
      <c r="E2816">
        <v>0</v>
      </c>
      <c r="F2816">
        <v>0</v>
      </c>
      <c r="G2816">
        <v>49.57</v>
      </c>
      <c r="H2816">
        <v>5997.97</v>
      </c>
    </row>
    <row r="2817" spans="1:8" x14ac:dyDescent="0.35">
      <c r="A2817" t="s">
        <v>6</v>
      </c>
      <c r="B2817" t="s">
        <v>12</v>
      </c>
      <c r="C2817" t="s">
        <v>9</v>
      </c>
      <c r="D2817">
        <v>152</v>
      </c>
      <c r="E2817">
        <v>11</v>
      </c>
      <c r="F2817">
        <v>7.24</v>
      </c>
      <c r="G2817">
        <v>8.89</v>
      </c>
      <c r="H2817">
        <v>1351.28</v>
      </c>
    </row>
    <row r="2818" spans="1:8" x14ac:dyDescent="0.35">
      <c r="A2818" t="s">
        <v>5</v>
      </c>
      <c r="B2818" t="s">
        <v>12</v>
      </c>
      <c r="C2818" t="s">
        <v>9</v>
      </c>
      <c r="D2818">
        <v>281</v>
      </c>
      <c r="E2818">
        <v>17</v>
      </c>
      <c r="F2818">
        <v>6.05</v>
      </c>
      <c r="G2818">
        <v>20.38</v>
      </c>
      <c r="H2818">
        <v>5726.78</v>
      </c>
    </row>
    <row r="2819" spans="1:8" x14ac:dyDescent="0.35">
      <c r="A2819" t="s">
        <v>7</v>
      </c>
      <c r="B2819" t="s">
        <v>12</v>
      </c>
      <c r="C2819" t="s">
        <v>9</v>
      </c>
      <c r="D2819">
        <v>272</v>
      </c>
      <c r="E2819">
        <v>21</v>
      </c>
      <c r="F2819">
        <v>7.72</v>
      </c>
      <c r="G2819">
        <v>26.75</v>
      </c>
      <c r="H2819">
        <v>7276</v>
      </c>
    </row>
    <row r="2820" spans="1:8" x14ac:dyDescent="0.35">
      <c r="A2820" t="s">
        <v>7</v>
      </c>
      <c r="B2820" t="s">
        <v>12</v>
      </c>
      <c r="C2820" t="s">
        <v>10</v>
      </c>
      <c r="D2820">
        <v>183</v>
      </c>
      <c r="E2820">
        <v>5</v>
      </c>
      <c r="F2820">
        <v>2.73</v>
      </c>
      <c r="G2820">
        <v>6.43</v>
      </c>
      <c r="H2820">
        <v>1176.69</v>
      </c>
    </row>
    <row r="2821" spans="1:8" x14ac:dyDescent="0.35">
      <c r="A2821" t="s">
        <v>8</v>
      </c>
      <c r="B2821" t="s">
        <v>12</v>
      </c>
      <c r="C2821" t="s">
        <v>9</v>
      </c>
      <c r="D2821">
        <v>51</v>
      </c>
      <c r="E2821">
        <v>0</v>
      </c>
      <c r="F2821">
        <v>0</v>
      </c>
      <c r="G2821">
        <v>43.06</v>
      </c>
      <c r="H2821">
        <v>2196.06</v>
      </c>
    </row>
    <row r="2822" spans="1:8" x14ac:dyDescent="0.35">
      <c r="A2822" t="s">
        <v>5</v>
      </c>
      <c r="B2822" t="s">
        <v>12</v>
      </c>
      <c r="C2822" t="s">
        <v>9</v>
      </c>
      <c r="D2822">
        <v>212</v>
      </c>
      <c r="E2822">
        <v>17</v>
      </c>
      <c r="F2822">
        <v>8.02</v>
      </c>
      <c r="G2822">
        <v>69.25</v>
      </c>
      <c r="H2822">
        <v>14681</v>
      </c>
    </row>
    <row r="2823" spans="1:8" x14ac:dyDescent="0.35">
      <c r="A2823" t="s">
        <v>7</v>
      </c>
      <c r="B2823" t="s">
        <v>12</v>
      </c>
      <c r="C2823" t="s">
        <v>10</v>
      </c>
      <c r="D2823">
        <v>163</v>
      </c>
      <c r="E2823">
        <v>3</v>
      </c>
      <c r="F2823">
        <v>1.84</v>
      </c>
      <c r="G2823">
        <v>46.45</v>
      </c>
      <c r="H2823">
        <v>7571.35</v>
      </c>
    </row>
    <row r="2824" spans="1:8" x14ac:dyDescent="0.35">
      <c r="A2824" t="s">
        <v>6</v>
      </c>
      <c r="B2824" t="s">
        <v>12</v>
      </c>
      <c r="C2824" t="s">
        <v>11</v>
      </c>
      <c r="D2824">
        <v>177</v>
      </c>
      <c r="E2824">
        <v>2</v>
      </c>
      <c r="F2824">
        <v>1.1299999999999999</v>
      </c>
      <c r="G2824">
        <v>13.95</v>
      </c>
      <c r="H2824">
        <v>2469.15</v>
      </c>
    </row>
    <row r="2825" spans="1:8" x14ac:dyDescent="0.35">
      <c r="A2825" t="s">
        <v>7</v>
      </c>
      <c r="B2825" t="s">
        <v>12</v>
      </c>
      <c r="C2825" t="s">
        <v>10</v>
      </c>
      <c r="D2825">
        <v>232</v>
      </c>
      <c r="E2825">
        <v>16</v>
      </c>
      <c r="F2825">
        <v>6.9</v>
      </c>
      <c r="G2825">
        <v>28.06</v>
      </c>
      <c r="H2825">
        <v>6509.92</v>
      </c>
    </row>
    <row r="2826" spans="1:8" x14ac:dyDescent="0.35">
      <c r="A2826" t="s">
        <v>7</v>
      </c>
      <c r="B2826" t="s">
        <v>12</v>
      </c>
      <c r="C2826" t="s">
        <v>9</v>
      </c>
      <c r="D2826">
        <v>104</v>
      </c>
      <c r="E2826">
        <v>6</v>
      </c>
      <c r="F2826">
        <v>5.77</v>
      </c>
      <c r="G2826">
        <v>53.68</v>
      </c>
      <c r="H2826">
        <v>5582.72</v>
      </c>
    </row>
    <row r="2827" spans="1:8" x14ac:dyDescent="0.35">
      <c r="A2827" t="s">
        <v>7</v>
      </c>
      <c r="B2827" t="s">
        <v>12</v>
      </c>
      <c r="C2827" t="s">
        <v>9</v>
      </c>
      <c r="D2827">
        <v>103</v>
      </c>
      <c r="E2827">
        <v>6</v>
      </c>
      <c r="F2827">
        <v>5.83</v>
      </c>
      <c r="G2827">
        <v>23.15</v>
      </c>
      <c r="H2827">
        <v>2384.4499999999998</v>
      </c>
    </row>
    <row r="2828" spans="1:8" x14ac:dyDescent="0.35">
      <c r="A2828" t="s">
        <v>6</v>
      </c>
      <c r="B2828" t="s">
        <v>12</v>
      </c>
      <c r="C2828" t="s">
        <v>11</v>
      </c>
      <c r="D2828">
        <v>295</v>
      </c>
      <c r="E2828">
        <v>14</v>
      </c>
      <c r="F2828">
        <v>4.75</v>
      </c>
      <c r="G2828">
        <v>37.1</v>
      </c>
      <c r="H2828">
        <v>10944.5</v>
      </c>
    </row>
    <row r="2829" spans="1:8" x14ac:dyDescent="0.35">
      <c r="A2829" t="s">
        <v>7</v>
      </c>
      <c r="B2829" t="s">
        <v>12</v>
      </c>
      <c r="C2829" t="s">
        <v>10</v>
      </c>
      <c r="D2829">
        <v>194</v>
      </c>
      <c r="E2829">
        <v>5</v>
      </c>
      <c r="F2829">
        <v>2.58</v>
      </c>
      <c r="G2829">
        <v>59.02</v>
      </c>
      <c r="H2829">
        <v>11449.88</v>
      </c>
    </row>
    <row r="2830" spans="1:8" x14ac:dyDescent="0.35">
      <c r="A2830" t="s">
        <v>6</v>
      </c>
      <c r="B2830" t="s">
        <v>12</v>
      </c>
      <c r="C2830" t="s">
        <v>9</v>
      </c>
      <c r="D2830">
        <v>167</v>
      </c>
      <c r="E2830">
        <v>15</v>
      </c>
      <c r="F2830">
        <v>8.98</v>
      </c>
      <c r="G2830">
        <v>43.57</v>
      </c>
      <c r="H2830">
        <v>7276.19</v>
      </c>
    </row>
    <row r="2831" spans="1:8" x14ac:dyDescent="0.35">
      <c r="A2831" t="s">
        <v>6</v>
      </c>
      <c r="B2831" t="s">
        <v>12</v>
      </c>
      <c r="C2831" t="s">
        <v>9</v>
      </c>
      <c r="D2831">
        <v>242</v>
      </c>
      <c r="E2831">
        <v>17</v>
      </c>
      <c r="F2831">
        <v>7.02</v>
      </c>
      <c r="G2831">
        <v>44.05</v>
      </c>
      <c r="H2831">
        <v>10660.1</v>
      </c>
    </row>
    <row r="2832" spans="1:8" x14ac:dyDescent="0.35">
      <c r="A2832" t="s">
        <v>8</v>
      </c>
      <c r="B2832" t="s">
        <v>12</v>
      </c>
      <c r="C2832" t="s">
        <v>9</v>
      </c>
      <c r="D2832">
        <v>64</v>
      </c>
      <c r="E2832">
        <v>2</v>
      </c>
      <c r="F2832">
        <v>3.12</v>
      </c>
      <c r="G2832">
        <v>45.07</v>
      </c>
      <c r="H2832">
        <v>2884.48</v>
      </c>
    </row>
    <row r="2833" spans="1:8" x14ac:dyDescent="0.35">
      <c r="A2833" t="s">
        <v>7</v>
      </c>
      <c r="B2833" t="s">
        <v>12</v>
      </c>
      <c r="C2833" t="s">
        <v>10</v>
      </c>
      <c r="D2833">
        <v>220</v>
      </c>
      <c r="E2833">
        <v>9</v>
      </c>
      <c r="F2833">
        <v>4.09</v>
      </c>
      <c r="G2833">
        <v>16.63</v>
      </c>
      <c r="H2833">
        <v>3658.6</v>
      </c>
    </row>
    <row r="2834" spans="1:8" x14ac:dyDescent="0.35">
      <c r="A2834" t="s">
        <v>7</v>
      </c>
      <c r="B2834" t="s">
        <v>12</v>
      </c>
      <c r="C2834" t="s">
        <v>9</v>
      </c>
      <c r="D2834">
        <v>123</v>
      </c>
      <c r="E2834">
        <v>12</v>
      </c>
      <c r="F2834">
        <v>9.76</v>
      </c>
      <c r="G2834">
        <v>43.95</v>
      </c>
      <c r="H2834">
        <v>5405.85</v>
      </c>
    </row>
    <row r="2835" spans="1:8" x14ac:dyDescent="0.35">
      <c r="A2835" t="s">
        <v>5</v>
      </c>
      <c r="B2835" t="s">
        <v>12</v>
      </c>
      <c r="C2835" t="s">
        <v>9</v>
      </c>
      <c r="D2835">
        <v>160</v>
      </c>
      <c r="E2835">
        <v>11</v>
      </c>
      <c r="F2835">
        <v>6.88</v>
      </c>
      <c r="G2835">
        <v>25.88</v>
      </c>
      <c r="H2835">
        <v>4140.8</v>
      </c>
    </row>
    <row r="2836" spans="1:8" x14ac:dyDescent="0.35">
      <c r="A2836" t="s">
        <v>5</v>
      </c>
      <c r="B2836" t="s">
        <v>12</v>
      </c>
      <c r="C2836" t="s">
        <v>9</v>
      </c>
      <c r="D2836">
        <v>279</v>
      </c>
      <c r="E2836">
        <v>4</v>
      </c>
      <c r="F2836">
        <v>1.43</v>
      </c>
      <c r="G2836">
        <v>46.41</v>
      </c>
      <c r="H2836">
        <v>12948.39</v>
      </c>
    </row>
    <row r="2837" spans="1:8" x14ac:dyDescent="0.35">
      <c r="A2837" t="s">
        <v>8</v>
      </c>
      <c r="B2837" t="s">
        <v>12</v>
      </c>
      <c r="C2837" t="s">
        <v>9</v>
      </c>
      <c r="D2837">
        <v>204</v>
      </c>
      <c r="E2837">
        <v>7</v>
      </c>
      <c r="F2837">
        <v>3.43</v>
      </c>
      <c r="G2837">
        <v>23.28</v>
      </c>
      <c r="H2837">
        <v>4749.12</v>
      </c>
    </row>
    <row r="2838" spans="1:8" x14ac:dyDescent="0.35">
      <c r="A2838" t="s">
        <v>6</v>
      </c>
      <c r="B2838" t="s">
        <v>12</v>
      </c>
      <c r="C2838" t="s">
        <v>9</v>
      </c>
      <c r="D2838">
        <v>278</v>
      </c>
      <c r="E2838">
        <v>14</v>
      </c>
      <c r="F2838">
        <v>5.04</v>
      </c>
      <c r="G2838">
        <v>21.32</v>
      </c>
      <c r="H2838">
        <v>5926.96</v>
      </c>
    </row>
    <row r="2839" spans="1:8" x14ac:dyDescent="0.35">
      <c r="A2839" t="s">
        <v>8</v>
      </c>
      <c r="B2839" t="s">
        <v>12</v>
      </c>
      <c r="C2839" t="s">
        <v>9</v>
      </c>
      <c r="D2839">
        <v>104</v>
      </c>
      <c r="E2839">
        <v>0</v>
      </c>
      <c r="F2839">
        <v>0</v>
      </c>
      <c r="G2839">
        <v>65.25</v>
      </c>
      <c r="H2839">
        <v>6786</v>
      </c>
    </row>
    <row r="2840" spans="1:8" x14ac:dyDescent="0.35">
      <c r="A2840" t="s">
        <v>5</v>
      </c>
      <c r="B2840" t="s">
        <v>12</v>
      </c>
      <c r="C2840" t="s">
        <v>9</v>
      </c>
      <c r="D2840">
        <v>96</v>
      </c>
      <c r="E2840">
        <v>5</v>
      </c>
      <c r="F2840">
        <v>5.21</v>
      </c>
      <c r="G2840">
        <v>44.34</v>
      </c>
      <c r="H2840">
        <v>4256.6400000000003</v>
      </c>
    </row>
    <row r="2841" spans="1:8" x14ac:dyDescent="0.35">
      <c r="A2841" t="s">
        <v>8</v>
      </c>
      <c r="B2841" t="s">
        <v>12</v>
      </c>
      <c r="C2841" t="s">
        <v>9</v>
      </c>
      <c r="D2841">
        <v>191</v>
      </c>
      <c r="E2841">
        <v>17</v>
      </c>
      <c r="F2841">
        <v>8.9</v>
      </c>
      <c r="G2841">
        <v>67.63</v>
      </c>
      <c r="H2841">
        <v>12917.33</v>
      </c>
    </row>
    <row r="2842" spans="1:8" x14ac:dyDescent="0.35">
      <c r="A2842" t="s">
        <v>5</v>
      </c>
      <c r="B2842" t="s">
        <v>12</v>
      </c>
      <c r="C2842" t="s">
        <v>9</v>
      </c>
      <c r="D2842">
        <v>256</v>
      </c>
      <c r="E2842">
        <v>16</v>
      </c>
      <c r="F2842">
        <v>6.25</v>
      </c>
      <c r="G2842">
        <v>67.27</v>
      </c>
      <c r="H2842">
        <v>17221.12</v>
      </c>
    </row>
    <row r="2843" spans="1:8" x14ac:dyDescent="0.35">
      <c r="A2843" t="s">
        <v>6</v>
      </c>
      <c r="B2843" t="s">
        <v>12</v>
      </c>
      <c r="C2843" t="s">
        <v>9</v>
      </c>
      <c r="D2843">
        <v>114</v>
      </c>
      <c r="E2843">
        <v>2</v>
      </c>
      <c r="F2843">
        <v>1.75</v>
      </c>
      <c r="G2843">
        <v>10.11</v>
      </c>
      <c r="H2843">
        <v>1152.54</v>
      </c>
    </row>
    <row r="2844" spans="1:8" x14ac:dyDescent="0.35">
      <c r="A2844" t="s">
        <v>6</v>
      </c>
      <c r="B2844" t="s">
        <v>12</v>
      </c>
      <c r="C2844" t="s">
        <v>9</v>
      </c>
      <c r="D2844">
        <v>115</v>
      </c>
      <c r="E2844">
        <v>3</v>
      </c>
      <c r="F2844">
        <v>2.61</v>
      </c>
      <c r="G2844">
        <v>13.31</v>
      </c>
      <c r="H2844">
        <v>1530.65</v>
      </c>
    </row>
    <row r="2845" spans="1:8" x14ac:dyDescent="0.35">
      <c r="A2845" t="s">
        <v>6</v>
      </c>
      <c r="B2845" t="s">
        <v>12</v>
      </c>
      <c r="C2845" t="s">
        <v>9</v>
      </c>
      <c r="D2845">
        <v>66</v>
      </c>
      <c r="E2845">
        <v>6</v>
      </c>
      <c r="F2845">
        <v>9.09</v>
      </c>
      <c r="G2845">
        <v>20.329999999999998</v>
      </c>
      <c r="H2845">
        <v>1341.78</v>
      </c>
    </row>
    <row r="2846" spans="1:8" x14ac:dyDescent="0.35">
      <c r="A2846" t="s">
        <v>8</v>
      </c>
      <c r="B2846" t="s">
        <v>12</v>
      </c>
      <c r="C2846" t="s">
        <v>9</v>
      </c>
      <c r="D2846">
        <v>198</v>
      </c>
      <c r="E2846">
        <v>0</v>
      </c>
      <c r="F2846">
        <v>0</v>
      </c>
      <c r="G2846">
        <v>23.68</v>
      </c>
      <c r="H2846">
        <v>4688.6400000000003</v>
      </c>
    </row>
    <row r="2847" spans="1:8" x14ac:dyDescent="0.35">
      <c r="A2847" t="s">
        <v>5</v>
      </c>
      <c r="B2847" t="s">
        <v>12</v>
      </c>
      <c r="C2847" t="s">
        <v>9</v>
      </c>
      <c r="D2847">
        <v>106</v>
      </c>
      <c r="E2847">
        <v>5</v>
      </c>
      <c r="F2847">
        <v>4.72</v>
      </c>
      <c r="G2847">
        <v>11.92</v>
      </c>
      <c r="H2847">
        <v>1263.52</v>
      </c>
    </row>
    <row r="2848" spans="1:8" x14ac:dyDescent="0.35">
      <c r="A2848" t="s">
        <v>8</v>
      </c>
      <c r="B2848" t="s">
        <v>12</v>
      </c>
      <c r="C2848" t="s">
        <v>9</v>
      </c>
      <c r="D2848">
        <v>269</v>
      </c>
      <c r="E2848">
        <v>13</v>
      </c>
      <c r="F2848">
        <v>4.83</v>
      </c>
      <c r="G2848">
        <v>39.6</v>
      </c>
      <c r="H2848">
        <v>10652.4</v>
      </c>
    </row>
    <row r="2849" spans="1:8" x14ac:dyDescent="0.35">
      <c r="A2849" t="s">
        <v>5</v>
      </c>
      <c r="B2849" t="s">
        <v>12</v>
      </c>
      <c r="C2849" t="s">
        <v>9</v>
      </c>
      <c r="D2849">
        <v>198</v>
      </c>
      <c r="E2849">
        <v>5</v>
      </c>
      <c r="F2849">
        <v>2.5299999999999998</v>
      </c>
      <c r="G2849">
        <v>5.92</v>
      </c>
      <c r="H2849">
        <v>1172.1600000000001</v>
      </c>
    </row>
    <row r="2850" spans="1:8" x14ac:dyDescent="0.35">
      <c r="A2850" t="s">
        <v>8</v>
      </c>
      <c r="B2850" t="s">
        <v>12</v>
      </c>
      <c r="C2850" t="s">
        <v>9</v>
      </c>
      <c r="D2850">
        <v>84</v>
      </c>
      <c r="E2850">
        <v>8</v>
      </c>
      <c r="F2850">
        <v>9.52</v>
      </c>
      <c r="G2850">
        <v>47.74</v>
      </c>
      <c r="H2850">
        <v>4010.16</v>
      </c>
    </row>
    <row r="2851" spans="1:8" x14ac:dyDescent="0.35">
      <c r="A2851" t="s">
        <v>6</v>
      </c>
      <c r="B2851" t="s">
        <v>12</v>
      </c>
      <c r="C2851" t="s">
        <v>9</v>
      </c>
      <c r="D2851">
        <v>270</v>
      </c>
      <c r="E2851">
        <v>13</v>
      </c>
      <c r="F2851">
        <v>4.8099999999999996</v>
      </c>
      <c r="G2851">
        <v>61.72</v>
      </c>
      <c r="H2851">
        <v>16664.400000000001</v>
      </c>
    </row>
    <row r="2852" spans="1:8" x14ac:dyDescent="0.35">
      <c r="A2852" t="s">
        <v>6</v>
      </c>
      <c r="B2852" t="s">
        <v>12</v>
      </c>
      <c r="C2852" t="s">
        <v>9</v>
      </c>
      <c r="D2852">
        <v>108</v>
      </c>
      <c r="E2852">
        <v>8</v>
      </c>
      <c r="F2852">
        <v>7.41</v>
      </c>
      <c r="G2852">
        <v>15.75</v>
      </c>
      <c r="H2852">
        <v>1701</v>
      </c>
    </row>
    <row r="2853" spans="1:8" x14ac:dyDescent="0.35">
      <c r="A2853" t="s">
        <v>6</v>
      </c>
      <c r="B2853" t="s">
        <v>12</v>
      </c>
      <c r="C2853" t="s">
        <v>9</v>
      </c>
      <c r="D2853">
        <v>101</v>
      </c>
      <c r="E2853">
        <v>0</v>
      </c>
      <c r="F2853">
        <v>0</v>
      </c>
      <c r="G2853">
        <v>38.369999999999997</v>
      </c>
      <c r="H2853">
        <v>3875.37</v>
      </c>
    </row>
    <row r="2854" spans="1:8" x14ac:dyDescent="0.35">
      <c r="A2854" t="s">
        <v>5</v>
      </c>
      <c r="B2854" t="s">
        <v>12</v>
      </c>
      <c r="C2854" t="s">
        <v>9</v>
      </c>
      <c r="D2854">
        <v>121</v>
      </c>
      <c r="E2854">
        <v>8</v>
      </c>
      <c r="F2854">
        <v>6.61</v>
      </c>
      <c r="G2854">
        <v>22.34</v>
      </c>
      <c r="H2854">
        <v>2703.14</v>
      </c>
    </row>
    <row r="2855" spans="1:8" x14ac:dyDescent="0.35">
      <c r="A2855" t="s">
        <v>7</v>
      </c>
      <c r="B2855" t="s">
        <v>12</v>
      </c>
      <c r="C2855" t="s">
        <v>9</v>
      </c>
      <c r="D2855">
        <v>105</v>
      </c>
      <c r="E2855">
        <v>10</v>
      </c>
      <c r="F2855">
        <v>9.52</v>
      </c>
      <c r="G2855">
        <v>51.35</v>
      </c>
      <c r="H2855">
        <v>5391.75</v>
      </c>
    </row>
    <row r="2856" spans="1:8" x14ac:dyDescent="0.35">
      <c r="A2856" t="s">
        <v>6</v>
      </c>
      <c r="B2856" t="s">
        <v>12</v>
      </c>
      <c r="C2856" t="s">
        <v>11</v>
      </c>
      <c r="D2856">
        <v>61</v>
      </c>
      <c r="E2856">
        <v>3</v>
      </c>
      <c r="F2856">
        <v>4.92</v>
      </c>
      <c r="G2856">
        <v>39.96</v>
      </c>
      <c r="H2856">
        <v>2437.56</v>
      </c>
    </row>
    <row r="2857" spans="1:8" x14ac:dyDescent="0.35">
      <c r="A2857" t="s">
        <v>6</v>
      </c>
      <c r="B2857" t="s">
        <v>12</v>
      </c>
      <c r="C2857" t="s">
        <v>11</v>
      </c>
      <c r="D2857">
        <v>268</v>
      </c>
      <c r="E2857">
        <v>18</v>
      </c>
      <c r="F2857">
        <v>6.72</v>
      </c>
      <c r="G2857">
        <v>30.37</v>
      </c>
      <c r="H2857">
        <v>8139.16</v>
      </c>
    </row>
    <row r="2858" spans="1:8" x14ac:dyDescent="0.35">
      <c r="A2858" t="s">
        <v>6</v>
      </c>
      <c r="B2858" t="s">
        <v>12</v>
      </c>
      <c r="C2858" t="s">
        <v>9</v>
      </c>
      <c r="D2858">
        <v>250</v>
      </c>
      <c r="E2858">
        <v>24</v>
      </c>
      <c r="F2858">
        <v>9.6</v>
      </c>
      <c r="G2858">
        <v>36.25</v>
      </c>
      <c r="H2858">
        <v>9062.5</v>
      </c>
    </row>
    <row r="2859" spans="1:8" x14ac:dyDescent="0.35">
      <c r="A2859" t="s">
        <v>7</v>
      </c>
      <c r="B2859" t="s">
        <v>12</v>
      </c>
      <c r="C2859" t="s">
        <v>10</v>
      </c>
      <c r="D2859">
        <v>126</v>
      </c>
      <c r="E2859">
        <v>8</v>
      </c>
      <c r="F2859">
        <v>6.35</v>
      </c>
      <c r="G2859">
        <v>68.05</v>
      </c>
      <c r="H2859">
        <v>8574.2999999999993</v>
      </c>
    </row>
    <row r="2860" spans="1:8" x14ac:dyDescent="0.35">
      <c r="A2860" t="s">
        <v>6</v>
      </c>
      <c r="B2860" t="s">
        <v>12</v>
      </c>
      <c r="C2860" t="s">
        <v>11</v>
      </c>
      <c r="D2860">
        <v>275</v>
      </c>
      <c r="E2860">
        <v>6</v>
      </c>
      <c r="F2860">
        <v>2.1800000000000002</v>
      </c>
      <c r="G2860">
        <v>19.760000000000002</v>
      </c>
      <c r="H2860">
        <v>5434</v>
      </c>
    </row>
    <row r="2861" spans="1:8" x14ac:dyDescent="0.35">
      <c r="A2861" t="s">
        <v>6</v>
      </c>
      <c r="B2861" t="s">
        <v>12</v>
      </c>
      <c r="C2861" t="s">
        <v>9</v>
      </c>
      <c r="D2861">
        <v>64</v>
      </c>
      <c r="E2861">
        <v>2</v>
      </c>
      <c r="F2861">
        <v>3.12</v>
      </c>
      <c r="G2861">
        <v>45.44</v>
      </c>
      <c r="H2861">
        <v>2908.16</v>
      </c>
    </row>
    <row r="2862" spans="1:8" x14ac:dyDescent="0.35">
      <c r="A2862" t="s">
        <v>7</v>
      </c>
      <c r="B2862" t="s">
        <v>12</v>
      </c>
      <c r="C2862" t="s">
        <v>9</v>
      </c>
      <c r="D2862">
        <v>286</v>
      </c>
      <c r="E2862">
        <v>6</v>
      </c>
      <c r="F2862">
        <v>2.1</v>
      </c>
      <c r="G2862">
        <v>68.989999999999995</v>
      </c>
      <c r="H2862">
        <v>19731.14</v>
      </c>
    </row>
    <row r="2863" spans="1:8" x14ac:dyDescent="0.35">
      <c r="A2863" t="s">
        <v>5</v>
      </c>
      <c r="B2863" t="s">
        <v>12</v>
      </c>
      <c r="C2863" t="s">
        <v>9</v>
      </c>
      <c r="D2863">
        <v>258</v>
      </c>
      <c r="E2863">
        <v>4</v>
      </c>
      <c r="F2863">
        <v>1.55</v>
      </c>
      <c r="G2863">
        <v>49.29</v>
      </c>
      <c r="H2863">
        <v>12716.82</v>
      </c>
    </row>
    <row r="2864" spans="1:8" x14ac:dyDescent="0.35">
      <c r="A2864" t="s">
        <v>6</v>
      </c>
      <c r="B2864" t="s">
        <v>12</v>
      </c>
      <c r="C2864" t="s">
        <v>11</v>
      </c>
      <c r="D2864">
        <v>120</v>
      </c>
      <c r="E2864">
        <v>1</v>
      </c>
      <c r="F2864">
        <v>0.83</v>
      </c>
      <c r="G2864">
        <v>68.540000000000006</v>
      </c>
      <c r="H2864">
        <v>8224.7999999999993</v>
      </c>
    </row>
    <row r="2865" spans="1:8" x14ac:dyDescent="0.35">
      <c r="A2865" t="s">
        <v>8</v>
      </c>
      <c r="B2865" t="s">
        <v>12</v>
      </c>
      <c r="C2865" t="s">
        <v>9</v>
      </c>
      <c r="D2865">
        <v>50</v>
      </c>
      <c r="E2865">
        <v>0</v>
      </c>
      <c r="F2865">
        <v>0</v>
      </c>
      <c r="G2865">
        <v>63.97</v>
      </c>
      <c r="H2865">
        <v>3198.5</v>
      </c>
    </row>
    <row r="2866" spans="1:8" x14ac:dyDescent="0.35">
      <c r="A2866" t="s">
        <v>7</v>
      </c>
      <c r="B2866" t="s">
        <v>12</v>
      </c>
      <c r="C2866" t="s">
        <v>10</v>
      </c>
      <c r="D2866">
        <v>292</v>
      </c>
      <c r="E2866">
        <v>17</v>
      </c>
      <c r="F2866">
        <v>5.82</v>
      </c>
      <c r="G2866">
        <v>27.39</v>
      </c>
      <c r="H2866">
        <v>7997.88</v>
      </c>
    </row>
    <row r="2867" spans="1:8" x14ac:dyDescent="0.35">
      <c r="A2867" t="s">
        <v>7</v>
      </c>
      <c r="B2867" t="s">
        <v>12</v>
      </c>
      <c r="C2867" t="s">
        <v>10</v>
      </c>
      <c r="D2867">
        <v>127</v>
      </c>
      <c r="E2867">
        <v>10</v>
      </c>
      <c r="F2867">
        <v>7.87</v>
      </c>
      <c r="G2867">
        <v>9.6199999999999992</v>
      </c>
      <c r="H2867">
        <v>1221.74</v>
      </c>
    </row>
    <row r="2868" spans="1:8" x14ac:dyDescent="0.35">
      <c r="A2868" t="s">
        <v>6</v>
      </c>
      <c r="B2868" t="s">
        <v>12</v>
      </c>
      <c r="C2868" t="s">
        <v>9</v>
      </c>
      <c r="D2868">
        <v>59</v>
      </c>
      <c r="E2868">
        <v>1</v>
      </c>
      <c r="F2868">
        <v>1.69</v>
      </c>
      <c r="G2868">
        <v>54.44</v>
      </c>
      <c r="H2868">
        <v>3211.96</v>
      </c>
    </row>
    <row r="2869" spans="1:8" x14ac:dyDescent="0.35">
      <c r="A2869" t="s">
        <v>6</v>
      </c>
      <c r="B2869" t="s">
        <v>12</v>
      </c>
      <c r="C2869" t="s">
        <v>9</v>
      </c>
      <c r="D2869">
        <v>148</v>
      </c>
      <c r="E2869">
        <v>12</v>
      </c>
      <c r="F2869">
        <v>8.11</v>
      </c>
      <c r="G2869">
        <v>63.23</v>
      </c>
      <c r="H2869">
        <v>9358.0400000000009</v>
      </c>
    </row>
    <row r="2870" spans="1:8" x14ac:dyDescent="0.35">
      <c r="A2870" t="s">
        <v>6</v>
      </c>
      <c r="B2870" t="s">
        <v>12</v>
      </c>
      <c r="C2870" t="s">
        <v>11</v>
      </c>
      <c r="D2870">
        <v>207</v>
      </c>
      <c r="E2870">
        <v>11</v>
      </c>
      <c r="F2870">
        <v>5.31</v>
      </c>
      <c r="G2870">
        <v>64.959999999999994</v>
      </c>
      <c r="H2870">
        <v>13446.72</v>
      </c>
    </row>
    <row r="2871" spans="1:8" x14ac:dyDescent="0.35">
      <c r="A2871" t="s">
        <v>5</v>
      </c>
      <c r="B2871" t="s">
        <v>12</v>
      </c>
      <c r="C2871" t="s">
        <v>9</v>
      </c>
      <c r="D2871">
        <v>260</v>
      </c>
      <c r="E2871">
        <v>0</v>
      </c>
      <c r="F2871">
        <v>0</v>
      </c>
      <c r="G2871">
        <v>45.1</v>
      </c>
      <c r="H2871">
        <v>11726</v>
      </c>
    </row>
    <row r="2872" spans="1:8" x14ac:dyDescent="0.35">
      <c r="A2872" t="s">
        <v>6</v>
      </c>
      <c r="B2872" t="s">
        <v>12</v>
      </c>
      <c r="C2872" t="s">
        <v>11</v>
      </c>
      <c r="D2872">
        <v>112</v>
      </c>
      <c r="E2872">
        <v>2</v>
      </c>
      <c r="F2872">
        <v>1.79</v>
      </c>
      <c r="G2872">
        <v>58.27</v>
      </c>
      <c r="H2872">
        <v>6526.24</v>
      </c>
    </row>
    <row r="2873" spans="1:8" x14ac:dyDescent="0.35">
      <c r="A2873" t="s">
        <v>6</v>
      </c>
      <c r="B2873" t="s">
        <v>12</v>
      </c>
      <c r="C2873" t="s">
        <v>11</v>
      </c>
      <c r="D2873">
        <v>243</v>
      </c>
      <c r="E2873">
        <v>10</v>
      </c>
      <c r="F2873">
        <v>4.12</v>
      </c>
      <c r="G2873">
        <v>64.86</v>
      </c>
      <c r="H2873">
        <v>15760.98</v>
      </c>
    </row>
    <row r="2874" spans="1:8" x14ac:dyDescent="0.35">
      <c r="A2874" t="s">
        <v>6</v>
      </c>
      <c r="B2874" t="s">
        <v>12</v>
      </c>
      <c r="C2874" t="s">
        <v>11</v>
      </c>
      <c r="D2874">
        <v>177</v>
      </c>
      <c r="E2874">
        <v>9</v>
      </c>
      <c r="F2874">
        <v>5.08</v>
      </c>
      <c r="G2874">
        <v>39.06</v>
      </c>
      <c r="H2874">
        <v>6913.62</v>
      </c>
    </row>
    <row r="2875" spans="1:8" x14ac:dyDescent="0.35">
      <c r="A2875" t="s">
        <v>8</v>
      </c>
      <c r="B2875" t="s">
        <v>12</v>
      </c>
      <c r="C2875" t="s">
        <v>9</v>
      </c>
      <c r="D2875">
        <v>243</v>
      </c>
      <c r="E2875">
        <v>14</v>
      </c>
      <c r="F2875">
        <v>5.76</v>
      </c>
      <c r="G2875">
        <v>25.55</v>
      </c>
      <c r="H2875">
        <v>6208.65</v>
      </c>
    </row>
    <row r="2876" spans="1:8" x14ac:dyDescent="0.35">
      <c r="A2876" t="s">
        <v>6</v>
      </c>
      <c r="B2876" t="s">
        <v>12</v>
      </c>
      <c r="C2876" t="s">
        <v>11</v>
      </c>
      <c r="D2876">
        <v>270</v>
      </c>
      <c r="E2876">
        <v>27</v>
      </c>
      <c r="F2876">
        <v>10</v>
      </c>
      <c r="G2876">
        <v>35.97</v>
      </c>
      <c r="H2876">
        <v>9711.9</v>
      </c>
    </row>
    <row r="2877" spans="1:8" x14ac:dyDescent="0.35">
      <c r="A2877" t="s">
        <v>7</v>
      </c>
      <c r="B2877" t="s">
        <v>12</v>
      </c>
      <c r="C2877" t="s">
        <v>9</v>
      </c>
      <c r="D2877">
        <v>106</v>
      </c>
      <c r="E2877">
        <v>4</v>
      </c>
      <c r="F2877">
        <v>3.77</v>
      </c>
      <c r="G2877">
        <v>22.88</v>
      </c>
      <c r="H2877">
        <v>2425.2800000000002</v>
      </c>
    </row>
    <row r="2878" spans="1:8" x14ac:dyDescent="0.35">
      <c r="A2878" t="s">
        <v>7</v>
      </c>
      <c r="B2878" t="s">
        <v>12</v>
      </c>
      <c r="C2878" t="s">
        <v>9</v>
      </c>
      <c r="D2878">
        <v>216</v>
      </c>
      <c r="E2878">
        <v>18</v>
      </c>
      <c r="F2878">
        <v>8.33</v>
      </c>
      <c r="G2878">
        <v>61.27</v>
      </c>
      <c r="H2878">
        <v>13234.32</v>
      </c>
    </row>
    <row r="2879" spans="1:8" x14ac:dyDescent="0.35">
      <c r="A2879" t="s">
        <v>7</v>
      </c>
      <c r="B2879" t="s">
        <v>12</v>
      </c>
      <c r="C2879" t="s">
        <v>9</v>
      </c>
      <c r="D2879">
        <v>237</v>
      </c>
      <c r="E2879">
        <v>20</v>
      </c>
      <c r="F2879">
        <v>8.44</v>
      </c>
      <c r="G2879">
        <v>50.83</v>
      </c>
      <c r="H2879">
        <v>12046.71</v>
      </c>
    </row>
    <row r="2880" spans="1:8" x14ac:dyDescent="0.35">
      <c r="A2880" t="s">
        <v>5</v>
      </c>
      <c r="B2880" t="s">
        <v>12</v>
      </c>
      <c r="C2880" t="s">
        <v>9</v>
      </c>
      <c r="D2880">
        <v>207</v>
      </c>
      <c r="E2880">
        <v>14</v>
      </c>
      <c r="F2880">
        <v>6.76</v>
      </c>
      <c r="G2880">
        <v>47.56</v>
      </c>
      <c r="H2880">
        <v>9844.92</v>
      </c>
    </row>
    <row r="2881" spans="1:8" x14ac:dyDescent="0.35">
      <c r="A2881" t="s">
        <v>8</v>
      </c>
      <c r="B2881" t="s">
        <v>12</v>
      </c>
      <c r="C2881" t="s">
        <v>9</v>
      </c>
      <c r="D2881">
        <v>232</v>
      </c>
      <c r="E2881">
        <v>16</v>
      </c>
      <c r="F2881">
        <v>6.9</v>
      </c>
      <c r="G2881">
        <v>68.540000000000006</v>
      </c>
      <c r="H2881">
        <v>15901.28</v>
      </c>
    </row>
    <row r="2882" spans="1:8" x14ac:dyDescent="0.35">
      <c r="A2882" t="s">
        <v>7</v>
      </c>
      <c r="B2882" t="s">
        <v>12</v>
      </c>
      <c r="C2882" t="s">
        <v>9</v>
      </c>
      <c r="D2882">
        <v>191</v>
      </c>
      <c r="E2882">
        <v>6</v>
      </c>
      <c r="F2882">
        <v>3.14</v>
      </c>
      <c r="G2882">
        <v>57.46</v>
      </c>
      <c r="H2882">
        <v>10974.86</v>
      </c>
    </row>
    <row r="2883" spans="1:8" x14ac:dyDescent="0.35">
      <c r="A2883" t="s">
        <v>6</v>
      </c>
      <c r="B2883" t="s">
        <v>12</v>
      </c>
      <c r="C2883" t="s">
        <v>9</v>
      </c>
      <c r="D2883">
        <v>75</v>
      </c>
      <c r="E2883">
        <v>1</v>
      </c>
      <c r="F2883">
        <v>1.33</v>
      </c>
      <c r="G2883">
        <v>69.510000000000005</v>
      </c>
      <c r="H2883">
        <v>5213.25</v>
      </c>
    </row>
    <row r="2884" spans="1:8" x14ac:dyDescent="0.35">
      <c r="A2884" t="s">
        <v>7</v>
      </c>
      <c r="B2884" t="s">
        <v>12</v>
      </c>
      <c r="C2884" t="s">
        <v>10</v>
      </c>
      <c r="D2884">
        <v>96</v>
      </c>
      <c r="E2884">
        <v>1</v>
      </c>
      <c r="F2884">
        <v>1.04</v>
      </c>
      <c r="G2884">
        <v>9.6999999999999993</v>
      </c>
      <c r="H2884">
        <v>931.2</v>
      </c>
    </row>
    <row r="2885" spans="1:8" x14ac:dyDescent="0.35">
      <c r="A2885" t="s">
        <v>5</v>
      </c>
      <c r="B2885" t="s">
        <v>12</v>
      </c>
      <c r="C2885" t="s">
        <v>9</v>
      </c>
      <c r="D2885">
        <v>201</v>
      </c>
      <c r="E2885">
        <v>9</v>
      </c>
      <c r="F2885">
        <v>4.4800000000000004</v>
      </c>
      <c r="G2885">
        <v>57.24</v>
      </c>
      <c r="H2885">
        <v>11505.24</v>
      </c>
    </row>
    <row r="2886" spans="1:8" x14ac:dyDescent="0.35">
      <c r="A2886" t="s">
        <v>8</v>
      </c>
      <c r="B2886" t="s">
        <v>12</v>
      </c>
      <c r="C2886" t="s">
        <v>9</v>
      </c>
      <c r="D2886">
        <v>119</v>
      </c>
      <c r="E2886">
        <v>11</v>
      </c>
      <c r="F2886">
        <v>9.24</v>
      </c>
      <c r="G2886">
        <v>29.64</v>
      </c>
      <c r="H2886">
        <v>3527.16</v>
      </c>
    </row>
    <row r="2887" spans="1:8" x14ac:dyDescent="0.35">
      <c r="A2887" t="s">
        <v>6</v>
      </c>
      <c r="B2887" t="s">
        <v>12</v>
      </c>
      <c r="C2887" t="s">
        <v>11</v>
      </c>
      <c r="D2887">
        <v>171</v>
      </c>
      <c r="E2887">
        <v>10</v>
      </c>
      <c r="F2887">
        <v>5.85</v>
      </c>
      <c r="G2887">
        <v>15.26</v>
      </c>
      <c r="H2887">
        <v>2609.46</v>
      </c>
    </row>
    <row r="2888" spans="1:8" x14ac:dyDescent="0.35">
      <c r="A2888" t="s">
        <v>6</v>
      </c>
      <c r="B2888" t="s">
        <v>12</v>
      </c>
      <c r="C2888" t="s">
        <v>11</v>
      </c>
      <c r="D2888">
        <v>85</v>
      </c>
      <c r="E2888">
        <v>5</v>
      </c>
      <c r="F2888">
        <v>5.88</v>
      </c>
      <c r="G2888">
        <v>32.11</v>
      </c>
      <c r="H2888">
        <v>2729.35</v>
      </c>
    </row>
    <row r="2889" spans="1:8" x14ac:dyDescent="0.35">
      <c r="A2889" t="s">
        <v>7</v>
      </c>
      <c r="B2889" t="s">
        <v>12</v>
      </c>
      <c r="C2889" t="s">
        <v>9</v>
      </c>
      <c r="D2889">
        <v>60</v>
      </c>
      <c r="E2889">
        <v>5</v>
      </c>
      <c r="F2889">
        <v>8.33</v>
      </c>
      <c r="G2889">
        <v>37.729999999999997</v>
      </c>
      <c r="H2889">
        <v>2263.8000000000002</v>
      </c>
    </row>
    <row r="2890" spans="1:8" x14ac:dyDescent="0.35">
      <c r="A2890" t="s">
        <v>6</v>
      </c>
      <c r="B2890" t="s">
        <v>12</v>
      </c>
      <c r="C2890" t="s">
        <v>9</v>
      </c>
      <c r="D2890">
        <v>260</v>
      </c>
      <c r="E2890">
        <v>17</v>
      </c>
      <c r="F2890">
        <v>6.54</v>
      </c>
      <c r="G2890">
        <v>35.799999999999997</v>
      </c>
      <c r="H2890">
        <v>9308</v>
      </c>
    </row>
    <row r="2891" spans="1:8" x14ac:dyDescent="0.35">
      <c r="A2891" t="s">
        <v>7</v>
      </c>
      <c r="B2891" t="s">
        <v>12</v>
      </c>
      <c r="C2891" t="s">
        <v>10</v>
      </c>
      <c r="D2891">
        <v>240</v>
      </c>
      <c r="E2891">
        <v>8</v>
      </c>
      <c r="F2891">
        <v>3.33</v>
      </c>
      <c r="G2891">
        <v>31.38</v>
      </c>
      <c r="H2891">
        <v>7531.2</v>
      </c>
    </row>
    <row r="2892" spans="1:8" x14ac:dyDescent="0.35">
      <c r="A2892" t="s">
        <v>5</v>
      </c>
      <c r="B2892" t="s">
        <v>12</v>
      </c>
      <c r="C2892" t="s">
        <v>9</v>
      </c>
      <c r="D2892">
        <v>250</v>
      </c>
      <c r="E2892">
        <v>5</v>
      </c>
      <c r="F2892">
        <v>2</v>
      </c>
      <c r="G2892">
        <v>26.03</v>
      </c>
      <c r="H2892">
        <v>6507.5</v>
      </c>
    </row>
    <row r="2893" spans="1:8" x14ac:dyDescent="0.35">
      <c r="A2893" t="s">
        <v>6</v>
      </c>
      <c r="B2893" t="s">
        <v>12</v>
      </c>
      <c r="C2893" t="s">
        <v>9</v>
      </c>
      <c r="D2893">
        <v>98</v>
      </c>
      <c r="E2893">
        <v>9</v>
      </c>
      <c r="F2893">
        <v>9.18</v>
      </c>
      <c r="G2893">
        <v>53.39</v>
      </c>
      <c r="H2893">
        <v>5232.22</v>
      </c>
    </row>
    <row r="2894" spans="1:8" x14ac:dyDescent="0.35">
      <c r="A2894" t="s">
        <v>8</v>
      </c>
      <c r="B2894" t="s">
        <v>12</v>
      </c>
      <c r="C2894" t="s">
        <v>9</v>
      </c>
      <c r="D2894">
        <v>76</v>
      </c>
      <c r="E2894">
        <v>3</v>
      </c>
      <c r="F2894">
        <v>3.95</v>
      </c>
      <c r="G2894">
        <v>46.18</v>
      </c>
      <c r="H2894">
        <v>3509.68</v>
      </c>
    </row>
    <row r="2895" spans="1:8" x14ac:dyDescent="0.35">
      <c r="A2895" t="s">
        <v>6</v>
      </c>
      <c r="B2895" t="s">
        <v>12</v>
      </c>
      <c r="C2895" t="s">
        <v>9</v>
      </c>
      <c r="D2895">
        <v>131</v>
      </c>
      <c r="E2895">
        <v>2</v>
      </c>
      <c r="F2895">
        <v>1.53</v>
      </c>
      <c r="G2895">
        <v>68.09</v>
      </c>
      <c r="H2895">
        <v>8919.7900000000009</v>
      </c>
    </row>
    <row r="2896" spans="1:8" x14ac:dyDescent="0.35">
      <c r="A2896" t="s">
        <v>6</v>
      </c>
      <c r="B2896" t="s">
        <v>12</v>
      </c>
      <c r="C2896" t="s">
        <v>11</v>
      </c>
      <c r="D2896">
        <v>168</v>
      </c>
      <c r="E2896">
        <v>14</v>
      </c>
      <c r="F2896">
        <v>8.33</v>
      </c>
      <c r="G2896">
        <v>10.71</v>
      </c>
      <c r="H2896">
        <v>1799.28</v>
      </c>
    </row>
    <row r="2897" spans="1:8" x14ac:dyDescent="0.35">
      <c r="A2897" t="s">
        <v>6</v>
      </c>
      <c r="B2897" t="s">
        <v>12</v>
      </c>
      <c r="C2897" t="s">
        <v>9</v>
      </c>
      <c r="D2897">
        <v>111</v>
      </c>
      <c r="E2897">
        <v>3</v>
      </c>
      <c r="F2897">
        <v>2.7</v>
      </c>
      <c r="G2897">
        <v>34.14</v>
      </c>
      <c r="H2897">
        <v>3789.54</v>
      </c>
    </row>
    <row r="2898" spans="1:8" x14ac:dyDescent="0.35">
      <c r="A2898" t="s">
        <v>7</v>
      </c>
      <c r="B2898" t="s">
        <v>12</v>
      </c>
      <c r="C2898" t="s">
        <v>9</v>
      </c>
      <c r="D2898">
        <v>103</v>
      </c>
      <c r="E2898">
        <v>7</v>
      </c>
      <c r="F2898">
        <v>6.8</v>
      </c>
      <c r="G2898">
        <v>51.38</v>
      </c>
      <c r="H2898">
        <v>5292.14</v>
      </c>
    </row>
    <row r="2899" spans="1:8" x14ac:dyDescent="0.35">
      <c r="A2899" t="s">
        <v>6</v>
      </c>
      <c r="B2899" t="s">
        <v>12</v>
      </c>
      <c r="C2899" t="s">
        <v>11</v>
      </c>
      <c r="D2899">
        <v>201</v>
      </c>
      <c r="E2899">
        <v>11</v>
      </c>
      <c r="F2899">
        <v>5.47</v>
      </c>
      <c r="G2899">
        <v>36</v>
      </c>
      <c r="H2899">
        <v>7236</v>
      </c>
    </row>
    <row r="2900" spans="1:8" x14ac:dyDescent="0.35">
      <c r="A2900" t="s">
        <v>5</v>
      </c>
      <c r="B2900" t="s">
        <v>12</v>
      </c>
      <c r="C2900" t="s">
        <v>9</v>
      </c>
      <c r="D2900">
        <v>89</v>
      </c>
      <c r="E2900">
        <v>1</v>
      </c>
      <c r="F2900">
        <v>1.1200000000000001</v>
      </c>
      <c r="G2900">
        <v>51.23</v>
      </c>
      <c r="H2900">
        <v>4559.47</v>
      </c>
    </row>
    <row r="2901" spans="1:8" x14ac:dyDescent="0.35">
      <c r="A2901" t="s">
        <v>8</v>
      </c>
      <c r="B2901" t="s">
        <v>12</v>
      </c>
      <c r="C2901" t="s">
        <v>9</v>
      </c>
      <c r="D2901">
        <v>199</v>
      </c>
      <c r="E2901">
        <v>17</v>
      </c>
      <c r="F2901">
        <v>8.5399999999999991</v>
      </c>
      <c r="G2901">
        <v>33.56</v>
      </c>
      <c r="H2901">
        <v>6678.44</v>
      </c>
    </row>
    <row r="2902" spans="1:8" x14ac:dyDescent="0.35">
      <c r="A2902" t="s">
        <v>6</v>
      </c>
      <c r="B2902" t="s">
        <v>12</v>
      </c>
      <c r="C2902" t="s">
        <v>11</v>
      </c>
      <c r="D2902">
        <v>102</v>
      </c>
      <c r="E2902">
        <v>8</v>
      </c>
      <c r="F2902">
        <v>7.84</v>
      </c>
      <c r="G2902">
        <v>49.56</v>
      </c>
      <c r="H2902">
        <v>5055.12</v>
      </c>
    </row>
    <row r="2903" spans="1:8" x14ac:dyDescent="0.35">
      <c r="A2903" t="s">
        <v>7</v>
      </c>
      <c r="B2903" t="s">
        <v>12</v>
      </c>
      <c r="C2903" t="s">
        <v>10</v>
      </c>
      <c r="D2903">
        <v>220</v>
      </c>
      <c r="E2903">
        <v>19</v>
      </c>
      <c r="F2903">
        <v>8.64</v>
      </c>
      <c r="G2903">
        <v>52.56</v>
      </c>
      <c r="H2903">
        <v>11563.2</v>
      </c>
    </row>
    <row r="2904" spans="1:8" x14ac:dyDescent="0.35">
      <c r="A2904" t="s">
        <v>5</v>
      </c>
      <c r="B2904" t="s">
        <v>12</v>
      </c>
      <c r="C2904" t="s">
        <v>9</v>
      </c>
      <c r="D2904">
        <v>274</v>
      </c>
      <c r="E2904">
        <v>14</v>
      </c>
      <c r="F2904">
        <v>5.1100000000000003</v>
      </c>
      <c r="G2904">
        <v>41.07</v>
      </c>
      <c r="H2904">
        <v>11253.18</v>
      </c>
    </row>
    <row r="2905" spans="1:8" x14ac:dyDescent="0.35">
      <c r="A2905" t="s">
        <v>7</v>
      </c>
      <c r="B2905" t="s">
        <v>12</v>
      </c>
      <c r="C2905" t="s">
        <v>10</v>
      </c>
      <c r="D2905">
        <v>219</v>
      </c>
      <c r="E2905">
        <v>4</v>
      </c>
      <c r="F2905">
        <v>1.83</v>
      </c>
      <c r="G2905">
        <v>39.19</v>
      </c>
      <c r="H2905">
        <v>8582.61</v>
      </c>
    </row>
    <row r="2906" spans="1:8" x14ac:dyDescent="0.35">
      <c r="A2906" t="s">
        <v>8</v>
      </c>
      <c r="B2906" t="s">
        <v>12</v>
      </c>
      <c r="C2906" t="s">
        <v>9</v>
      </c>
      <c r="D2906">
        <v>216</v>
      </c>
      <c r="E2906">
        <v>4</v>
      </c>
      <c r="F2906">
        <v>1.85</v>
      </c>
      <c r="G2906">
        <v>46.1</v>
      </c>
      <c r="H2906">
        <v>9957.6</v>
      </c>
    </row>
    <row r="2907" spans="1:8" x14ac:dyDescent="0.35">
      <c r="A2907" t="s">
        <v>6</v>
      </c>
      <c r="B2907" t="s">
        <v>12</v>
      </c>
      <c r="C2907" t="s">
        <v>9</v>
      </c>
      <c r="D2907">
        <v>133</v>
      </c>
      <c r="E2907">
        <v>9</v>
      </c>
      <c r="F2907">
        <v>6.77</v>
      </c>
      <c r="G2907">
        <v>12.4</v>
      </c>
      <c r="H2907">
        <v>1649.2</v>
      </c>
    </row>
    <row r="2908" spans="1:8" x14ac:dyDescent="0.35">
      <c r="A2908" t="s">
        <v>5</v>
      </c>
      <c r="B2908" t="s">
        <v>12</v>
      </c>
      <c r="C2908" t="s">
        <v>9</v>
      </c>
      <c r="D2908">
        <v>135</v>
      </c>
      <c r="E2908">
        <v>0</v>
      </c>
      <c r="F2908">
        <v>0</v>
      </c>
      <c r="G2908">
        <v>5.1100000000000003</v>
      </c>
      <c r="H2908">
        <v>689.85</v>
      </c>
    </row>
    <row r="2909" spans="1:8" x14ac:dyDescent="0.35">
      <c r="A2909" t="s">
        <v>7</v>
      </c>
      <c r="B2909" t="s">
        <v>12</v>
      </c>
      <c r="C2909" t="s">
        <v>9</v>
      </c>
      <c r="D2909">
        <v>104</v>
      </c>
      <c r="E2909">
        <v>9</v>
      </c>
      <c r="F2909">
        <v>8.65</v>
      </c>
      <c r="G2909">
        <v>33.270000000000003</v>
      </c>
      <c r="H2909">
        <v>3460.08</v>
      </c>
    </row>
    <row r="2910" spans="1:8" x14ac:dyDescent="0.35">
      <c r="A2910" t="s">
        <v>8</v>
      </c>
      <c r="B2910" t="s">
        <v>12</v>
      </c>
      <c r="C2910" t="s">
        <v>9</v>
      </c>
      <c r="D2910">
        <v>72</v>
      </c>
      <c r="E2910">
        <v>1</v>
      </c>
      <c r="F2910">
        <v>1.39</v>
      </c>
      <c r="G2910">
        <v>69.87</v>
      </c>
      <c r="H2910">
        <v>5030.6400000000003</v>
      </c>
    </row>
    <row r="2911" spans="1:8" x14ac:dyDescent="0.35">
      <c r="A2911" t="s">
        <v>8</v>
      </c>
      <c r="B2911" t="s">
        <v>12</v>
      </c>
      <c r="C2911" t="s">
        <v>9</v>
      </c>
      <c r="D2911">
        <v>282</v>
      </c>
      <c r="E2911">
        <v>16</v>
      </c>
      <c r="F2911">
        <v>5.67</v>
      </c>
      <c r="G2911">
        <v>41.62</v>
      </c>
      <c r="H2911">
        <v>11736.84</v>
      </c>
    </row>
    <row r="2912" spans="1:8" x14ac:dyDescent="0.35">
      <c r="A2912" t="s">
        <v>6</v>
      </c>
      <c r="B2912" t="s">
        <v>12</v>
      </c>
      <c r="C2912" t="s">
        <v>9</v>
      </c>
      <c r="D2912">
        <v>264</v>
      </c>
      <c r="E2912">
        <v>21</v>
      </c>
      <c r="F2912">
        <v>7.95</v>
      </c>
      <c r="G2912">
        <v>47.67</v>
      </c>
      <c r="H2912">
        <v>12584.88</v>
      </c>
    </row>
    <row r="2913" spans="1:8" x14ac:dyDescent="0.35">
      <c r="A2913" t="s">
        <v>5</v>
      </c>
      <c r="B2913" t="s">
        <v>12</v>
      </c>
      <c r="C2913" t="s">
        <v>9</v>
      </c>
      <c r="D2913">
        <v>288</v>
      </c>
      <c r="E2913">
        <v>8</v>
      </c>
      <c r="F2913">
        <v>2.78</v>
      </c>
      <c r="G2913">
        <v>26.55</v>
      </c>
      <c r="H2913">
        <v>7646.4</v>
      </c>
    </row>
    <row r="2914" spans="1:8" x14ac:dyDescent="0.35">
      <c r="A2914" t="s">
        <v>6</v>
      </c>
      <c r="B2914" t="s">
        <v>12</v>
      </c>
      <c r="C2914" t="s">
        <v>11</v>
      </c>
      <c r="D2914">
        <v>253</v>
      </c>
      <c r="E2914">
        <v>24</v>
      </c>
      <c r="F2914">
        <v>9.49</v>
      </c>
      <c r="G2914">
        <v>58.9</v>
      </c>
      <c r="H2914">
        <v>14901.7</v>
      </c>
    </row>
    <row r="2915" spans="1:8" x14ac:dyDescent="0.35">
      <c r="A2915" t="s">
        <v>6</v>
      </c>
      <c r="B2915" t="s">
        <v>12</v>
      </c>
      <c r="C2915" t="s">
        <v>9</v>
      </c>
      <c r="D2915">
        <v>154</v>
      </c>
      <c r="E2915">
        <v>13</v>
      </c>
      <c r="F2915">
        <v>8.44</v>
      </c>
      <c r="G2915">
        <v>62.28</v>
      </c>
      <c r="H2915">
        <v>9591.1200000000008</v>
      </c>
    </row>
    <row r="2916" spans="1:8" x14ac:dyDescent="0.35">
      <c r="A2916" t="s">
        <v>5</v>
      </c>
      <c r="B2916" t="s">
        <v>12</v>
      </c>
      <c r="C2916" t="s">
        <v>9</v>
      </c>
      <c r="D2916">
        <v>140</v>
      </c>
      <c r="E2916">
        <v>12</v>
      </c>
      <c r="F2916">
        <v>8.57</v>
      </c>
      <c r="G2916">
        <v>50.48</v>
      </c>
      <c r="H2916">
        <v>7067.2</v>
      </c>
    </row>
    <row r="2917" spans="1:8" x14ac:dyDescent="0.35">
      <c r="A2917" t="s">
        <v>8</v>
      </c>
      <c r="B2917" t="s">
        <v>12</v>
      </c>
      <c r="C2917" t="s">
        <v>9</v>
      </c>
      <c r="D2917">
        <v>233</v>
      </c>
      <c r="E2917">
        <v>6</v>
      </c>
      <c r="F2917">
        <v>2.58</v>
      </c>
      <c r="G2917">
        <v>52.67</v>
      </c>
      <c r="H2917">
        <v>12272.11</v>
      </c>
    </row>
    <row r="2918" spans="1:8" x14ac:dyDescent="0.35">
      <c r="A2918" t="s">
        <v>6</v>
      </c>
      <c r="B2918" t="s">
        <v>12</v>
      </c>
      <c r="C2918" t="s">
        <v>9</v>
      </c>
      <c r="D2918">
        <v>195</v>
      </c>
      <c r="E2918">
        <v>4</v>
      </c>
      <c r="F2918">
        <v>2.0499999999999998</v>
      </c>
      <c r="G2918">
        <v>33.31</v>
      </c>
      <c r="H2918">
        <v>6495.45</v>
      </c>
    </row>
    <row r="2919" spans="1:8" x14ac:dyDescent="0.35">
      <c r="A2919" t="s">
        <v>6</v>
      </c>
      <c r="B2919" t="s">
        <v>12</v>
      </c>
      <c r="C2919" t="s">
        <v>11</v>
      </c>
      <c r="D2919">
        <v>85</v>
      </c>
      <c r="E2919">
        <v>2</v>
      </c>
      <c r="F2919">
        <v>2.35</v>
      </c>
      <c r="G2919">
        <v>66.099999999999994</v>
      </c>
      <c r="H2919">
        <v>5618.5</v>
      </c>
    </row>
    <row r="2920" spans="1:8" x14ac:dyDescent="0.35">
      <c r="A2920" t="s">
        <v>6</v>
      </c>
      <c r="B2920" t="s">
        <v>12</v>
      </c>
      <c r="C2920" t="s">
        <v>9</v>
      </c>
      <c r="D2920">
        <v>188</v>
      </c>
      <c r="E2920">
        <v>10</v>
      </c>
      <c r="F2920">
        <v>5.32</v>
      </c>
      <c r="G2920">
        <v>7.51</v>
      </c>
      <c r="H2920">
        <v>1411.88</v>
      </c>
    </row>
    <row r="2921" spans="1:8" x14ac:dyDescent="0.35">
      <c r="A2921" t="s">
        <v>7</v>
      </c>
      <c r="B2921" t="s">
        <v>12</v>
      </c>
      <c r="C2921" t="s">
        <v>10</v>
      </c>
      <c r="D2921">
        <v>220</v>
      </c>
      <c r="E2921">
        <v>6</v>
      </c>
      <c r="F2921">
        <v>2.73</v>
      </c>
      <c r="G2921">
        <v>49.03</v>
      </c>
      <c r="H2921">
        <v>10786.6</v>
      </c>
    </row>
    <row r="2922" spans="1:8" x14ac:dyDescent="0.35">
      <c r="A2922" t="s">
        <v>5</v>
      </c>
      <c r="B2922" t="s">
        <v>12</v>
      </c>
      <c r="C2922" t="s">
        <v>9</v>
      </c>
      <c r="D2922">
        <v>178</v>
      </c>
      <c r="E2922">
        <v>3</v>
      </c>
      <c r="F2922">
        <v>1.69</v>
      </c>
      <c r="G2922">
        <v>8.39</v>
      </c>
      <c r="H2922">
        <v>1493.42</v>
      </c>
    </row>
    <row r="2923" spans="1:8" x14ac:dyDescent="0.35">
      <c r="A2923" t="s">
        <v>6</v>
      </c>
      <c r="B2923" t="s">
        <v>12</v>
      </c>
      <c r="C2923" t="s">
        <v>9</v>
      </c>
      <c r="D2923">
        <v>229</v>
      </c>
      <c r="E2923">
        <v>7</v>
      </c>
      <c r="F2923">
        <v>3.06</v>
      </c>
      <c r="G2923">
        <v>7.82</v>
      </c>
      <c r="H2923">
        <v>1790.78</v>
      </c>
    </row>
    <row r="2924" spans="1:8" x14ac:dyDescent="0.35">
      <c r="A2924" t="s">
        <v>6</v>
      </c>
      <c r="B2924" t="s">
        <v>12</v>
      </c>
      <c r="C2924" t="s">
        <v>11</v>
      </c>
      <c r="D2924">
        <v>136</v>
      </c>
      <c r="E2924">
        <v>11</v>
      </c>
      <c r="F2924">
        <v>8.09</v>
      </c>
      <c r="G2924">
        <v>45.79</v>
      </c>
      <c r="H2924">
        <v>6227.44</v>
      </c>
    </row>
    <row r="2925" spans="1:8" x14ac:dyDescent="0.35">
      <c r="A2925" t="s">
        <v>6</v>
      </c>
      <c r="B2925" t="s">
        <v>12</v>
      </c>
      <c r="C2925" t="s">
        <v>11</v>
      </c>
      <c r="D2925">
        <v>56</v>
      </c>
      <c r="E2925">
        <v>5</v>
      </c>
      <c r="F2925">
        <v>8.93</v>
      </c>
      <c r="G2925">
        <v>66.06</v>
      </c>
      <c r="H2925">
        <v>3699.36</v>
      </c>
    </row>
    <row r="2926" spans="1:8" x14ac:dyDescent="0.35">
      <c r="A2926" t="s">
        <v>8</v>
      </c>
      <c r="B2926" t="s">
        <v>12</v>
      </c>
      <c r="C2926" t="s">
        <v>9</v>
      </c>
      <c r="D2926">
        <v>138</v>
      </c>
      <c r="E2926">
        <v>9</v>
      </c>
      <c r="F2926">
        <v>6.52</v>
      </c>
      <c r="G2926">
        <v>55.82</v>
      </c>
      <c r="H2926">
        <v>7703.16</v>
      </c>
    </row>
    <row r="2927" spans="1:8" x14ac:dyDescent="0.35">
      <c r="A2927" t="s">
        <v>8</v>
      </c>
      <c r="B2927" t="s">
        <v>12</v>
      </c>
      <c r="C2927" t="s">
        <v>9</v>
      </c>
      <c r="D2927">
        <v>71</v>
      </c>
      <c r="E2927">
        <v>0</v>
      </c>
      <c r="F2927">
        <v>0</v>
      </c>
      <c r="G2927">
        <v>56.23</v>
      </c>
      <c r="H2927">
        <v>3992.33</v>
      </c>
    </row>
    <row r="2928" spans="1:8" x14ac:dyDescent="0.35">
      <c r="A2928" t="s">
        <v>6</v>
      </c>
      <c r="B2928" t="s">
        <v>12</v>
      </c>
      <c r="C2928" t="s">
        <v>11</v>
      </c>
      <c r="D2928">
        <v>90</v>
      </c>
      <c r="E2928">
        <v>5</v>
      </c>
      <c r="F2928">
        <v>5.56</v>
      </c>
      <c r="G2928">
        <v>60.39</v>
      </c>
      <c r="H2928">
        <v>5435.1</v>
      </c>
    </row>
    <row r="2929" spans="1:8" x14ac:dyDescent="0.35">
      <c r="A2929" t="s">
        <v>7</v>
      </c>
      <c r="B2929" t="s">
        <v>12</v>
      </c>
      <c r="C2929" t="s">
        <v>9</v>
      </c>
      <c r="D2929">
        <v>118</v>
      </c>
      <c r="E2929">
        <v>2</v>
      </c>
      <c r="F2929">
        <v>1.69</v>
      </c>
      <c r="G2929">
        <v>14.03</v>
      </c>
      <c r="H2929">
        <v>1655.54</v>
      </c>
    </row>
    <row r="2930" spans="1:8" x14ac:dyDescent="0.35">
      <c r="A2930" t="s">
        <v>7</v>
      </c>
      <c r="B2930" t="s">
        <v>12</v>
      </c>
      <c r="C2930" t="s">
        <v>9</v>
      </c>
      <c r="D2930">
        <v>199</v>
      </c>
      <c r="E2930">
        <v>19</v>
      </c>
      <c r="F2930">
        <v>9.5500000000000007</v>
      </c>
      <c r="G2930">
        <v>54.01</v>
      </c>
      <c r="H2930">
        <v>10747.99</v>
      </c>
    </row>
    <row r="2931" spans="1:8" x14ac:dyDescent="0.35">
      <c r="A2931" t="s">
        <v>5</v>
      </c>
      <c r="B2931" t="s">
        <v>12</v>
      </c>
      <c r="C2931" t="s">
        <v>9</v>
      </c>
      <c r="D2931">
        <v>225</v>
      </c>
      <c r="E2931">
        <v>8</v>
      </c>
      <c r="F2931">
        <v>3.56</v>
      </c>
      <c r="G2931">
        <v>53.15</v>
      </c>
      <c r="H2931">
        <v>11958.75</v>
      </c>
    </row>
    <row r="2932" spans="1:8" x14ac:dyDescent="0.35">
      <c r="A2932" t="s">
        <v>6</v>
      </c>
      <c r="B2932" t="s">
        <v>12</v>
      </c>
      <c r="C2932" t="s">
        <v>11</v>
      </c>
      <c r="D2932">
        <v>176</v>
      </c>
      <c r="E2932">
        <v>14</v>
      </c>
      <c r="F2932">
        <v>7.95</v>
      </c>
      <c r="G2932">
        <v>27.5</v>
      </c>
      <c r="H2932">
        <v>4840</v>
      </c>
    </row>
    <row r="2933" spans="1:8" x14ac:dyDescent="0.35">
      <c r="A2933" t="s">
        <v>6</v>
      </c>
      <c r="B2933" t="s">
        <v>12</v>
      </c>
      <c r="C2933" t="s">
        <v>11</v>
      </c>
      <c r="D2933">
        <v>244</v>
      </c>
      <c r="E2933">
        <v>15</v>
      </c>
      <c r="F2933">
        <v>6.15</v>
      </c>
      <c r="G2933">
        <v>55.47</v>
      </c>
      <c r="H2933">
        <v>13534.68</v>
      </c>
    </row>
    <row r="2934" spans="1:8" x14ac:dyDescent="0.35">
      <c r="A2934" t="s">
        <v>8</v>
      </c>
      <c r="B2934" t="s">
        <v>12</v>
      </c>
      <c r="C2934" t="s">
        <v>9</v>
      </c>
      <c r="D2934">
        <v>65</v>
      </c>
      <c r="E2934">
        <v>3</v>
      </c>
      <c r="F2934">
        <v>4.62</v>
      </c>
      <c r="G2934">
        <v>6.21</v>
      </c>
      <c r="H2934">
        <v>403.65</v>
      </c>
    </row>
    <row r="2935" spans="1:8" x14ac:dyDescent="0.35">
      <c r="A2935" t="s">
        <v>7</v>
      </c>
      <c r="B2935" t="s">
        <v>12</v>
      </c>
      <c r="C2935" t="s">
        <v>10</v>
      </c>
      <c r="D2935">
        <v>123</v>
      </c>
      <c r="E2935">
        <v>6</v>
      </c>
      <c r="F2935">
        <v>4.88</v>
      </c>
      <c r="G2935">
        <v>54.39</v>
      </c>
      <c r="H2935">
        <v>6689.97</v>
      </c>
    </row>
    <row r="2936" spans="1:8" x14ac:dyDescent="0.35">
      <c r="A2936" t="s">
        <v>6</v>
      </c>
      <c r="B2936" t="s">
        <v>12</v>
      </c>
      <c r="C2936" t="s">
        <v>9</v>
      </c>
      <c r="D2936">
        <v>50</v>
      </c>
      <c r="E2936">
        <v>3</v>
      </c>
      <c r="F2936">
        <v>6</v>
      </c>
      <c r="G2936">
        <v>22.57</v>
      </c>
      <c r="H2936">
        <v>1128.5</v>
      </c>
    </row>
    <row r="2937" spans="1:8" x14ac:dyDescent="0.35">
      <c r="A2937" t="s">
        <v>6</v>
      </c>
      <c r="B2937" t="s">
        <v>12</v>
      </c>
      <c r="C2937" t="s">
        <v>11</v>
      </c>
      <c r="D2937">
        <v>182</v>
      </c>
      <c r="E2937">
        <v>18</v>
      </c>
      <c r="F2937">
        <v>9.89</v>
      </c>
      <c r="G2937">
        <v>14.35</v>
      </c>
      <c r="H2937">
        <v>2611.6999999999998</v>
      </c>
    </row>
    <row r="2938" spans="1:8" x14ac:dyDescent="0.35">
      <c r="A2938" t="s">
        <v>6</v>
      </c>
      <c r="B2938" t="s">
        <v>12</v>
      </c>
      <c r="C2938" t="s">
        <v>9</v>
      </c>
      <c r="D2938">
        <v>182</v>
      </c>
      <c r="E2938">
        <v>17</v>
      </c>
      <c r="F2938">
        <v>9.34</v>
      </c>
      <c r="G2938">
        <v>59.86</v>
      </c>
      <c r="H2938">
        <v>10894.52</v>
      </c>
    </row>
    <row r="2939" spans="1:8" x14ac:dyDescent="0.35">
      <c r="A2939" t="s">
        <v>7</v>
      </c>
      <c r="B2939" t="s">
        <v>12</v>
      </c>
      <c r="C2939" t="s">
        <v>9</v>
      </c>
      <c r="D2939">
        <v>52</v>
      </c>
      <c r="E2939">
        <v>1</v>
      </c>
      <c r="F2939">
        <v>1.92</v>
      </c>
      <c r="G2939">
        <v>45.09</v>
      </c>
      <c r="H2939">
        <v>2344.6799999999998</v>
      </c>
    </row>
    <row r="2940" spans="1:8" x14ac:dyDescent="0.35">
      <c r="A2940" t="s">
        <v>5</v>
      </c>
      <c r="B2940" t="s">
        <v>12</v>
      </c>
      <c r="C2940" t="s">
        <v>9</v>
      </c>
      <c r="D2940">
        <v>173</v>
      </c>
      <c r="E2940">
        <v>10</v>
      </c>
      <c r="F2940">
        <v>5.78</v>
      </c>
      <c r="G2940">
        <v>35.79</v>
      </c>
      <c r="H2940">
        <v>6191.67</v>
      </c>
    </row>
    <row r="2941" spans="1:8" x14ac:dyDescent="0.35">
      <c r="A2941" t="s">
        <v>8</v>
      </c>
      <c r="B2941" t="s">
        <v>12</v>
      </c>
      <c r="C2941" t="s">
        <v>9</v>
      </c>
      <c r="D2941">
        <v>170</v>
      </c>
      <c r="E2941">
        <v>12</v>
      </c>
      <c r="F2941">
        <v>7.06</v>
      </c>
      <c r="G2941">
        <v>46.75</v>
      </c>
      <c r="H2941">
        <v>7947.5</v>
      </c>
    </row>
    <row r="2942" spans="1:8" x14ac:dyDescent="0.35">
      <c r="A2942" t="s">
        <v>6</v>
      </c>
      <c r="B2942" t="s">
        <v>12</v>
      </c>
      <c r="C2942" t="s">
        <v>11</v>
      </c>
      <c r="D2942">
        <v>70</v>
      </c>
      <c r="E2942">
        <v>5</v>
      </c>
      <c r="F2942">
        <v>7.14</v>
      </c>
      <c r="G2942">
        <v>16.7</v>
      </c>
      <c r="H2942">
        <v>1169</v>
      </c>
    </row>
    <row r="2943" spans="1:8" x14ac:dyDescent="0.35">
      <c r="A2943" t="s">
        <v>5</v>
      </c>
      <c r="B2943" t="s">
        <v>12</v>
      </c>
      <c r="C2943" t="s">
        <v>9</v>
      </c>
      <c r="D2943">
        <v>273</v>
      </c>
      <c r="E2943">
        <v>3</v>
      </c>
      <c r="F2943">
        <v>1.1000000000000001</v>
      </c>
      <c r="G2943">
        <v>6.27</v>
      </c>
      <c r="H2943">
        <v>1711.71</v>
      </c>
    </row>
    <row r="2944" spans="1:8" x14ac:dyDescent="0.35">
      <c r="A2944" t="s">
        <v>7</v>
      </c>
      <c r="B2944" t="s">
        <v>12</v>
      </c>
      <c r="C2944" t="s">
        <v>10</v>
      </c>
      <c r="D2944">
        <v>261</v>
      </c>
      <c r="E2944">
        <v>7</v>
      </c>
      <c r="F2944">
        <v>2.68</v>
      </c>
      <c r="G2944">
        <v>39.49</v>
      </c>
      <c r="H2944">
        <v>10306.89</v>
      </c>
    </row>
    <row r="2945" spans="1:8" x14ac:dyDescent="0.35">
      <c r="A2945" t="s">
        <v>7</v>
      </c>
      <c r="B2945" t="s">
        <v>12</v>
      </c>
      <c r="C2945" t="s">
        <v>10</v>
      </c>
      <c r="D2945">
        <v>296</v>
      </c>
      <c r="E2945">
        <v>13</v>
      </c>
      <c r="F2945">
        <v>4.3899999999999997</v>
      </c>
      <c r="G2945">
        <v>57.42</v>
      </c>
      <c r="H2945">
        <v>16996.32</v>
      </c>
    </row>
    <row r="2946" spans="1:8" x14ac:dyDescent="0.35">
      <c r="A2946" t="s">
        <v>5</v>
      </c>
      <c r="B2946" t="s">
        <v>12</v>
      </c>
      <c r="C2946" t="s">
        <v>9</v>
      </c>
      <c r="D2946">
        <v>172</v>
      </c>
      <c r="E2946">
        <v>1</v>
      </c>
      <c r="F2946">
        <v>0.57999999999999996</v>
      </c>
      <c r="G2946">
        <v>42.54</v>
      </c>
      <c r="H2946">
        <v>7316.88</v>
      </c>
    </row>
    <row r="2947" spans="1:8" x14ac:dyDescent="0.35">
      <c r="A2947" t="s">
        <v>7</v>
      </c>
      <c r="B2947" t="s">
        <v>12</v>
      </c>
      <c r="C2947" t="s">
        <v>9</v>
      </c>
      <c r="D2947">
        <v>174</v>
      </c>
      <c r="E2947">
        <v>2</v>
      </c>
      <c r="F2947">
        <v>1.1499999999999999</v>
      </c>
      <c r="G2947">
        <v>48.88</v>
      </c>
      <c r="H2947">
        <v>8505.1200000000008</v>
      </c>
    </row>
    <row r="2948" spans="1:8" x14ac:dyDescent="0.35">
      <c r="A2948" t="s">
        <v>7</v>
      </c>
      <c r="B2948" t="s">
        <v>12</v>
      </c>
      <c r="C2948" t="s">
        <v>9</v>
      </c>
      <c r="D2948">
        <v>281</v>
      </c>
      <c r="E2948">
        <v>19</v>
      </c>
      <c r="F2948">
        <v>6.76</v>
      </c>
      <c r="G2948">
        <v>8.09</v>
      </c>
      <c r="H2948">
        <v>2273.29</v>
      </c>
    </row>
    <row r="2949" spans="1:8" x14ac:dyDescent="0.35">
      <c r="A2949" t="s">
        <v>7</v>
      </c>
      <c r="B2949" t="s">
        <v>12</v>
      </c>
      <c r="C2949" t="s">
        <v>10</v>
      </c>
      <c r="D2949">
        <v>253</v>
      </c>
      <c r="E2949">
        <v>0</v>
      </c>
      <c r="F2949">
        <v>0</v>
      </c>
      <c r="G2949">
        <v>41.77</v>
      </c>
      <c r="H2949">
        <v>10567.81</v>
      </c>
    </row>
    <row r="2950" spans="1:8" x14ac:dyDescent="0.35">
      <c r="A2950" t="s">
        <v>6</v>
      </c>
      <c r="B2950" t="s">
        <v>12</v>
      </c>
      <c r="C2950" t="s">
        <v>11</v>
      </c>
      <c r="D2950">
        <v>215</v>
      </c>
      <c r="E2950">
        <v>14</v>
      </c>
      <c r="F2950">
        <v>6.51</v>
      </c>
      <c r="G2950">
        <v>51.05</v>
      </c>
      <c r="H2950">
        <v>10975.75</v>
      </c>
    </row>
    <row r="2951" spans="1:8" x14ac:dyDescent="0.35">
      <c r="A2951" t="s">
        <v>8</v>
      </c>
      <c r="B2951" t="s">
        <v>12</v>
      </c>
      <c r="C2951" t="s">
        <v>9</v>
      </c>
      <c r="D2951">
        <v>94</v>
      </c>
      <c r="E2951">
        <v>1</v>
      </c>
      <c r="F2951">
        <v>1.06</v>
      </c>
      <c r="G2951">
        <v>39.57</v>
      </c>
      <c r="H2951">
        <v>3719.58</v>
      </c>
    </row>
    <row r="2952" spans="1:8" x14ac:dyDescent="0.35">
      <c r="A2952" t="s">
        <v>7</v>
      </c>
      <c r="B2952" t="s">
        <v>12</v>
      </c>
      <c r="C2952" t="s">
        <v>10</v>
      </c>
      <c r="D2952">
        <v>212</v>
      </c>
      <c r="E2952">
        <v>4</v>
      </c>
      <c r="F2952">
        <v>1.89</v>
      </c>
      <c r="G2952">
        <v>42.35</v>
      </c>
      <c r="H2952">
        <v>8978.2000000000007</v>
      </c>
    </row>
    <row r="2953" spans="1:8" x14ac:dyDescent="0.35">
      <c r="A2953" t="s">
        <v>7</v>
      </c>
      <c r="B2953" t="s">
        <v>12</v>
      </c>
      <c r="C2953" t="s">
        <v>9</v>
      </c>
      <c r="D2953">
        <v>211</v>
      </c>
      <c r="E2953">
        <v>9</v>
      </c>
      <c r="F2953">
        <v>4.2699999999999996</v>
      </c>
      <c r="G2953">
        <v>30.69</v>
      </c>
      <c r="H2953">
        <v>6475.59</v>
      </c>
    </row>
    <row r="2954" spans="1:8" x14ac:dyDescent="0.35">
      <c r="A2954" t="s">
        <v>6</v>
      </c>
      <c r="B2954" t="s">
        <v>12</v>
      </c>
      <c r="C2954" t="s">
        <v>11</v>
      </c>
      <c r="D2954">
        <v>274</v>
      </c>
      <c r="E2954">
        <v>13</v>
      </c>
      <c r="F2954">
        <v>4.74</v>
      </c>
      <c r="G2954">
        <v>41.77</v>
      </c>
      <c r="H2954">
        <v>11444.98</v>
      </c>
    </row>
    <row r="2955" spans="1:8" x14ac:dyDescent="0.35">
      <c r="A2955" t="s">
        <v>6</v>
      </c>
      <c r="B2955" t="s">
        <v>12</v>
      </c>
      <c r="C2955" t="s">
        <v>11</v>
      </c>
      <c r="D2955">
        <v>123</v>
      </c>
      <c r="E2955">
        <v>3</v>
      </c>
      <c r="F2955">
        <v>2.44</v>
      </c>
      <c r="G2955">
        <v>23.91</v>
      </c>
      <c r="H2955">
        <v>2940.93</v>
      </c>
    </row>
    <row r="2956" spans="1:8" x14ac:dyDescent="0.35">
      <c r="A2956" t="s">
        <v>5</v>
      </c>
      <c r="B2956" t="s">
        <v>12</v>
      </c>
      <c r="C2956" t="s">
        <v>9</v>
      </c>
      <c r="D2956">
        <v>152</v>
      </c>
      <c r="E2956">
        <v>8</v>
      </c>
      <c r="F2956">
        <v>5.26</v>
      </c>
      <c r="G2956">
        <v>5.86</v>
      </c>
      <c r="H2956">
        <v>890.72</v>
      </c>
    </row>
    <row r="2957" spans="1:8" x14ac:dyDescent="0.35">
      <c r="A2957" t="s">
        <v>8</v>
      </c>
      <c r="B2957" t="s">
        <v>12</v>
      </c>
      <c r="C2957" t="s">
        <v>9</v>
      </c>
      <c r="D2957">
        <v>295</v>
      </c>
      <c r="E2957">
        <v>21</v>
      </c>
      <c r="F2957">
        <v>7.12</v>
      </c>
      <c r="G2957">
        <v>36.9</v>
      </c>
      <c r="H2957">
        <v>10885.5</v>
      </c>
    </row>
    <row r="2958" spans="1:8" x14ac:dyDescent="0.35">
      <c r="A2958" t="s">
        <v>6</v>
      </c>
      <c r="B2958" t="s">
        <v>12</v>
      </c>
      <c r="C2958" t="s">
        <v>9</v>
      </c>
      <c r="D2958">
        <v>104</v>
      </c>
      <c r="E2958">
        <v>6</v>
      </c>
      <c r="F2958">
        <v>5.77</v>
      </c>
      <c r="G2958">
        <v>21.88</v>
      </c>
      <c r="H2958">
        <v>2275.52</v>
      </c>
    </row>
    <row r="2959" spans="1:8" x14ac:dyDescent="0.35">
      <c r="A2959" t="s">
        <v>7</v>
      </c>
      <c r="B2959" t="s">
        <v>12</v>
      </c>
      <c r="C2959" t="s">
        <v>9</v>
      </c>
      <c r="D2959">
        <v>213</v>
      </c>
      <c r="E2959">
        <v>10</v>
      </c>
      <c r="F2959">
        <v>4.6900000000000004</v>
      </c>
      <c r="G2959">
        <v>35.58</v>
      </c>
      <c r="H2959">
        <v>7578.54</v>
      </c>
    </row>
    <row r="2960" spans="1:8" x14ac:dyDescent="0.35">
      <c r="A2960" t="s">
        <v>5</v>
      </c>
      <c r="B2960" t="s">
        <v>12</v>
      </c>
      <c r="C2960" t="s">
        <v>9</v>
      </c>
      <c r="D2960">
        <v>257</v>
      </c>
      <c r="E2960">
        <v>4</v>
      </c>
      <c r="F2960">
        <v>1.56</v>
      </c>
      <c r="G2960">
        <v>60.59</v>
      </c>
      <c r="H2960">
        <v>15571.63</v>
      </c>
    </row>
    <row r="2961" spans="1:8" x14ac:dyDescent="0.35">
      <c r="A2961" t="s">
        <v>6</v>
      </c>
      <c r="B2961" t="s">
        <v>12</v>
      </c>
      <c r="C2961" t="s">
        <v>11</v>
      </c>
      <c r="D2961">
        <v>284</v>
      </c>
      <c r="E2961">
        <v>5</v>
      </c>
      <c r="F2961">
        <v>1.76</v>
      </c>
      <c r="G2961">
        <v>56.24</v>
      </c>
      <c r="H2961">
        <v>15972.16</v>
      </c>
    </row>
    <row r="2962" spans="1:8" x14ac:dyDescent="0.35">
      <c r="A2962" t="s">
        <v>6</v>
      </c>
      <c r="B2962" t="s">
        <v>12</v>
      </c>
      <c r="C2962" t="s">
        <v>11</v>
      </c>
      <c r="D2962">
        <v>150</v>
      </c>
      <c r="E2962">
        <v>4</v>
      </c>
      <c r="F2962">
        <v>2.67</v>
      </c>
      <c r="G2962">
        <v>41.13</v>
      </c>
      <c r="H2962">
        <v>6169.5</v>
      </c>
    </row>
    <row r="2963" spans="1:8" x14ac:dyDescent="0.35">
      <c r="A2963" t="s">
        <v>6</v>
      </c>
      <c r="B2963" t="s">
        <v>12</v>
      </c>
      <c r="C2963" t="s">
        <v>11</v>
      </c>
      <c r="D2963">
        <v>258</v>
      </c>
      <c r="E2963">
        <v>3</v>
      </c>
      <c r="F2963">
        <v>1.1599999999999999</v>
      </c>
      <c r="G2963">
        <v>10.4</v>
      </c>
      <c r="H2963">
        <v>2683.2</v>
      </c>
    </row>
    <row r="2964" spans="1:8" x14ac:dyDescent="0.35">
      <c r="A2964" t="s">
        <v>8</v>
      </c>
      <c r="B2964" t="s">
        <v>12</v>
      </c>
      <c r="C2964" t="s">
        <v>9</v>
      </c>
      <c r="D2964">
        <v>174</v>
      </c>
      <c r="E2964">
        <v>13</v>
      </c>
      <c r="F2964">
        <v>7.47</v>
      </c>
      <c r="G2964">
        <v>10.63</v>
      </c>
      <c r="H2964">
        <v>1849.62</v>
      </c>
    </row>
    <row r="2965" spans="1:8" x14ac:dyDescent="0.35">
      <c r="A2965" t="s">
        <v>7</v>
      </c>
      <c r="B2965" t="s">
        <v>12</v>
      </c>
      <c r="C2965" t="s">
        <v>9</v>
      </c>
      <c r="D2965">
        <v>259</v>
      </c>
      <c r="E2965">
        <v>20</v>
      </c>
      <c r="F2965">
        <v>7.72</v>
      </c>
      <c r="G2965">
        <v>61.34</v>
      </c>
      <c r="H2965">
        <v>15887.06</v>
      </c>
    </row>
    <row r="2966" spans="1:8" x14ac:dyDescent="0.35">
      <c r="A2966" t="s">
        <v>5</v>
      </c>
      <c r="B2966" t="s">
        <v>12</v>
      </c>
      <c r="C2966" t="s">
        <v>9</v>
      </c>
      <c r="D2966">
        <v>116</v>
      </c>
      <c r="E2966">
        <v>10</v>
      </c>
      <c r="F2966">
        <v>8.6199999999999992</v>
      </c>
      <c r="G2966">
        <v>56.86</v>
      </c>
      <c r="H2966">
        <v>6595.76</v>
      </c>
    </row>
    <row r="2967" spans="1:8" x14ac:dyDescent="0.35">
      <c r="A2967" t="s">
        <v>6</v>
      </c>
      <c r="B2967" t="s">
        <v>12</v>
      </c>
      <c r="C2967" t="s">
        <v>11</v>
      </c>
      <c r="D2967">
        <v>300</v>
      </c>
      <c r="E2967">
        <v>21</v>
      </c>
      <c r="F2967">
        <v>7</v>
      </c>
      <c r="G2967">
        <v>49.17</v>
      </c>
      <c r="H2967">
        <v>14751</v>
      </c>
    </row>
    <row r="2968" spans="1:8" x14ac:dyDescent="0.35">
      <c r="A2968" t="s">
        <v>5</v>
      </c>
      <c r="B2968" t="s">
        <v>12</v>
      </c>
      <c r="C2968" t="s">
        <v>9</v>
      </c>
      <c r="D2968">
        <v>261</v>
      </c>
      <c r="E2968">
        <v>26</v>
      </c>
      <c r="F2968">
        <v>9.9600000000000009</v>
      </c>
      <c r="G2968">
        <v>39.520000000000003</v>
      </c>
      <c r="H2968">
        <v>10314.719999999999</v>
      </c>
    </row>
    <row r="2969" spans="1:8" x14ac:dyDescent="0.35">
      <c r="A2969" t="s">
        <v>7</v>
      </c>
      <c r="B2969" t="s">
        <v>12</v>
      </c>
      <c r="C2969" t="s">
        <v>9</v>
      </c>
      <c r="D2969">
        <v>265</v>
      </c>
      <c r="E2969">
        <v>5</v>
      </c>
      <c r="F2969">
        <v>1.89</v>
      </c>
      <c r="G2969">
        <v>63.74</v>
      </c>
      <c r="H2969">
        <v>16891.099999999999</v>
      </c>
    </row>
    <row r="2970" spans="1:8" x14ac:dyDescent="0.35">
      <c r="A2970" t="s">
        <v>7</v>
      </c>
      <c r="B2970" t="s">
        <v>12</v>
      </c>
      <c r="C2970" t="s">
        <v>9</v>
      </c>
      <c r="D2970">
        <v>80</v>
      </c>
      <c r="E2970">
        <v>6</v>
      </c>
      <c r="F2970">
        <v>7.5</v>
      </c>
      <c r="G2970">
        <v>53.66</v>
      </c>
      <c r="H2970">
        <v>4292.8</v>
      </c>
    </row>
    <row r="2971" spans="1:8" x14ac:dyDescent="0.35">
      <c r="A2971" t="s">
        <v>7</v>
      </c>
      <c r="B2971" t="s">
        <v>12</v>
      </c>
      <c r="C2971" t="s">
        <v>9</v>
      </c>
      <c r="D2971">
        <v>207</v>
      </c>
      <c r="E2971">
        <v>10</v>
      </c>
      <c r="F2971">
        <v>4.83</v>
      </c>
      <c r="G2971">
        <v>62.44</v>
      </c>
      <c r="H2971">
        <v>12925.08</v>
      </c>
    </row>
    <row r="2972" spans="1:8" x14ac:dyDescent="0.35">
      <c r="A2972" t="s">
        <v>7</v>
      </c>
      <c r="B2972" t="s">
        <v>12</v>
      </c>
      <c r="C2972" t="s">
        <v>9</v>
      </c>
      <c r="D2972">
        <v>267</v>
      </c>
      <c r="E2972">
        <v>21</v>
      </c>
      <c r="F2972">
        <v>7.87</v>
      </c>
      <c r="G2972">
        <v>23.29</v>
      </c>
      <c r="H2972">
        <v>6218.43</v>
      </c>
    </row>
    <row r="2973" spans="1:8" x14ac:dyDescent="0.35">
      <c r="A2973" t="s">
        <v>5</v>
      </c>
      <c r="B2973" t="s">
        <v>12</v>
      </c>
      <c r="C2973" t="s">
        <v>9</v>
      </c>
      <c r="D2973">
        <v>146</v>
      </c>
      <c r="E2973">
        <v>13</v>
      </c>
      <c r="F2973">
        <v>8.9</v>
      </c>
      <c r="G2973">
        <v>69.89</v>
      </c>
      <c r="H2973">
        <v>10203.94</v>
      </c>
    </row>
    <row r="2974" spans="1:8" x14ac:dyDescent="0.35">
      <c r="A2974" t="s">
        <v>6</v>
      </c>
      <c r="B2974" t="s">
        <v>12</v>
      </c>
      <c r="C2974" t="s">
        <v>9</v>
      </c>
      <c r="D2974">
        <v>90</v>
      </c>
      <c r="E2974">
        <v>3</v>
      </c>
      <c r="F2974">
        <v>3.33</v>
      </c>
      <c r="G2974">
        <v>21.29</v>
      </c>
      <c r="H2974">
        <v>1916.1</v>
      </c>
    </row>
    <row r="2975" spans="1:8" x14ac:dyDescent="0.35">
      <c r="A2975" t="s">
        <v>6</v>
      </c>
      <c r="B2975" t="s">
        <v>12</v>
      </c>
      <c r="C2975" t="s">
        <v>9</v>
      </c>
      <c r="D2975">
        <v>119</v>
      </c>
      <c r="E2975">
        <v>10</v>
      </c>
      <c r="F2975">
        <v>8.4</v>
      </c>
      <c r="G2975">
        <v>47.35</v>
      </c>
      <c r="H2975">
        <v>5634.65</v>
      </c>
    </row>
    <row r="2976" spans="1:8" x14ac:dyDescent="0.35">
      <c r="A2976" t="s">
        <v>6</v>
      </c>
      <c r="B2976" t="s">
        <v>12</v>
      </c>
      <c r="C2976" t="s">
        <v>9</v>
      </c>
      <c r="D2976">
        <v>300</v>
      </c>
      <c r="E2976">
        <v>3</v>
      </c>
      <c r="F2976">
        <v>1</v>
      </c>
      <c r="G2976">
        <v>42.22</v>
      </c>
      <c r="H2976">
        <v>12666</v>
      </c>
    </row>
    <row r="2977" spans="1:8" x14ac:dyDescent="0.35">
      <c r="A2977" t="s">
        <v>7</v>
      </c>
      <c r="B2977" t="s">
        <v>12</v>
      </c>
      <c r="C2977" t="s">
        <v>9</v>
      </c>
      <c r="D2977">
        <v>204</v>
      </c>
      <c r="E2977">
        <v>15</v>
      </c>
      <c r="F2977">
        <v>7.35</v>
      </c>
      <c r="G2977">
        <v>22.27</v>
      </c>
      <c r="H2977">
        <v>4543.08</v>
      </c>
    </row>
    <row r="2978" spans="1:8" x14ac:dyDescent="0.35">
      <c r="A2978" t="s">
        <v>6</v>
      </c>
      <c r="B2978" t="s">
        <v>12</v>
      </c>
      <c r="C2978" t="s">
        <v>11</v>
      </c>
      <c r="D2978">
        <v>289</v>
      </c>
      <c r="E2978">
        <v>17</v>
      </c>
      <c r="F2978">
        <v>5.88</v>
      </c>
      <c r="G2978">
        <v>66.650000000000006</v>
      </c>
      <c r="H2978">
        <v>19261.849999999999</v>
      </c>
    </row>
    <row r="2979" spans="1:8" x14ac:dyDescent="0.35">
      <c r="A2979" t="s">
        <v>5</v>
      </c>
      <c r="B2979" t="s">
        <v>12</v>
      </c>
      <c r="C2979" t="s">
        <v>9</v>
      </c>
      <c r="D2979">
        <v>142</v>
      </c>
      <c r="E2979">
        <v>8</v>
      </c>
      <c r="F2979">
        <v>5.63</v>
      </c>
      <c r="G2979">
        <v>32.29</v>
      </c>
      <c r="H2979">
        <v>4585.18</v>
      </c>
    </row>
    <row r="2980" spans="1:8" x14ac:dyDescent="0.35">
      <c r="A2980" t="s">
        <v>8</v>
      </c>
      <c r="B2980" t="s">
        <v>12</v>
      </c>
      <c r="C2980" t="s">
        <v>9</v>
      </c>
      <c r="D2980">
        <v>116</v>
      </c>
      <c r="E2980">
        <v>4</v>
      </c>
      <c r="F2980">
        <v>3.45</v>
      </c>
      <c r="G2980">
        <v>32.4</v>
      </c>
      <c r="H2980">
        <v>3758.4</v>
      </c>
    </row>
    <row r="2981" spans="1:8" x14ac:dyDescent="0.35">
      <c r="A2981" t="s">
        <v>7</v>
      </c>
      <c r="B2981" t="s">
        <v>12</v>
      </c>
      <c r="C2981" t="s">
        <v>9</v>
      </c>
      <c r="D2981">
        <v>294</v>
      </c>
      <c r="E2981">
        <v>6</v>
      </c>
      <c r="F2981">
        <v>2.04</v>
      </c>
      <c r="G2981">
        <v>22.68</v>
      </c>
      <c r="H2981">
        <v>6667.92</v>
      </c>
    </row>
    <row r="2982" spans="1:8" x14ac:dyDescent="0.35">
      <c r="A2982" t="s">
        <v>6</v>
      </c>
      <c r="B2982" t="s">
        <v>12</v>
      </c>
      <c r="C2982" t="s">
        <v>9</v>
      </c>
      <c r="D2982">
        <v>239</v>
      </c>
      <c r="E2982">
        <v>5</v>
      </c>
      <c r="F2982">
        <v>2.09</v>
      </c>
      <c r="G2982">
        <v>40.42</v>
      </c>
      <c r="H2982">
        <v>9660.3799999999992</v>
      </c>
    </row>
    <row r="2983" spans="1:8" x14ac:dyDescent="0.35">
      <c r="A2983" t="s">
        <v>5</v>
      </c>
      <c r="B2983" t="s">
        <v>12</v>
      </c>
      <c r="C2983" t="s">
        <v>9</v>
      </c>
      <c r="D2983">
        <v>252</v>
      </c>
      <c r="E2983">
        <v>18</v>
      </c>
      <c r="F2983">
        <v>7.14</v>
      </c>
      <c r="G2983">
        <v>24.87</v>
      </c>
      <c r="H2983">
        <v>6267.24</v>
      </c>
    </row>
    <row r="2984" spans="1:8" x14ac:dyDescent="0.35">
      <c r="A2984" t="s">
        <v>7</v>
      </c>
      <c r="B2984" t="s">
        <v>12</v>
      </c>
      <c r="C2984" t="s">
        <v>10</v>
      </c>
      <c r="D2984">
        <v>221</v>
      </c>
      <c r="E2984">
        <v>0</v>
      </c>
      <c r="F2984">
        <v>0</v>
      </c>
      <c r="G2984">
        <v>62.32</v>
      </c>
      <c r="H2984">
        <v>13772.72</v>
      </c>
    </row>
    <row r="2985" spans="1:8" x14ac:dyDescent="0.35">
      <c r="A2985" t="s">
        <v>8</v>
      </c>
      <c r="B2985" t="s">
        <v>12</v>
      </c>
      <c r="C2985" t="s">
        <v>9</v>
      </c>
      <c r="D2985">
        <v>194</v>
      </c>
      <c r="E2985">
        <v>16</v>
      </c>
      <c r="F2985">
        <v>8.25</v>
      </c>
      <c r="G2985">
        <v>13.24</v>
      </c>
      <c r="H2985">
        <v>2568.56</v>
      </c>
    </row>
    <row r="2986" spans="1:8" x14ac:dyDescent="0.35">
      <c r="A2986" t="s">
        <v>7</v>
      </c>
      <c r="B2986" t="s">
        <v>12</v>
      </c>
      <c r="C2986" t="s">
        <v>9</v>
      </c>
      <c r="D2986">
        <v>149</v>
      </c>
      <c r="E2986">
        <v>0</v>
      </c>
      <c r="F2986">
        <v>0</v>
      </c>
      <c r="G2986">
        <v>20.59</v>
      </c>
      <c r="H2986">
        <v>3067.91</v>
      </c>
    </row>
    <row r="2987" spans="1:8" x14ac:dyDescent="0.35">
      <c r="A2987" t="s">
        <v>6</v>
      </c>
      <c r="B2987" t="s">
        <v>12</v>
      </c>
      <c r="C2987" t="s">
        <v>11</v>
      </c>
      <c r="D2987">
        <v>249</v>
      </c>
      <c r="E2987">
        <v>17</v>
      </c>
      <c r="F2987">
        <v>6.83</v>
      </c>
      <c r="G2987">
        <v>28.37</v>
      </c>
      <c r="H2987">
        <v>7064.13</v>
      </c>
    </row>
    <row r="2988" spans="1:8" x14ac:dyDescent="0.35">
      <c r="A2988" t="s">
        <v>6</v>
      </c>
      <c r="B2988" t="s">
        <v>12</v>
      </c>
      <c r="C2988" t="s">
        <v>9</v>
      </c>
      <c r="D2988">
        <v>170</v>
      </c>
      <c r="E2988">
        <v>6</v>
      </c>
      <c r="F2988">
        <v>3.53</v>
      </c>
      <c r="G2988">
        <v>63.13</v>
      </c>
      <c r="H2988">
        <v>10732.1</v>
      </c>
    </row>
    <row r="2989" spans="1:8" x14ac:dyDescent="0.35">
      <c r="A2989" t="s">
        <v>6</v>
      </c>
      <c r="B2989" t="s">
        <v>12</v>
      </c>
      <c r="C2989" t="s">
        <v>11</v>
      </c>
      <c r="D2989">
        <v>232</v>
      </c>
      <c r="E2989">
        <v>6</v>
      </c>
      <c r="F2989">
        <v>2.59</v>
      </c>
      <c r="G2989">
        <v>68.84</v>
      </c>
      <c r="H2989">
        <v>15970.88</v>
      </c>
    </row>
    <row r="2990" spans="1:8" x14ac:dyDescent="0.35">
      <c r="A2990" t="s">
        <v>6</v>
      </c>
      <c r="B2990" t="s">
        <v>12</v>
      </c>
      <c r="C2990" t="s">
        <v>11</v>
      </c>
      <c r="D2990">
        <v>148</v>
      </c>
      <c r="E2990">
        <v>11</v>
      </c>
      <c r="F2990">
        <v>7.43</v>
      </c>
      <c r="G2990">
        <v>50.63</v>
      </c>
      <c r="H2990">
        <v>7493.24</v>
      </c>
    </row>
    <row r="2991" spans="1:8" x14ac:dyDescent="0.35">
      <c r="A2991" t="s">
        <v>6</v>
      </c>
      <c r="B2991" t="s">
        <v>12</v>
      </c>
      <c r="C2991" t="s">
        <v>9</v>
      </c>
      <c r="D2991">
        <v>285</v>
      </c>
      <c r="E2991">
        <v>27</v>
      </c>
      <c r="F2991">
        <v>9.4700000000000006</v>
      </c>
      <c r="G2991">
        <v>33.93</v>
      </c>
      <c r="H2991">
        <v>9670.0499999999993</v>
      </c>
    </row>
    <row r="2992" spans="1:8" x14ac:dyDescent="0.35">
      <c r="A2992" t="s">
        <v>6</v>
      </c>
      <c r="B2992" t="s">
        <v>12</v>
      </c>
      <c r="C2992" t="s">
        <v>9</v>
      </c>
      <c r="D2992">
        <v>123</v>
      </c>
      <c r="E2992">
        <v>9</v>
      </c>
      <c r="F2992">
        <v>7.32</v>
      </c>
      <c r="G2992">
        <v>33.61</v>
      </c>
      <c r="H2992">
        <v>4134.03</v>
      </c>
    </row>
    <row r="2993" spans="1:8" x14ac:dyDescent="0.35">
      <c r="A2993" t="s">
        <v>6</v>
      </c>
      <c r="B2993" t="s">
        <v>12</v>
      </c>
      <c r="C2993" t="s">
        <v>9</v>
      </c>
      <c r="D2993">
        <v>223</v>
      </c>
      <c r="E2993">
        <v>22</v>
      </c>
      <c r="F2993">
        <v>9.8699999999999992</v>
      </c>
      <c r="G2993">
        <v>28.31</v>
      </c>
      <c r="H2993">
        <v>6313.13</v>
      </c>
    </row>
    <row r="2994" spans="1:8" x14ac:dyDescent="0.35">
      <c r="A2994" t="s">
        <v>6</v>
      </c>
      <c r="B2994" t="s">
        <v>12</v>
      </c>
      <c r="C2994" t="s">
        <v>11</v>
      </c>
      <c r="D2994">
        <v>58</v>
      </c>
      <c r="E2994">
        <v>3</v>
      </c>
      <c r="F2994">
        <v>5.17</v>
      </c>
      <c r="G2994">
        <v>40.31</v>
      </c>
      <c r="H2994">
        <v>2337.98</v>
      </c>
    </row>
    <row r="2995" spans="1:8" x14ac:dyDescent="0.35">
      <c r="A2995" t="s">
        <v>6</v>
      </c>
      <c r="B2995" t="s">
        <v>12</v>
      </c>
      <c r="C2995" t="s">
        <v>9</v>
      </c>
      <c r="D2995">
        <v>126</v>
      </c>
      <c r="E2995">
        <v>6</v>
      </c>
      <c r="F2995">
        <v>4.76</v>
      </c>
      <c r="G2995">
        <v>6.28</v>
      </c>
      <c r="H2995">
        <v>791.28</v>
      </c>
    </row>
    <row r="2996" spans="1:8" x14ac:dyDescent="0.35">
      <c r="A2996" t="s">
        <v>7</v>
      </c>
      <c r="B2996" t="s">
        <v>12</v>
      </c>
      <c r="C2996" t="s">
        <v>10</v>
      </c>
      <c r="D2996">
        <v>265</v>
      </c>
      <c r="E2996">
        <v>1</v>
      </c>
      <c r="F2996">
        <v>0.38</v>
      </c>
      <c r="G2996">
        <v>7.84</v>
      </c>
      <c r="H2996">
        <v>2077.6</v>
      </c>
    </row>
    <row r="2997" spans="1:8" x14ac:dyDescent="0.35">
      <c r="A2997" t="s">
        <v>7</v>
      </c>
      <c r="B2997" t="s">
        <v>12</v>
      </c>
      <c r="C2997" t="s">
        <v>9</v>
      </c>
      <c r="D2997">
        <v>259</v>
      </c>
      <c r="E2997">
        <v>22</v>
      </c>
      <c r="F2997">
        <v>8.49</v>
      </c>
      <c r="G2997">
        <v>15.57</v>
      </c>
      <c r="H2997">
        <v>4032.63</v>
      </c>
    </row>
    <row r="2998" spans="1:8" x14ac:dyDescent="0.35">
      <c r="A2998" t="s">
        <v>8</v>
      </c>
      <c r="B2998" t="s">
        <v>12</v>
      </c>
      <c r="C2998" t="s">
        <v>9</v>
      </c>
      <c r="D2998">
        <v>246</v>
      </c>
      <c r="E2998">
        <v>9</v>
      </c>
      <c r="F2998">
        <v>3.66</v>
      </c>
      <c r="G2998">
        <v>7.39</v>
      </c>
      <c r="H2998">
        <v>1817.94</v>
      </c>
    </row>
    <row r="2999" spans="1:8" x14ac:dyDescent="0.35">
      <c r="A2999" t="s">
        <v>7</v>
      </c>
      <c r="B2999" t="s">
        <v>12</v>
      </c>
      <c r="C2999" t="s">
        <v>9</v>
      </c>
      <c r="D2999">
        <v>84</v>
      </c>
      <c r="E2999">
        <v>1</v>
      </c>
      <c r="F2999">
        <v>1.19</v>
      </c>
      <c r="G2999">
        <v>12.26</v>
      </c>
      <c r="H2999">
        <v>1029.8399999999999</v>
      </c>
    </row>
    <row r="3000" spans="1:8" x14ac:dyDescent="0.35">
      <c r="A3000" t="s">
        <v>5</v>
      </c>
      <c r="B3000" t="s">
        <v>12</v>
      </c>
      <c r="C3000" t="s">
        <v>9</v>
      </c>
      <c r="D3000">
        <v>219</v>
      </c>
      <c r="E3000">
        <v>20</v>
      </c>
      <c r="F3000">
        <v>9.1300000000000008</v>
      </c>
      <c r="G3000">
        <v>59.22</v>
      </c>
      <c r="H3000">
        <v>12969.18</v>
      </c>
    </row>
    <row r="3001" spans="1:8" x14ac:dyDescent="0.35">
      <c r="A3001" t="s">
        <v>5</v>
      </c>
      <c r="B3001" t="s">
        <v>12</v>
      </c>
      <c r="C3001" t="s">
        <v>9</v>
      </c>
      <c r="D3001">
        <v>77</v>
      </c>
      <c r="E3001">
        <v>1</v>
      </c>
      <c r="F3001">
        <v>1.3</v>
      </c>
      <c r="G3001">
        <v>39.74</v>
      </c>
      <c r="H3001">
        <v>3059.98</v>
      </c>
    </row>
    <row r="3002" spans="1:8" x14ac:dyDescent="0.35">
      <c r="A3002" t="s">
        <v>5</v>
      </c>
      <c r="B3002" t="s">
        <v>12</v>
      </c>
      <c r="C3002" t="s">
        <v>9</v>
      </c>
      <c r="D3002">
        <v>73</v>
      </c>
      <c r="E3002">
        <v>2</v>
      </c>
      <c r="F3002">
        <v>2.74</v>
      </c>
      <c r="G3002">
        <v>28.59</v>
      </c>
      <c r="H3002">
        <v>2087.0700000000002</v>
      </c>
    </row>
    <row r="3003" spans="1:8" x14ac:dyDescent="0.35">
      <c r="A3003" t="s">
        <v>7</v>
      </c>
      <c r="B3003" t="s">
        <v>12</v>
      </c>
      <c r="C3003" t="s">
        <v>10</v>
      </c>
      <c r="D3003">
        <v>243</v>
      </c>
      <c r="E3003">
        <v>7</v>
      </c>
      <c r="F3003">
        <v>2.88</v>
      </c>
      <c r="G3003">
        <v>53.48</v>
      </c>
      <c r="H3003">
        <v>12995.64</v>
      </c>
    </row>
    <row r="3004" spans="1:8" x14ac:dyDescent="0.35">
      <c r="A3004" t="s">
        <v>6</v>
      </c>
      <c r="B3004" t="s">
        <v>12</v>
      </c>
      <c r="C3004" t="s">
        <v>9</v>
      </c>
      <c r="D3004">
        <v>84</v>
      </c>
      <c r="E3004">
        <v>0</v>
      </c>
      <c r="F3004">
        <v>0</v>
      </c>
      <c r="G3004">
        <v>31.75</v>
      </c>
      <c r="H3004">
        <v>2667</v>
      </c>
    </row>
    <row r="3005" spans="1:8" x14ac:dyDescent="0.35">
      <c r="A3005" t="s">
        <v>6</v>
      </c>
      <c r="B3005" t="s">
        <v>12</v>
      </c>
      <c r="C3005" t="s">
        <v>11</v>
      </c>
      <c r="D3005">
        <v>154</v>
      </c>
      <c r="E3005">
        <v>14</v>
      </c>
      <c r="F3005">
        <v>9.09</v>
      </c>
      <c r="G3005">
        <v>15.64</v>
      </c>
      <c r="H3005">
        <v>2408.56</v>
      </c>
    </row>
    <row r="3006" spans="1:8" x14ac:dyDescent="0.35">
      <c r="A3006" t="s">
        <v>5</v>
      </c>
      <c r="B3006" t="s">
        <v>12</v>
      </c>
      <c r="C3006" t="s">
        <v>9</v>
      </c>
      <c r="D3006">
        <v>190</v>
      </c>
      <c r="E3006">
        <v>10</v>
      </c>
      <c r="F3006">
        <v>5.26</v>
      </c>
      <c r="G3006">
        <v>57.72</v>
      </c>
      <c r="H3006">
        <v>10966.8</v>
      </c>
    </row>
    <row r="3007" spans="1:8" x14ac:dyDescent="0.35">
      <c r="A3007" t="s">
        <v>6</v>
      </c>
      <c r="B3007" t="s">
        <v>12</v>
      </c>
      <c r="C3007" t="s">
        <v>9</v>
      </c>
      <c r="D3007">
        <v>74</v>
      </c>
      <c r="E3007">
        <v>4</v>
      </c>
      <c r="F3007">
        <v>5.41</v>
      </c>
      <c r="G3007">
        <v>18.98</v>
      </c>
      <c r="H3007">
        <v>1404.52</v>
      </c>
    </row>
    <row r="3008" spans="1:8" x14ac:dyDescent="0.35">
      <c r="A3008" t="s">
        <v>6</v>
      </c>
      <c r="B3008" t="s">
        <v>12</v>
      </c>
      <c r="C3008" t="s">
        <v>11</v>
      </c>
      <c r="D3008">
        <v>66</v>
      </c>
      <c r="E3008">
        <v>4</v>
      </c>
      <c r="F3008">
        <v>6.06</v>
      </c>
      <c r="G3008">
        <v>66.48</v>
      </c>
      <c r="H3008">
        <v>4387.68</v>
      </c>
    </row>
    <row r="3009" spans="1:8" x14ac:dyDescent="0.35">
      <c r="A3009" t="s">
        <v>6</v>
      </c>
      <c r="B3009" t="s">
        <v>12</v>
      </c>
      <c r="C3009" t="s">
        <v>9</v>
      </c>
      <c r="D3009">
        <v>241</v>
      </c>
      <c r="E3009">
        <v>11</v>
      </c>
      <c r="F3009">
        <v>4.5599999999999996</v>
      </c>
      <c r="G3009">
        <v>25.52</v>
      </c>
      <c r="H3009">
        <v>6150.32</v>
      </c>
    </row>
    <row r="3010" spans="1:8" x14ac:dyDescent="0.35">
      <c r="A3010" t="s">
        <v>7</v>
      </c>
      <c r="B3010" t="s">
        <v>12</v>
      </c>
      <c r="C3010" t="s">
        <v>9</v>
      </c>
      <c r="D3010">
        <v>165</v>
      </c>
      <c r="E3010">
        <v>4</v>
      </c>
      <c r="F3010">
        <v>2.42</v>
      </c>
      <c r="G3010">
        <v>40.43</v>
      </c>
      <c r="H3010">
        <v>6670.95</v>
      </c>
    </row>
    <row r="3011" spans="1:8" x14ac:dyDescent="0.35">
      <c r="A3011" t="s">
        <v>6</v>
      </c>
      <c r="B3011" t="s">
        <v>12</v>
      </c>
      <c r="C3011" t="s">
        <v>11</v>
      </c>
      <c r="D3011">
        <v>79</v>
      </c>
      <c r="E3011">
        <v>1</v>
      </c>
      <c r="F3011">
        <v>1.27</v>
      </c>
      <c r="G3011">
        <v>22.09</v>
      </c>
      <c r="H3011">
        <v>1745.11</v>
      </c>
    </row>
    <row r="3012" spans="1:8" x14ac:dyDescent="0.35">
      <c r="A3012" t="s">
        <v>8</v>
      </c>
      <c r="B3012" t="s">
        <v>12</v>
      </c>
      <c r="C3012" t="s">
        <v>9</v>
      </c>
      <c r="D3012">
        <v>225</v>
      </c>
      <c r="E3012">
        <v>13</v>
      </c>
      <c r="F3012">
        <v>5.78</v>
      </c>
      <c r="G3012">
        <v>9.39</v>
      </c>
      <c r="H3012">
        <v>2112.75</v>
      </c>
    </row>
    <row r="3013" spans="1:8" x14ac:dyDescent="0.35">
      <c r="A3013" t="s">
        <v>8</v>
      </c>
      <c r="B3013" t="s">
        <v>12</v>
      </c>
      <c r="C3013" t="s">
        <v>9</v>
      </c>
      <c r="D3013">
        <v>274</v>
      </c>
      <c r="E3013">
        <v>27</v>
      </c>
      <c r="F3013">
        <v>9.85</v>
      </c>
      <c r="G3013">
        <v>7.61</v>
      </c>
      <c r="H3013">
        <v>2085.14</v>
      </c>
    </row>
    <row r="3014" spans="1:8" x14ac:dyDescent="0.35">
      <c r="A3014" t="s">
        <v>7</v>
      </c>
      <c r="B3014" t="s">
        <v>12</v>
      </c>
      <c r="C3014" t="s">
        <v>10</v>
      </c>
      <c r="D3014">
        <v>259</v>
      </c>
      <c r="E3014">
        <v>7</v>
      </c>
      <c r="F3014">
        <v>2.7</v>
      </c>
      <c r="G3014">
        <v>49.92</v>
      </c>
      <c r="H3014">
        <v>12929.28</v>
      </c>
    </row>
    <row r="3015" spans="1:8" x14ac:dyDescent="0.35">
      <c r="A3015" t="s">
        <v>7</v>
      </c>
      <c r="B3015" t="s">
        <v>12</v>
      </c>
      <c r="C3015" t="s">
        <v>10</v>
      </c>
      <c r="D3015">
        <v>138</v>
      </c>
      <c r="E3015">
        <v>6</v>
      </c>
      <c r="F3015">
        <v>4.3499999999999996</v>
      </c>
      <c r="G3015">
        <v>8.49</v>
      </c>
      <c r="H3015">
        <v>1171.6199999999999</v>
      </c>
    </row>
    <row r="3016" spans="1:8" x14ac:dyDescent="0.35">
      <c r="A3016" t="s">
        <v>7</v>
      </c>
      <c r="B3016" t="s">
        <v>12</v>
      </c>
      <c r="C3016" t="s">
        <v>9</v>
      </c>
      <c r="D3016">
        <v>67</v>
      </c>
      <c r="E3016">
        <v>3</v>
      </c>
      <c r="F3016">
        <v>4.4800000000000004</v>
      </c>
      <c r="G3016">
        <v>48.71</v>
      </c>
      <c r="H3016">
        <v>3263.57</v>
      </c>
    </row>
    <row r="3017" spans="1:8" x14ac:dyDescent="0.35">
      <c r="A3017" t="s">
        <v>5</v>
      </c>
      <c r="B3017" t="s">
        <v>12</v>
      </c>
      <c r="C3017" t="s">
        <v>9</v>
      </c>
      <c r="D3017">
        <v>187</v>
      </c>
      <c r="E3017">
        <v>3</v>
      </c>
      <c r="F3017">
        <v>1.6</v>
      </c>
      <c r="G3017">
        <v>27.92</v>
      </c>
      <c r="H3017">
        <v>5221.04</v>
      </c>
    </row>
    <row r="3018" spans="1:8" x14ac:dyDescent="0.35">
      <c r="A3018" t="s">
        <v>8</v>
      </c>
      <c r="B3018" t="s">
        <v>12</v>
      </c>
      <c r="C3018" t="s">
        <v>9</v>
      </c>
      <c r="D3018">
        <v>193</v>
      </c>
      <c r="E3018">
        <v>18</v>
      </c>
      <c r="F3018">
        <v>9.33</v>
      </c>
      <c r="G3018">
        <v>19.52</v>
      </c>
      <c r="H3018">
        <v>3767.36</v>
      </c>
    </row>
    <row r="3019" spans="1:8" x14ac:dyDescent="0.35">
      <c r="A3019" t="s">
        <v>6</v>
      </c>
      <c r="B3019" t="s">
        <v>12</v>
      </c>
      <c r="C3019" t="s">
        <v>9</v>
      </c>
      <c r="D3019">
        <v>202</v>
      </c>
      <c r="E3019">
        <v>2</v>
      </c>
      <c r="F3019">
        <v>0.99</v>
      </c>
      <c r="G3019">
        <v>52.23</v>
      </c>
      <c r="H3019">
        <v>10550.46</v>
      </c>
    </row>
    <row r="3020" spans="1:8" x14ac:dyDescent="0.35">
      <c r="A3020" t="s">
        <v>5</v>
      </c>
      <c r="B3020" t="s">
        <v>12</v>
      </c>
      <c r="C3020" t="s">
        <v>9</v>
      </c>
      <c r="D3020">
        <v>240</v>
      </c>
      <c r="E3020">
        <v>6</v>
      </c>
      <c r="F3020">
        <v>2.5</v>
      </c>
      <c r="G3020">
        <v>16</v>
      </c>
      <c r="H3020">
        <v>3840</v>
      </c>
    </row>
    <row r="3021" spans="1:8" x14ac:dyDescent="0.35">
      <c r="A3021" t="s">
        <v>8</v>
      </c>
      <c r="B3021" t="s">
        <v>12</v>
      </c>
      <c r="C3021" t="s">
        <v>9</v>
      </c>
      <c r="D3021">
        <v>177</v>
      </c>
      <c r="E3021">
        <v>9</v>
      </c>
      <c r="F3021">
        <v>5.08</v>
      </c>
      <c r="G3021">
        <v>67.150000000000006</v>
      </c>
      <c r="H3021">
        <v>11885.55</v>
      </c>
    </row>
    <row r="3022" spans="1:8" x14ac:dyDescent="0.35">
      <c r="A3022" t="s">
        <v>5</v>
      </c>
      <c r="B3022" t="s">
        <v>12</v>
      </c>
      <c r="C3022" t="s">
        <v>9</v>
      </c>
      <c r="D3022">
        <v>252</v>
      </c>
      <c r="E3022">
        <v>17</v>
      </c>
      <c r="F3022">
        <v>6.75</v>
      </c>
      <c r="G3022">
        <v>62.87</v>
      </c>
      <c r="H3022">
        <v>15843.24</v>
      </c>
    </row>
    <row r="3023" spans="1:8" x14ac:dyDescent="0.35">
      <c r="A3023" t="s">
        <v>8</v>
      </c>
      <c r="B3023" t="s">
        <v>12</v>
      </c>
      <c r="C3023" t="s">
        <v>9</v>
      </c>
      <c r="D3023">
        <v>226</v>
      </c>
      <c r="E3023">
        <v>18</v>
      </c>
      <c r="F3023">
        <v>7.96</v>
      </c>
      <c r="G3023">
        <v>60.13</v>
      </c>
      <c r="H3023">
        <v>13589.38</v>
      </c>
    </row>
    <row r="3024" spans="1:8" x14ac:dyDescent="0.35">
      <c r="A3024" t="s">
        <v>6</v>
      </c>
      <c r="B3024" t="s">
        <v>12</v>
      </c>
      <c r="C3024" t="s">
        <v>11</v>
      </c>
      <c r="D3024">
        <v>122</v>
      </c>
      <c r="E3024">
        <v>0</v>
      </c>
      <c r="F3024">
        <v>0</v>
      </c>
      <c r="G3024">
        <v>55.35</v>
      </c>
      <c r="H3024">
        <v>6752.7</v>
      </c>
    </row>
    <row r="3025" spans="1:8" x14ac:dyDescent="0.35">
      <c r="A3025" t="s">
        <v>7</v>
      </c>
      <c r="B3025" t="s">
        <v>12</v>
      </c>
      <c r="C3025" t="s">
        <v>9</v>
      </c>
      <c r="D3025">
        <v>234</v>
      </c>
      <c r="E3025">
        <v>18</v>
      </c>
      <c r="F3025">
        <v>7.69</v>
      </c>
      <c r="G3025">
        <v>39.69</v>
      </c>
      <c r="H3025">
        <v>9287.4599999999991</v>
      </c>
    </row>
    <row r="3026" spans="1:8" x14ac:dyDescent="0.35">
      <c r="A3026" t="s">
        <v>6</v>
      </c>
      <c r="B3026" t="s">
        <v>12</v>
      </c>
      <c r="C3026" t="s">
        <v>11</v>
      </c>
      <c r="D3026">
        <v>103</v>
      </c>
      <c r="E3026">
        <v>1</v>
      </c>
      <c r="F3026">
        <v>0.97</v>
      </c>
      <c r="G3026">
        <v>9.19</v>
      </c>
      <c r="H3026">
        <v>946.57</v>
      </c>
    </row>
    <row r="3027" spans="1:8" x14ac:dyDescent="0.35">
      <c r="A3027" t="s">
        <v>7</v>
      </c>
      <c r="B3027" t="s">
        <v>12</v>
      </c>
      <c r="C3027" t="s">
        <v>10</v>
      </c>
      <c r="D3027">
        <v>226</v>
      </c>
      <c r="E3027">
        <v>11</v>
      </c>
      <c r="F3027">
        <v>4.87</v>
      </c>
      <c r="G3027">
        <v>18.38</v>
      </c>
      <c r="H3027">
        <v>4153.88</v>
      </c>
    </row>
    <row r="3028" spans="1:8" x14ac:dyDescent="0.35">
      <c r="A3028" t="s">
        <v>7</v>
      </c>
      <c r="B3028" t="s">
        <v>12</v>
      </c>
      <c r="C3028" t="s">
        <v>10</v>
      </c>
      <c r="D3028">
        <v>180</v>
      </c>
      <c r="E3028">
        <v>16</v>
      </c>
      <c r="F3028">
        <v>8.89</v>
      </c>
      <c r="G3028">
        <v>22.33</v>
      </c>
      <c r="H3028">
        <v>4019.4</v>
      </c>
    </row>
    <row r="3029" spans="1:8" x14ac:dyDescent="0.35">
      <c r="A3029" t="s">
        <v>7</v>
      </c>
      <c r="B3029" t="s">
        <v>12</v>
      </c>
      <c r="C3029" t="s">
        <v>9</v>
      </c>
      <c r="D3029">
        <v>295</v>
      </c>
      <c r="E3029">
        <v>17</v>
      </c>
      <c r="F3029">
        <v>5.76</v>
      </c>
      <c r="G3029">
        <v>53.99</v>
      </c>
      <c r="H3029">
        <v>15927.05</v>
      </c>
    </row>
    <row r="3030" spans="1:8" x14ac:dyDescent="0.35">
      <c r="A3030" t="s">
        <v>8</v>
      </c>
      <c r="B3030" t="s">
        <v>12</v>
      </c>
      <c r="C3030" t="s">
        <v>9</v>
      </c>
      <c r="D3030">
        <v>246</v>
      </c>
      <c r="E3030">
        <v>2</v>
      </c>
      <c r="F3030">
        <v>0.81</v>
      </c>
      <c r="G3030">
        <v>31.64</v>
      </c>
      <c r="H3030">
        <v>7783.44</v>
      </c>
    </row>
    <row r="3031" spans="1:8" x14ac:dyDescent="0.35">
      <c r="A3031" t="s">
        <v>6</v>
      </c>
      <c r="B3031" t="s">
        <v>12</v>
      </c>
      <c r="C3031" t="s">
        <v>11</v>
      </c>
      <c r="D3031">
        <v>217</v>
      </c>
      <c r="E3031">
        <v>2</v>
      </c>
      <c r="F3031">
        <v>0.92</v>
      </c>
      <c r="G3031">
        <v>24.63</v>
      </c>
      <c r="H3031">
        <v>5344.71</v>
      </c>
    </row>
    <row r="3032" spans="1:8" x14ac:dyDescent="0.35">
      <c r="A3032" t="s">
        <v>7</v>
      </c>
      <c r="B3032" t="s">
        <v>12</v>
      </c>
      <c r="C3032" t="s">
        <v>9</v>
      </c>
      <c r="D3032">
        <v>93</v>
      </c>
      <c r="E3032">
        <v>4</v>
      </c>
      <c r="F3032">
        <v>4.3</v>
      </c>
      <c r="G3032">
        <v>40.39</v>
      </c>
      <c r="H3032">
        <v>3756.27</v>
      </c>
    </row>
    <row r="3033" spans="1:8" x14ac:dyDescent="0.35">
      <c r="A3033" t="s">
        <v>5</v>
      </c>
      <c r="B3033" t="s">
        <v>12</v>
      </c>
      <c r="C3033" t="s">
        <v>9</v>
      </c>
      <c r="D3033">
        <v>234</v>
      </c>
      <c r="E3033">
        <v>7</v>
      </c>
      <c r="F3033">
        <v>2.99</v>
      </c>
      <c r="G3033">
        <v>68.11</v>
      </c>
      <c r="H3033">
        <v>15937.74</v>
      </c>
    </row>
    <row r="3034" spans="1:8" x14ac:dyDescent="0.35">
      <c r="A3034" t="s">
        <v>7</v>
      </c>
      <c r="B3034" t="s">
        <v>12</v>
      </c>
      <c r="C3034" t="s">
        <v>10</v>
      </c>
      <c r="D3034">
        <v>236</v>
      </c>
      <c r="E3034">
        <v>18</v>
      </c>
      <c r="F3034">
        <v>7.63</v>
      </c>
      <c r="G3034">
        <v>40.049999999999997</v>
      </c>
      <c r="H3034">
        <v>9451.7999999999993</v>
      </c>
    </row>
    <row r="3035" spans="1:8" x14ac:dyDescent="0.35">
      <c r="A3035" t="s">
        <v>6</v>
      </c>
      <c r="B3035" t="s">
        <v>12</v>
      </c>
      <c r="C3035" t="s">
        <v>9</v>
      </c>
      <c r="D3035">
        <v>283</v>
      </c>
      <c r="E3035">
        <v>7</v>
      </c>
      <c r="F3035">
        <v>2.4700000000000002</v>
      </c>
      <c r="G3035">
        <v>42.48</v>
      </c>
      <c r="H3035">
        <v>12021.84</v>
      </c>
    </row>
    <row r="3036" spans="1:8" x14ac:dyDescent="0.35">
      <c r="A3036" t="s">
        <v>6</v>
      </c>
      <c r="B3036" t="s">
        <v>12</v>
      </c>
      <c r="C3036" t="s">
        <v>11</v>
      </c>
      <c r="D3036">
        <v>127</v>
      </c>
      <c r="E3036">
        <v>1</v>
      </c>
      <c r="F3036">
        <v>0.79</v>
      </c>
      <c r="G3036">
        <v>26.95</v>
      </c>
      <c r="H3036">
        <v>3422.65</v>
      </c>
    </row>
    <row r="3037" spans="1:8" x14ac:dyDescent="0.35">
      <c r="A3037" t="s">
        <v>6</v>
      </c>
      <c r="B3037" t="s">
        <v>12</v>
      </c>
      <c r="C3037" t="s">
        <v>11</v>
      </c>
      <c r="D3037">
        <v>221</v>
      </c>
      <c r="E3037">
        <v>6</v>
      </c>
      <c r="F3037">
        <v>2.71</v>
      </c>
      <c r="G3037">
        <v>33.24</v>
      </c>
      <c r="H3037">
        <v>7346.04</v>
      </c>
    </row>
    <row r="3038" spans="1:8" x14ac:dyDescent="0.35">
      <c r="A3038" t="s">
        <v>6</v>
      </c>
      <c r="B3038" t="s">
        <v>12</v>
      </c>
      <c r="C3038" t="s">
        <v>9</v>
      </c>
      <c r="D3038">
        <v>67</v>
      </c>
      <c r="E3038">
        <v>3</v>
      </c>
      <c r="F3038">
        <v>4.4800000000000004</v>
      </c>
      <c r="G3038">
        <v>37.119999999999997</v>
      </c>
      <c r="H3038">
        <v>2487.04</v>
      </c>
    </row>
    <row r="3039" spans="1:8" x14ac:dyDescent="0.35">
      <c r="A3039" t="s">
        <v>5</v>
      </c>
      <c r="B3039" t="s">
        <v>12</v>
      </c>
      <c r="C3039" t="s">
        <v>9</v>
      </c>
      <c r="D3039">
        <v>100</v>
      </c>
      <c r="E3039">
        <v>3</v>
      </c>
      <c r="F3039">
        <v>3</v>
      </c>
      <c r="G3039">
        <v>63.49</v>
      </c>
      <c r="H3039">
        <v>6349</v>
      </c>
    </row>
    <row r="3040" spans="1:8" x14ac:dyDescent="0.35">
      <c r="A3040" t="s">
        <v>5</v>
      </c>
      <c r="B3040" t="s">
        <v>12</v>
      </c>
      <c r="C3040" t="s">
        <v>9</v>
      </c>
      <c r="D3040">
        <v>79</v>
      </c>
      <c r="E3040">
        <v>5</v>
      </c>
      <c r="F3040">
        <v>6.33</v>
      </c>
      <c r="G3040">
        <v>19.57</v>
      </c>
      <c r="H3040">
        <v>1546.03</v>
      </c>
    </row>
    <row r="3041" spans="1:8" x14ac:dyDescent="0.35">
      <c r="A3041" t="s">
        <v>5</v>
      </c>
      <c r="B3041" t="s">
        <v>12</v>
      </c>
      <c r="C3041" t="s">
        <v>9</v>
      </c>
      <c r="D3041">
        <v>251</v>
      </c>
      <c r="E3041">
        <v>20</v>
      </c>
      <c r="F3041">
        <v>7.97</v>
      </c>
      <c r="G3041">
        <v>23.13</v>
      </c>
      <c r="H3041">
        <v>5805.63</v>
      </c>
    </row>
    <row r="3042" spans="1:8" x14ac:dyDescent="0.35">
      <c r="A3042" t="s">
        <v>6</v>
      </c>
      <c r="B3042" t="s">
        <v>12</v>
      </c>
      <c r="C3042" t="s">
        <v>11</v>
      </c>
      <c r="D3042">
        <v>295</v>
      </c>
      <c r="E3042">
        <v>25</v>
      </c>
      <c r="F3042">
        <v>8.4700000000000006</v>
      </c>
      <c r="G3042">
        <v>26.16</v>
      </c>
      <c r="H3042">
        <v>7717.2</v>
      </c>
    </row>
    <row r="3043" spans="1:8" x14ac:dyDescent="0.35">
      <c r="A3043" t="s">
        <v>7</v>
      </c>
      <c r="B3043" t="s">
        <v>12</v>
      </c>
      <c r="C3043" t="s">
        <v>10</v>
      </c>
      <c r="D3043">
        <v>211</v>
      </c>
      <c r="E3043">
        <v>0</v>
      </c>
      <c r="F3043">
        <v>0</v>
      </c>
      <c r="G3043">
        <v>58.99</v>
      </c>
      <c r="H3043">
        <v>12446.89</v>
      </c>
    </row>
    <row r="3044" spans="1:8" x14ac:dyDescent="0.35">
      <c r="A3044" t="s">
        <v>6</v>
      </c>
      <c r="B3044" t="s">
        <v>12</v>
      </c>
      <c r="C3044" t="s">
        <v>11</v>
      </c>
      <c r="D3044">
        <v>100</v>
      </c>
      <c r="E3044">
        <v>4</v>
      </c>
      <c r="F3044">
        <v>4</v>
      </c>
      <c r="G3044">
        <v>59.24</v>
      </c>
      <c r="H3044">
        <v>5924</v>
      </c>
    </row>
    <row r="3045" spans="1:8" x14ac:dyDescent="0.35">
      <c r="A3045" t="s">
        <v>5</v>
      </c>
      <c r="B3045" t="s">
        <v>12</v>
      </c>
      <c r="C3045" t="s">
        <v>9</v>
      </c>
      <c r="D3045">
        <v>258</v>
      </c>
      <c r="E3045">
        <v>5</v>
      </c>
      <c r="F3045">
        <v>1.94</v>
      </c>
      <c r="G3045">
        <v>32.49</v>
      </c>
      <c r="H3045">
        <v>8382.42</v>
      </c>
    </row>
    <row r="3046" spans="1:8" x14ac:dyDescent="0.35">
      <c r="A3046" t="s">
        <v>7</v>
      </c>
      <c r="B3046" t="s">
        <v>12</v>
      </c>
      <c r="C3046" t="s">
        <v>10</v>
      </c>
      <c r="D3046">
        <v>70</v>
      </c>
      <c r="E3046">
        <v>3</v>
      </c>
      <c r="F3046">
        <v>4.29</v>
      </c>
      <c r="G3046">
        <v>50.55</v>
      </c>
      <c r="H3046">
        <v>3538.5</v>
      </c>
    </row>
    <row r="3047" spans="1:8" x14ac:dyDescent="0.35">
      <c r="A3047" t="s">
        <v>6</v>
      </c>
      <c r="B3047" t="s">
        <v>12</v>
      </c>
      <c r="C3047" t="s">
        <v>9</v>
      </c>
      <c r="D3047">
        <v>298</v>
      </c>
      <c r="E3047">
        <v>13</v>
      </c>
      <c r="F3047">
        <v>4.3600000000000003</v>
      </c>
      <c r="G3047">
        <v>34.06</v>
      </c>
      <c r="H3047">
        <v>10149.879999999999</v>
      </c>
    </row>
    <row r="3048" spans="1:8" x14ac:dyDescent="0.35">
      <c r="A3048" t="s">
        <v>5</v>
      </c>
      <c r="B3048" t="s">
        <v>12</v>
      </c>
      <c r="C3048" t="s">
        <v>9</v>
      </c>
      <c r="D3048">
        <v>276</v>
      </c>
      <c r="E3048">
        <v>25</v>
      </c>
      <c r="F3048">
        <v>9.06</v>
      </c>
      <c r="G3048">
        <v>20.22</v>
      </c>
      <c r="H3048">
        <v>5580.72</v>
      </c>
    </row>
    <row r="3049" spans="1:8" x14ac:dyDescent="0.35">
      <c r="A3049" t="s">
        <v>7</v>
      </c>
      <c r="B3049" t="s">
        <v>12</v>
      </c>
      <c r="C3049" t="s">
        <v>10</v>
      </c>
      <c r="D3049">
        <v>176</v>
      </c>
      <c r="E3049">
        <v>13</v>
      </c>
      <c r="F3049">
        <v>7.39</v>
      </c>
      <c r="G3049">
        <v>6.11</v>
      </c>
      <c r="H3049">
        <v>1075.3599999999999</v>
      </c>
    </row>
    <row r="3050" spans="1:8" x14ac:dyDescent="0.35">
      <c r="A3050" t="s">
        <v>7</v>
      </c>
      <c r="B3050" t="s">
        <v>12</v>
      </c>
      <c r="C3050" t="s">
        <v>10</v>
      </c>
      <c r="D3050">
        <v>117</v>
      </c>
      <c r="E3050">
        <v>3</v>
      </c>
      <c r="F3050">
        <v>2.56</v>
      </c>
      <c r="G3050">
        <v>18.170000000000002</v>
      </c>
      <c r="H3050">
        <v>2125.89</v>
      </c>
    </row>
    <row r="3051" spans="1:8" x14ac:dyDescent="0.35">
      <c r="A3051" t="s">
        <v>6</v>
      </c>
      <c r="B3051" t="s">
        <v>12</v>
      </c>
      <c r="C3051" t="s">
        <v>11</v>
      </c>
      <c r="D3051">
        <v>191</v>
      </c>
      <c r="E3051">
        <v>7</v>
      </c>
      <c r="F3051">
        <v>3.66</v>
      </c>
      <c r="G3051">
        <v>21.67</v>
      </c>
      <c r="H3051">
        <v>4138.97</v>
      </c>
    </row>
    <row r="3052" spans="1:8" x14ac:dyDescent="0.35">
      <c r="A3052" t="s">
        <v>6</v>
      </c>
      <c r="B3052" t="s">
        <v>12</v>
      </c>
      <c r="C3052" t="s">
        <v>11</v>
      </c>
      <c r="D3052">
        <v>56</v>
      </c>
      <c r="E3052">
        <v>2</v>
      </c>
      <c r="F3052">
        <v>3.57</v>
      </c>
      <c r="G3052">
        <v>6.45</v>
      </c>
      <c r="H3052">
        <v>361.2</v>
      </c>
    </row>
    <row r="3053" spans="1:8" x14ac:dyDescent="0.35">
      <c r="A3053" t="s">
        <v>6</v>
      </c>
      <c r="B3053" t="s">
        <v>12</v>
      </c>
      <c r="C3053" t="s">
        <v>9</v>
      </c>
      <c r="D3053">
        <v>124</v>
      </c>
      <c r="E3053">
        <v>1</v>
      </c>
      <c r="F3053">
        <v>0.81</v>
      </c>
      <c r="G3053">
        <v>5.99</v>
      </c>
      <c r="H3053">
        <v>742.76</v>
      </c>
    </row>
    <row r="3054" spans="1:8" x14ac:dyDescent="0.35">
      <c r="A3054" t="s">
        <v>5</v>
      </c>
      <c r="B3054" t="s">
        <v>12</v>
      </c>
      <c r="C3054" t="s">
        <v>9</v>
      </c>
      <c r="D3054">
        <v>267</v>
      </c>
      <c r="E3054">
        <v>18</v>
      </c>
      <c r="F3054">
        <v>6.74</v>
      </c>
      <c r="G3054">
        <v>45.24</v>
      </c>
      <c r="H3054">
        <v>12079.08</v>
      </c>
    </row>
    <row r="3055" spans="1:8" x14ac:dyDescent="0.35">
      <c r="A3055" t="s">
        <v>6</v>
      </c>
      <c r="B3055" t="s">
        <v>12</v>
      </c>
      <c r="C3055" t="s">
        <v>9</v>
      </c>
      <c r="D3055">
        <v>254</v>
      </c>
      <c r="E3055">
        <v>1</v>
      </c>
      <c r="F3055">
        <v>0.39</v>
      </c>
      <c r="G3055">
        <v>11.94</v>
      </c>
      <c r="H3055">
        <v>3032.76</v>
      </c>
    </row>
    <row r="3056" spans="1:8" x14ac:dyDescent="0.35">
      <c r="A3056" t="s">
        <v>8</v>
      </c>
      <c r="B3056" t="s">
        <v>12</v>
      </c>
      <c r="C3056" t="s">
        <v>9</v>
      </c>
      <c r="D3056">
        <v>154</v>
      </c>
      <c r="E3056">
        <v>11</v>
      </c>
      <c r="F3056">
        <v>7.14</v>
      </c>
      <c r="G3056">
        <v>17.39</v>
      </c>
      <c r="H3056">
        <v>2678.06</v>
      </c>
    </row>
    <row r="3057" spans="1:8" x14ac:dyDescent="0.35">
      <c r="A3057" t="s">
        <v>6</v>
      </c>
      <c r="B3057" t="s">
        <v>12</v>
      </c>
      <c r="C3057" t="s">
        <v>11</v>
      </c>
      <c r="D3057">
        <v>145</v>
      </c>
      <c r="E3057">
        <v>9</v>
      </c>
      <c r="F3057">
        <v>6.21</v>
      </c>
      <c r="G3057">
        <v>23.91</v>
      </c>
      <c r="H3057">
        <v>3466.95</v>
      </c>
    </row>
    <row r="3058" spans="1:8" x14ac:dyDescent="0.35">
      <c r="A3058" t="s">
        <v>8</v>
      </c>
      <c r="B3058" t="s">
        <v>12</v>
      </c>
      <c r="C3058" t="s">
        <v>9</v>
      </c>
      <c r="D3058">
        <v>159</v>
      </c>
      <c r="E3058">
        <v>15</v>
      </c>
      <c r="F3058">
        <v>9.43</v>
      </c>
      <c r="G3058">
        <v>5.51</v>
      </c>
      <c r="H3058">
        <v>876.09</v>
      </c>
    </row>
    <row r="3059" spans="1:8" x14ac:dyDescent="0.35">
      <c r="A3059" t="s">
        <v>7</v>
      </c>
      <c r="B3059" t="s">
        <v>12</v>
      </c>
      <c r="C3059" t="s">
        <v>10</v>
      </c>
      <c r="D3059">
        <v>203</v>
      </c>
      <c r="E3059">
        <v>11</v>
      </c>
      <c r="F3059">
        <v>5.42</v>
      </c>
      <c r="G3059">
        <v>46.07</v>
      </c>
      <c r="H3059">
        <v>9352.2099999999991</v>
      </c>
    </row>
    <row r="3060" spans="1:8" x14ac:dyDescent="0.35">
      <c r="A3060" t="s">
        <v>6</v>
      </c>
      <c r="B3060" t="s">
        <v>12</v>
      </c>
      <c r="C3060" t="s">
        <v>9</v>
      </c>
      <c r="D3060">
        <v>215</v>
      </c>
      <c r="E3060">
        <v>15</v>
      </c>
      <c r="F3060">
        <v>6.98</v>
      </c>
      <c r="G3060">
        <v>52.34</v>
      </c>
      <c r="H3060">
        <v>11253.1</v>
      </c>
    </row>
    <row r="3061" spans="1:8" x14ac:dyDescent="0.35">
      <c r="A3061" t="s">
        <v>7</v>
      </c>
      <c r="B3061" t="s">
        <v>12</v>
      </c>
      <c r="C3061" t="s">
        <v>10</v>
      </c>
      <c r="D3061">
        <v>237</v>
      </c>
      <c r="E3061">
        <v>0</v>
      </c>
      <c r="F3061">
        <v>0</v>
      </c>
      <c r="G3061">
        <v>62.75</v>
      </c>
      <c r="H3061">
        <v>14871.75</v>
      </c>
    </row>
    <row r="3062" spans="1:8" x14ac:dyDescent="0.35">
      <c r="A3062" t="s">
        <v>7</v>
      </c>
      <c r="B3062" t="s">
        <v>12</v>
      </c>
      <c r="C3062" t="s">
        <v>9</v>
      </c>
      <c r="D3062">
        <v>69</v>
      </c>
      <c r="E3062">
        <v>0</v>
      </c>
      <c r="F3062">
        <v>0</v>
      </c>
      <c r="G3062">
        <v>40.47</v>
      </c>
      <c r="H3062">
        <v>2792.43</v>
      </c>
    </row>
    <row r="3063" spans="1:8" x14ac:dyDescent="0.35">
      <c r="A3063" t="s">
        <v>5</v>
      </c>
      <c r="B3063" t="s">
        <v>12</v>
      </c>
      <c r="C3063" t="s">
        <v>9</v>
      </c>
      <c r="D3063">
        <v>72</v>
      </c>
      <c r="E3063">
        <v>4</v>
      </c>
      <c r="F3063">
        <v>5.56</v>
      </c>
      <c r="G3063">
        <v>69.3</v>
      </c>
      <c r="H3063">
        <v>4989.6000000000004</v>
      </c>
    </row>
    <row r="3064" spans="1:8" x14ac:dyDescent="0.35">
      <c r="A3064" t="s">
        <v>7</v>
      </c>
      <c r="B3064" t="s">
        <v>12</v>
      </c>
      <c r="C3064" t="s">
        <v>9</v>
      </c>
      <c r="D3064">
        <v>148</v>
      </c>
      <c r="E3064">
        <v>0</v>
      </c>
      <c r="F3064">
        <v>0</v>
      </c>
      <c r="G3064">
        <v>49.48</v>
      </c>
      <c r="H3064">
        <v>7323.04</v>
      </c>
    </row>
    <row r="3065" spans="1:8" x14ac:dyDescent="0.35">
      <c r="A3065" t="s">
        <v>7</v>
      </c>
      <c r="B3065" t="s">
        <v>12</v>
      </c>
      <c r="C3065" t="s">
        <v>9</v>
      </c>
      <c r="D3065">
        <v>242</v>
      </c>
      <c r="E3065">
        <v>13</v>
      </c>
      <c r="F3065">
        <v>5.37</v>
      </c>
      <c r="G3065">
        <v>29.44</v>
      </c>
      <c r="H3065">
        <v>7124.48</v>
      </c>
    </row>
    <row r="3066" spans="1:8" x14ac:dyDescent="0.35">
      <c r="A3066" t="s">
        <v>6</v>
      </c>
      <c r="B3066" t="s">
        <v>12</v>
      </c>
      <c r="C3066" t="s">
        <v>9</v>
      </c>
      <c r="D3066">
        <v>252</v>
      </c>
      <c r="E3066">
        <v>14</v>
      </c>
      <c r="F3066">
        <v>5.56</v>
      </c>
      <c r="G3066">
        <v>50.22</v>
      </c>
      <c r="H3066">
        <v>12655.44</v>
      </c>
    </row>
    <row r="3067" spans="1:8" x14ac:dyDescent="0.35">
      <c r="A3067" t="s">
        <v>7</v>
      </c>
      <c r="B3067" t="s">
        <v>12</v>
      </c>
      <c r="C3067" t="s">
        <v>9</v>
      </c>
      <c r="D3067">
        <v>191</v>
      </c>
      <c r="E3067">
        <v>10</v>
      </c>
      <c r="F3067">
        <v>5.24</v>
      </c>
      <c r="G3067">
        <v>9.4700000000000006</v>
      </c>
      <c r="H3067">
        <v>1808.77</v>
      </c>
    </row>
    <row r="3068" spans="1:8" x14ac:dyDescent="0.35">
      <c r="A3068" t="s">
        <v>7</v>
      </c>
      <c r="B3068" t="s">
        <v>12</v>
      </c>
      <c r="C3068" t="s">
        <v>9</v>
      </c>
      <c r="D3068">
        <v>228</v>
      </c>
      <c r="E3068">
        <v>15</v>
      </c>
      <c r="F3068">
        <v>6.58</v>
      </c>
      <c r="G3068">
        <v>68.09</v>
      </c>
      <c r="H3068">
        <v>15524.52</v>
      </c>
    </row>
    <row r="3069" spans="1:8" x14ac:dyDescent="0.35">
      <c r="A3069" t="s">
        <v>7</v>
      </c>
      <c r="B3069" t="s">
        <v>12</v>
      </c>
      <c r="C3069" t="s">
        <v>9</v>
      </c>
      <c r="D3069">
        <v>213</v>
      </c>
      <c r="E3069">
        <v>12</v>
      </c>
      <c r="F3069">
        <v>5.63</v>
      </c>
      <c r="G3069">
        <v>21.53</v>
      </c>
      <c r="H3069">
        <v>4585.8900000000003</v>
      </c>
    </row>
    <row r="3070" spans="1:8" x14ac:dyDescent="0.35">
      <c r="A3070" t="s">
        <v>6</v>
      </c>
      <c r="B3070" t="s">
        <v>12</v>
      </c>
      <c r="C3070" t="s">
        <v>11</v>
      </c>
      <c r="D3070">
        <v>129</v>
      </c>
      <c r="E3070">
        <v>2</v>
      </c>
      <c r="F3070">
        <v>1.55</v>
      </c>
      <c r="G3070">
        <v>47.92</v>
      </c>
      <c r="H3070">
        <v>6181.68</v>
      </c>
    </row>
    <row r="3071" spans="1:8" x14ac:dyDescent="0.35">
      <c r="A3071" t="s">
        <v>6</v>
      </c>
      <c r="B3071" t="s">
        <v>12</v>
      </c>
      <c r="C3071" t="s">
        <v>11</v>
      </c>
      <c r="D3071">
        <v>157</v>
      </c>
      <c r="E3071">
        <v>14</v>
      </c>
      <c r="F3071">
        <v>8.92</v>
      </c>
      <c r="G3071">
        <v>65.55</v>
      </c>
      <c r="H3071">
        <v>10291.35</v>
      </c>
    </row>
    <row r="3072" spans="1:8" x14ac:dyDescent="0.35">
      <c r="A3072" t="s">
        <v>8</v>
      </c>
      <c r="B3072" t="s">
        <v>12</v>
      </c>
      <c r="C3072" t="s">
        <v>9</v>
      </c>
      <c r="D3072">
        <v>197</v>
      </c>
      <c r="E3072">
        <v>2</v>
      </c>
      <c r="F3072">
        <v>1.02</v>
      </c>
      <c r="G3072">
        <v>32.32</v>
      </c>
      <c r="H3072">
        <v>6367.04</v>
      </c>
    </row>
    <row r="3073" spans="1:8" x14ac:dyDescent="0.35">
      <c r="A3073" t="s">
        <v>7</v>
      </c>
      <c r="B3073" t="s">
        <v>12</v>
      </c>
      <c r="C3073" t="s">
        <v>9</v>
      </c>
      <c r="D3073">
        <v>292</v>
      </c>
      <c r="E3073">
        <v>3</v>
      </c>
      <c r="F3073">
        <v>1.03</v>
      </c>
      <c r="G3073">
        <v>25.21</v>
      </c>
      <c r="H3073">
        <v>7361.32</v>
      </c>
    </row>
    <row r="3074" spans="1:8" x14ac:dyDescent="0.35">
      <c r="A3074" t="s">
        <v>8</v>
      </c>
      <c r="B3074" t="s">
        <v>12</v>
      </c>
      <c r="C3074" t="s">
        <v>9</v>
      </c>
      <c r="D3074">
        <v>145</v>
      </c>
      <c r="E3074">
        <v>10</v>
      </c>
      <c r="F3074">
        <v>6.9</v>
      </c>
      <c r="G3074">
        <v>48.34</v>
      </c>
      <c r="H3074">
        <v>7009.3</v>
      </c>
    </row>
    <row r="3075" spans="1:8" x14ac:dyDescent="0.35">
      <c r="A3075" t="s">
        <v>7</v>
      </c>
      <c r="B3075" t="s">
        <v>12</v>
      </c>
      <c r="C3075" t="s">
        <v>9</v>
      </c>
      <c r="D3075">
        <v>121</v>
      </c>
      <c r="E3075">
        <v>8</v>
      </c>
      <c r="F3075">
        <v>6.61</v>
      </c>
      <c r="G3075">
        <v>49.34</v>
      </c>
      <c r="H3075">
        <v>5970.14</v>
      </c>
    </row>
    <row r="3076" spans="1:8" x14ac:dyDescent="0.35">
      <c r="A3076" t="s">
        <v>8</v>
      </c>
      <c r="B3076" t="s">
        <v>12</v>
      </c>
      <c r="C3076" t="s">
        <v>9</v>
      </c>
      <c r="D3076">
        <v>154</v>
      </c>
      <c r="E3076">
        <v>7</v>
      </c>
      <c r="F3076">
        <v>4.55</v>
      </c>
      <c r="G3076">
        <v>41.45</v>
      </c>
      <c r="H3076">
        <v>6383.3</v>
      </c>
    </row>
    <row r="3077" spans="1:8" x14ac:dyDescent="0.35">
      <c r="A3077" t="s">
        <v>5</v>
      </c>
      <c r="B3077" t="s">
        <v>12</v>
      </c>
      <c r="C3077" t="s">
        <v>9</v>
      </c>
      <c r="D3077">
        <v>57</v>
      </c>
      <c r="E3077">
        <v>1</v>
      </c>
      <c r="F3077">
        <v>1.75</v>
      </c>
      <c r="G3077">
        <v>20.89</v>
      </c>
      <c r="H3077">
        <v>1190.73</v>
      </c>
    </row>
    <row r="3078" spans="1:8" x14ac:dyDescent="0.35">
      <c r="A3078" t="s">
        <v>5</v>
      </c>
      <c r="B3078" t="s">
        <v>12</v>
      </c>
      <c r="C3078" t="s">
        <v>9</v>
      </c>
      <c r="D3078">
        <v>284</v>
      </c>
      <c r="E3078">
        <v>21</v>
      </c>
      <c r="F3078">
        <v>7.39</v>
      </c>
      <c r="G3078">
        <v>58.19</v>
      </c>
      <c r="H3078">
        <v>16525.96</v>
      </c>
    </row>
    <row r="3079" spans="1:8" x14ac:dyDescent="0.35">
      <c r="A3079" t="s">
        <v>6</v>
      </c>
      <c r="B3079" t="s">
        <v>12</v>
      </c>
      <c r="C3079" t="s">
        <v>11</v>
      </c>
      <c r="D3079">
        <v>261</v>
      </c>
      <c r="E3079">
        <v>10</v>
      </c>
      <c r="F3079">
        <v>3.83</v>
      </c>
      <c r="G3079">
        <v>13.17</v>
      </c>
      <c r="H3079">
        <v>3437.37</v>
      </c>
    </row>
    <row r="3080" spans="1:8" x14ac:dyDescent="0.35">
      <c r="A3080" t="s">
        <v>7</v>
      </c>
      <c r="B3080" t="s">
        <v>12</v>
      </c>
      <c r="C3080" t="s">
        <v>9</v>
      </c>
      <c r="D3080">
        <v>205</v>
      </c>
      <c r="E3080">
        <v>7</v>
      </c>
      <c r="F3080">
        <v>3.41</v>
      </c>
      <c r="G3080">
        <v>62.45</v>
      </c>
      <c r="H3080">
        <v>12802.25</v>
      </c>
    </row>
    <row r="3081" spans="1:8" x14ac:dyDescent="0.35">
      <c r="A3081" t="s">
        <v>8</v>
      </c>
      <c r="B3081" t="s">
        <v>12</v>
      </c>
      <c r="C3081" t="s">
        <v>9</v>
      </c>
      <c r="D3081">
        <v>167</v>
      </c>
      <c r="E3081">
        <v>11</v>
      </c>
      <c r="F3081">
        <v>6.59</v>
      </c>
      <c r="G3081">
        <v>24.34</v>
      </c>
      <c r="H3081">
        <v>4064.78</v>
      </c>
    </row>
    <row r="3082" spans="1:8" x14ac:dyDescent="0.35">
      <c r="A3082" t="s">
        <v>7</v>
      </c>
      <c r="B3082" t="s">
        <v>12</v>
      </c>
      <c r="C3082" t="s">
        <v>10</v>
      </c>
      <c r="D3082">
        <v>238</v>
      </c>
      <c r="E3082">
        <v>5</v>
      </c>
      <c r="F3082">
        <v>2.1</v>
      </c>
      <c r="G3082">
        <v>7.28</v>
      </c>
      <c r="H3082">
        <v>1732.64</v>
      </c>
    </row>
    <row r="3083" spans="1:8" x14ac:dyDescent="0.35">
      <c r="A3083" t="s">
        <v>7</v>
      </c>
      <c r="B3083" t="s">
        <v>12</v>
      </c>
      <c r="C3083" t="s">
        <v>10</v>
      </c>
      <c r="D3083">
        <v>231</v>
      </c>
      <c r="E3083">
        <v>1</v>
      </c>
      <c r="F3083">
        <v>0.43</v>
      </c>
      <c r="G3083">
        <v>60.97</v>
      </c>
      <c r="H3083">
        <v>14084.07</v>
      </c>
    </row>
    <row r="3084" spans="1:8" x14ac:dyDescent="0.35">
      <c r="A3084" t="s">
        <v>7</v>
      </c>
      <c r="B3084" t="s">
        <v>12</v>
      </c>
      <c r="C3084" t="s">
        <v>9</v>
      </c>
      <c r="D3084">
        <v>229</v>
      </c>
      <c r="E3084">
        <v>9</v>
      </c>
      <c r="F3084">
        <v>3.93</v>
      </c>
      <c r="G3084">
        <v>36</v>
      </c>
      <c r="H3084">
        <v>8244</v>
      </c>
    </row>
    <row r="3085" spans="1:8" x14ac:dyDescent="0.35">
      <c r="A3085" t="s">
        <v>6</v>
      </c>
      <c r="B3085" t="s">
        <v>12</v>
      </c>
      <c r="C3085" t="s">
        <v>9</v>
      </c>
      <c r="D3085">
        <v>69</v>
      </c>
      <c r="E3085">
        <v>4</v>
      </c>
      <c r="F3085">
        <v>5.8</v>
      </c>
      <c r="G3085">
        <v>34.729999999999997</v>
      </c>
      <c r="H3085">
        <v>2396.37</v>
      </c>
    </row>
    <row r="3086" spans="1:8" x14ac:dyDescent="0.35">
      <c r="A3086" t="s">
        <v>6</v>
      </c>
      <c r="B3086" t="s">
        <v>12</v>
      </c>
      <c r="C3086" t="s">
        <v>9</v>
      </c>
      <c r="D3086">
        <v>203</v>
      </c>
      <c r="E3086">
        <v>2</v>
      </c>
      <c r="F3086">
        <v>0.99</v>
      </c>
      <c r="G3086">
        <v>62.53</v>
      </c>
      <c r="H3086">
        <v>12693.59</v>
      </c>
    </row>
    <row r="3087" spans="1:8" x14ac:dyDescent="0.35">
      <c r="A3087" t="s">
        <v>8</v>
      </c>
      <c r="B3087" t="s">
        <v>12</v>
      </c>
      <c r="C3087" t="s">
        <v>9</v>
      </c>
      <c r="D3087">
        <v>251</v>
      </c>
      <c r="E3087">
        <v>0</v>
      </c>
      <c r="F3087">
        <v>0</v>
      </c>
      <c r="G3087">
        <v>48.45</v>
      </c>
      <c r="H3087">
        <v>12160.95</v>
      </c>
    </row>
    <row r="3088" spans="1:8" x14ac:dyDescent="0.35">
      <c r="A3088" t="s">
        <v>6</v>
      </c>
      <c r="B3088" t="s">
        <v>12</v>
      </c>
      <c r="C3088" t="s">
        <v>9</v>
      </c>
      <c r="D3088">
        <v>164</v>
      </c>
      <c r="E3088">
        <v>8</v>
      </c>
      <c r="F3088">
        <v>4.88</v>
      </c>
      <c r="G3088">
        <v>25.26</v>
      </c>
      <c r="H3088">
        <v>4142.6400000000003</v>
      </c>
    </row>
    <row r="3089" spans="1:8" x14ac:dyDescent="0.35">
      <c r="A3089" t="s">
        <v>8</v>
      </c>
      <c r="B3089" t="s">
        <v>12</v>
      </c>
      <c r="C3089" t="s">
        <v>9</v>
      </c>
      <c r="D3089">
        <v>138</v>
      </c>
      <c r="E3089">
        <v>3</v>
      </c>
      <c r="F3089">
        <v>2.17</v>
      </c>
      <c r="G3089">
        <v>26.77</v>
      </c>
      <c r="H3089">
        <v>3694.26</v>
      </c>
    </row>
    <row r="3090" spans="1:8" x14ac:dyDescent="0.35">
      <c r="A3090" t="s">
        <v>6</v>
      </c>
      <c r="B3090" t="s">
        <v>12</v>
      </c>
      <c r="C3090" t="s">
        <v>9</v>
      </c>
      <c r="D3090">
        <v>178</v>
      </c>
      <c r="E3090">
        <v>8</v>
      </c>
      <c r="F3090">
        <v>4.49</v>
      </c>
      <c r="G3090">
        <v>11.09</v>
      </c>
      <c r="H3090">
        <v>1974.02</v>
      </c>
    </row>
    <row r="3091" spans="1:8" x14ac:dyDescent="0.35">
      <c r="A3091" t="s">
        <v>7</v>
      </c>
      <c r="B3091" t="s">
        <v>12</v>
      </c>
      <c r="C3091" t="s">
        <v>9</v>
      </c>
      <c r="D3091">
        <v>100</v>
      </c>
      <c r="E3091">
        <v>7</v>
      </c>
      <c r="F3091">
        <v>7</v>
      </c>
      <c r="G3091">
        <v>19.7</v>
      </c>
      <c r="H3091">
        <v>1970</v>
      </c>
    </row>
    <row r="3092" spans="1:8" x14ac:dyDescent="0.35">
      <c r="A3092" t="s">
        <v>8</v>
      </c>
      <c r="B3092" t="s">
        <v>12</v>
      </c>
      <c r="C3092" t="s">
        <v>9</v>
      </c>
      <c r="D3092">
        <v>258</v>
      </c>
      <c r="E3092">
        <v>18</v>
      </c>
      <c r="F3092">
        <v>6.98</v>
      </c>
      <c r="G3092">
        <v>54.34</v>
      </c>
      <c r="H3092">
        <v>14019.72</v>
      </c>
    </row>
    <row r="3093" spans="1:8" x14ac:dyDescent="0.35">
      <c r="A3093" t="s">
        <v>6</v>
      </c>
      <c r="B3093" t="s">
        <v>12</v>
      </c>
      <c r="C3093" t="s">
        <v>11</v>
      </c>
      <c r="D3093">
        <v>56</v>
      </c>
      <c r="E3093">
        <v>4</v>
      </c>
      <c r="F3093">
        <v>7.14</v>
      </c>
      <c r="G3093">
        <v>56.46</v>
      </c>
      <c r="H3093">
        <v>3161.76</v>
      </c>
    </row>
    <row r="3094" spans="1:8" x14ac:dyDescent="0.35">
      <c r="A3094" t="s">
        <v>6</v>
      </c>
      <c r="B3094" t="s">
        <v>12</v>
      </c>
      <c r="C3094" t="s">
        <v>9</v>
      </c>
      <c r="D3094">
        <v>100</v>
      </c>
      <c r="E3094">
        <v>1</v>
      </c>
      <c r="F3094">
        <v>1</v>
      </c>
      <c r="G3094">
        <v>39.07</v>
      </c>
      <c r="H3094">
        <v>3907</v>
      </c>
    </row>
    <row r="3095" spans="1:8" x14ac:dyDescent="0.35">
      <c r="A3095" t="s">
        <v>6</v>
      </c>
      <c r="B3095" t="s">
        <v>12</v>
      </c>
      <c r="C3095" t="s">
        <v>11</v>
      </c>
      <c r="D3095">
        <v>236</v>
      </c>
      <c r="E3095">
        <v>9</v>
      </c>
      <c r="F3095">
        <v>3.81</v>
      </c>
      <c r="G3095">
        <v>43.84</v>
      </c>
      <c r="H3095">
        <v>10346.24</v>
      </c>
    </row>
    <row r="3096" spans="1:8" x14ac:dyDescent="0.35">
      <c r="A3096" t="s">
        <v>6</v>
      </c>
      <c r="B3096" t="s">
        <v>12</v>
      </c>
      <c r="C3096" t="s">
        <v>11</v>
      </c>
      <c r="D3096">
        <v>225</v>
      </c>
      <c r="E3096">
        <v>1</v>
      </c>
      <c r="F3096">
        <v>0.44</v>
      </c>
      <c r="G3096">
        <v>24.99</v>
      </c>
      <c r="H3096">
        <v>5622.75</v>
      </c>
    </row>
    <row r="3097" spans="1:8" x14ac:dyDescent="0.35">
      <c r="A3097" t="s">
        <v>8</v>
      </c>
      <c r="B3097" t="s">
        <v>12</v>
      </c>
      <c r="C3097" t="s">
        <v>9</v>
      </c>
      <c r="D3097">
        <v>96</v>
      </c>
      <c r="E3097">
        <v>1</v>
      </c>
      <c r="F3097">
        <v>1.04</v>
      </c>
      <c r="G3097">
        <v>12.68</v>
      </c>
      <c r="H3097">
        <v>1217.28</v>
      </c>
    </row>
    <row r="3098" spans="1:8" x14ac:dyDescent="0.35">
      <c r="A3098" t="s">
        <v>8</v>
      </c>
      <c r="B3098" t="s">
        <v>12</v>
      </c>
      <c r="C3098" t="s">
        <v>9</v>
      </c>
      <c r="D3098">
        <v>124</v>
      </c>
      <c r="E3098">
        <v>2</v>
      </c>
      <c r="F3098">
        <v>1.61</v>
      </c>
      <c r="G3098">
        <v>67.55</v>
      </c>
      <c r="H3098">
        <v>8376.2000000000007</v>
      </c>
    </row>
    <row r="3099" spans="1:8" x14ac:dyDescent="0.35">
      <c r="A3099" t="s">
        <v>8</v>
      </c>
      <c r="B3099" t="s">
        <v>12</v>
      </c>
      <c r="C3099" t="s">
        <v>9</v>
      </c>
      <c r="D3099">
        <v>89</v>
      </c>
      <c r="E3099">
        <v>7</v>
      </c>
      <c r="F3099">
        <v>7.87</v>
      </c>
      <c r="G3099">
        <v>62.11</v>
      </c>
      <c r="H3099">
        <v>5527.79</v>
      </c>
    </row>
    <row r="3100" spans="1:8" x14ac:dyDescent="0.35">
      <c r="A3100" t="s">
        <v>8</v>
      </c>
      <c r="B3100" t="s">
        <v>12</v>
      </c>
      <c r="C3100" t="s">
        <v>9</v>
      </c>
      <c r="D3100">
        <v>202</v>
      </c>
      <c r="E3100">
        <v>16</v>
      </c>
      <c r="F3100">
        <v>7.92</v>
      </c>
      <c r="G3100">
        <v>52.12</v>
      </c>
      <c r="H3100">
        <v>10528.24</v>
      </c>
    </row>
    <row r="3101" spans="1:8" x14ac:dyDescent="0.35">
      <c r="A3101" t="s">
        <v>7</v>
      </c>
      <c r="B3101" t="s">
        <v>12</v>
      </c>
      <c r="C3101" t="s">
        <v>10</v>
      </c>
      <c r="D3101">
        <v>211</v>
      </c>
      <c r="E3101">
        <v>6</v>
      </c>
      <c r="F3101">
        <v>2.84</v>
      </c>
      <c r="G3101">
        <v>67.16</v>
      </c>
      <c r="H3101">
        <v>14170.76</v>
      </c>
    </row>
    <row r="3102" spans="1:8" x14ac:dyDescent="0.35">
      <c r="A3102" t="s">
        <v>6</v>
      </c>
      <c r="B3102" t="s">
        <v>12</v>
      </c>
      <c r="C3102" t="s">
        <v>9</v>
      </c>
      <c r="D3102">
        <v>238</v>
      </c>
      <c r="E3102">
        <v>1</v>
      </c>
      <c r="F3102">
        <v>0.42</v>
      </c>
      <c r="G3102">
        <v>63.71</v>
      </c>
      <c r="H3102">
        <v>15162.98</v>
      </c>
    </row>
    <row r="3103" spans="1:8" x14ac:dyDescent="0.35">
      <c r="A3103" t="s">
        <v>8</v>
      </c>
      <c r="B3103" t="s">
        <v>12</v>
      </c>
      <c r="C3103" t="s">
        <v>9</v>
      </c>
      <c r="D3103">
        <v>230</v>
      </c>
      <c r="E3103">
        <v>13</v>
      </c>
      <c r="F3103">
        <v>5.65</v>
      </c>
      <c r="G3103">
        <v>34.68</v>
      </c>
      <c r="H3103">
        <v>7976.4</v>
      </c>
    </row>
    <row r="3104" spans="1:8" x14ac:dyDescent="0.35">
      <c r="A3104" t="s">
        <v>6</v>
      </c>
      <c r="B3104" t="s">
        <v>12</v>
      </c>
      <c r="C3104" t="s">
        <v>11</v>
      </c>
      <c r="D3104">
        <v>206</v>
      </c>
      <c r="E3104">
        <v>11</v>
      </c>
      <c r="F3104">
        <v>5.34</v>
      </c>
      <c r="G3104">
        <v>13.55</v>
      </c>
      <c r="H3104">
        <v>2791.3</v>
      </c>
    </row>
    <row r="3105" spans="1:8" x14ac:dyDescent="0.35">
      <c r="A3105" t="s">
        <v>8</v>
      </c>
      <c r="B3105" t="s">
        <v>12</v>
      </c>
      <c r="C3105" t="s">
        <v>9</v>
      </c>
      <c r="D3105">
        <v>194</v>
      </c>
      <c r="E3105">
        <v>0</v>
      </c>
      <c r="F3105">
        <v>0</v>
      </c>
      <c r="G3105">
        <v>12.53</v>
      </c>
      <c r="H3105">
        <v>2430.8200000000002</v>
      </c>
    </row>
    <row r="3106" spans="1:8" x14ac:dyDescent="0.35">
      <c r="A3106" t="s">
        <v>5</v>
      </c>
      <c r="B3106" t="s">
        <v>12</v>
      </c>
      <c r="C3106" t="s">
        <v>9</v>
      </c>
      <c r="D3106">
        <v>270</v>
      </c>
      <c r="E3106">
        <v>2</v>
      </c>
      <c r="F3106">
        <v>0.74</v>
      </c>
      <c r="G3106">
        <v>54.76</v>
      </c>
      <c r="H3106">
        <v>14785.2</v>
      </c>
    </row>
    <row r="3107" spans="1:8" x14ac:dyDescent="0.35">
      <c r="A3107" t="s">
        <v>6</v>
      </c>
      <c r="B3107" t="s">
        <v>12</v>
      </c>
      <c r="C3107" t="s">
        <v>11</v>
      </c>
      <c r="D3107">
        <v>89</v>
      </c>
      <c r="E3107">
        <v>6</v>
      </c>
      <c r="F3107">
        <v>6.74</v>
      </c>
      <c r="G3107">
        <v>60.98</v>
      </c>
      <c r="H3107">
        <v>5427.22</v>
      </c>
    </row>
    <row r="3108" spans="1:8" x14ac:dyDescent="0.35">
      <c r="A3108" t="s">
        <v>8</v>
      </c>
      <c r="B3108" t="s">
        <v>12</v>
      </c>
      <c r="C3108" t="s">
        <v>9</v>
      </c>
      <c r="D3108">
        <v>168</v>
      </c>
      <c r="E3108">
        <v>1</v>
      </c>
      <c r="F3108">
        <v>0.6</v>
      </c>
      <c r="G3108">
        <v>64.58</v>
      </c>
      <c r="H3108">
        <v>10849.44</v>
      </c>
    </row>
    <row r="3109" spans="1:8" x14ac:dyDescent="0.35">
      <c r="A3109" t="s">
        <v>6</v>
      </c>
      <c r="B3109" t="s">
        <v>12</v>
      </c>
      <c r="C3109" t="s">
        <v>11</v>
      </c>
      <c r="D3109">
        <v>286</v>
      </c>
      <c r="E3109">
        <v>27</v>
      </c>
      <c r="F3109">
        <v>9.44</v>
      </c>
      <c r="G3109">
        <v>14.4</v>
      </c>
      <c r="H3109">
        <v>4118.3999999999996</v>
      </c>
    </row>
    <row r="3110" spans="1:8" x14ac:dyDescent="0.35">
      <c r="A3110" t="s">
        <v>5</v>
      </c>
      <c r="B3110" t="s">
        <v>12</v>
      </c>
      <c r="C3110" t="s">
        <v>9</v>
      </c>
      <c r="D3110">
        <v>250</v>
      </c>
      <c r="E3110">
        <v>7</v>
      </c>
      <c r="F3110">
        <v>2.8</v>
      </c>
      <c r="G3110">
        <v>65</v>
      </c>
      <c r="H3110">
        <v>16250</v>
      </c>
    </row>
    <row r="3111" spans="1:8" x14ac:dyDescent="0.35">
      <c r="A3111" t="s">
        <v>7</v>
      </c>
      <c r="B3111" t="s">
        <v>12</v>
      </c>
      <c r="C3111" t="s">
        <v>9</v>
      </c>
      <c r="D3111">
        <v>225</v>
      </c>
      <c r="E3111">
        <v>15</v>
      </c>
      <c r="F3111">
        <v>6.67</v>
      </c>
      <c r="G3111">
        <v>9.18</v>
      </c>
      <c r="H3111">
        <v>2065.5</v>
      </c>
    </row>
    <row r="3112" spans="1:8" x14ac:dyDescent="0.35">
      <c r="A3112" t="s">
        <v>8</v>
      </c>
      <c r="B3112" t="s">
        <v>12</v>
      </c>
      <c r="C3112" t="s">
        <v>9</v>
      </c>
      <c r="D3112">
        <v>65</v>
      </c>
      <c r="E3112">
        <v>0</v>
      </c>
      <c r="F3112">
        <v>0</v>
      </c>
      <c r="G3112">
        <v>62.45</v>
      </c>
      <c r="H3112">
        <v>4059.25</v>
      </c>
    </row>
    <row r="3113" spans="1:8" x14ac:dyDescent="0.35">
      <c r="A3113" t="s">
        <v>5</v>
      </c>
      <c r="B3113" t="s">
        <v>12</v>
      </c>
      <c r="C3113" t="s">
        <v>9</v>
      </c>
      <c r="D3113">
        <v>71</v>
      </c>
      <c r="E3113">
        <v>2</v>
      </c>
      <c r="F3113">
        <v>2.82</v>
      </c>
      <c r="G3113">
        <v>45.7</v>
      </c>
      <c r="H3113">
        <v>3244.7</v>
      </c>
    </row>
    <row r="3114" spans="1:8" x14ac:dyDescent="0.35">
      <c r="A3114" t="s">
        <v>6</v>
      </c>
      <c r="B3114" t="s">
        <v>12</v>
      </c>
      <c r="C3114" t="s">
        <v>9</v>
      </c>
      <c r="D3114">
        <v>187</v>
      </c>
      <c r="E3114">
        <v>6</v>
      </c>
      <c r="F3114">
        <v>3.21</v>
      </c>
      <c r="G3114">
        <v>43.52</v>
      </c>
      <c r="H3114">
        <v>8138.24</v>
      </c>
    </row>
    <row r="3115" spans="1:8" x14ac:dyDescent="0.35">
      <c r="A3115" t="s">
        <v>6</v>
      </c>
      <c r="B3115" t="s">
        <v>12</v>
      </c>
      <c r="C3115" t="s">
        <v>9</v>
      </c>
      <c r="D3115">
        <v>187</v>
      </c>
      <c r="E3115">
        <v>0</v>
      </c>
      <c r="F3115">
        <v>0</v>
      </c>
      <c r="G3115">
        <v>18.7</v>
      </c>
      <c r="H3115">
        <v>3496.9</v>
      </c>
    </row>
    <row r="3116" spans="1:8" x14ac:dyDescent="0.35">
      <c r="A3116" t="s">
        <v>6</v>
      </c>
      <c r="B3116" t="s">
        <v>12</v>
      </c>
      <c r="C3116" t="s">
        <v>9</v>
      </c>
      <c r="D3116">
        <v>136</v>
      </c>
      <c r="E3116">
        <v>1</v>
      </c>
      <c r="F3116">
        <v>0.74</v>
      </c>
      <c r="G3116">
        <v>10.77</v>
      </c>
      <c r="H3116">
        <v>1464.72</v>
      </c>
    </row>
    <row r="3117" spans="1:8" x14ac:dyDescent="0.35">
      <c r="A3117" t="s">
        <v>7</v>
      </c>
      <c r="B3117" t="s">
        <v>12</v>
      </c>
      <c r="C3117" t="s">
        <v>9</v>
      </c>
      <c r="D3117">
        <v>150</v>
      </c>
      <c r="E3117">
        <v>9</v>
      </c>
      <c r="F3117">
        <v>6</v>
      </c>
      <c r="G3117">
        <v>41.69</v>
      </c>
      <c r="H3117">
        <v>6253.5</v>
      </c>
    </row>
    <row r="3118" spans="1:8" x14ac:dyDescent="0.35">
      <c r="A3118" t="s">
        <v>6</v>
      </c>
      <c r="B3118" t="s">
        <v>12</v>
      </c>
      <c r="C3118" t="s">
        <v>9</v>
      </c>
      <c r="D3118">
        <v>266</v>
      </c>
      <c r="E3118">
        <v>15</v>
      </c>
      <c r="F3118">
        <v>5.64</v>
      </c>
      <c r="G3118">
        <v>41.61</v>
      </c>
      <c r="H3118">
        <v>11068.26</v>
      </c>
    </row>
    <row r="3119" spans="1:8" x14ac:dyDescent="0.35">
      <c r="A3119" t="s">
        <v>6</v>
      </c>
      <c r="B3119" t="s">
        <v>12</v>
      </c>
      <c r="C3119" t="s">
        <v>9</v>
      </c>
      <c r="D3119">
        <v>212</v>
      </c>
      <c r="E3119">
        <v>20</v>
      </c>
      <c r="F3119">
        <v>9.43</v>
      </c>
      <c r="G3119">
        <v>34.08</v>
      </c>
      <c r="H3119">
        <v>7224.96</v>
      </c>
    </row>
    <row r="3120" spans="1:8" x14ac:dyDescent="0.35">
      <c r="A3120" t="s">
        <v>6</v>
      </c>
      <c r="B3120" t="s">
        <v>12</v>
      </c>
      <c r="C3120" t="s">
        <v>11</v>
      </c>
      <c r="D3120">
        <v>173</v>
      </c>
      <c r="E3120">
        <v>7</v>
      </c>
      <c r="F3120">
        <v>4.05</v>
      </c>
      <c r="G3120">
        <v>39.64</v>
      </c>
      <c r="H3120">
        <v>6857.72</v>
      </c>
    </row>
    <row r="3121" spans="1:8" x14ac:dyDescent="0.35">
      <c r="A3121" t="s">
        <v>7</v>
      </c>
      <c r="B3121" t="s">
        <v>12</v>
      </c>
      <c r="C3121" t="s">
        <v>10</v>
      </c>
      <c r="D3121">
        <v>168</v>
      </c>
      <c r="E3121">
        <v>7</v>
      </c>
      <c r="F3121">
        <v>4.17</v>
      </c>
      <c r="G3121">
        <v>6.91</v>
      </c>
      <c r="H3121">
        <v>1160.8800000000001</v>
      </c>
    </row>
    <row r="3122" spans="1:8" x14ac:dyDescent="0.35">
      <c r="A3122" t="s">
        <v>7</v>
      </c>
      <c r="B3122" t="s">
        <v>12</v>
      </c>
      <c r="C3122" t="s">
        <v>10</v>
      </c>
      <c r="D3122">
        <v>191</v>
      </c>
      <c r="E3122">
        <v>0</v>
      </c>
      <c r="F3122">
        <v>0</v>
      </c>
      <c r="G3122">
        <v>8.6199999999999992</v>
      </c>
      <c r="H3122">
        <v>1646.42</v>
      </c>
    </row>
    <row r="3123" spans="1:8" x14ac:dyDescent="0.35">
      <c r="A3123" t="s">
        <v>5</v>
      </c>
      <c r="B3123" t="s">
        <v>12</v>
      </c>
      <c r="C3123" t="s">
        <v>9</v>
      </c>
      <c r="D3123">
        <v>259</v>
      </c>
      <c r="E3123">
        <v>22</v>
      </c>
      <c r="F3123">
        <v>8.49</v>
      </c>
      <c r="G3123">
        <v>25.47</v>
      </c>
      <c r="H3123">
        <v>6596.73</v>
      </c>
    </row>
    <row r="3124" spans="1:8" x14ac:dyDescent="0.35">
      <c r="A3124" t="s">
        <v>6</v>
      </c>
      <c r="B3124" t="s">
        <v>12</v>
      </c>
      <c r="C3124" t="s">
        <v>11</v>
      </c>
      <c r="D3124">
        <v>97</v>
      </c>
      <c r="E3124">
        <v>6</v>
      </c>
      <c r="F3124">
        <v>6.19</v>
      </c>
      <c r="G3124">
        <v>65.5</v>
      </c>
      <c r="H3124">
        <v>6353.5</v>
      </c>
    </row>
    <row r="3125" spans="1:8" x14ac:dyDescent="0.35">
      <c r="A3125" t="s">
        <v>8</v>
      </c>
      <c r="B3125" t="s">
        <v>12</v>
      </c>
      <c r="C3125" t="s">
        <v>9</v>
      </c>
      <c r="D3125">
        <v>162</v>
      </c>
      <c r="E3125">
        <v>10</v>
      </c>
      <c r="F3125">
        <v>6.17</v>
      </c>
      <c r="G3125">
        <v>27.11</v>
      </c>
      <c r="H3125">
        <v>4391.82</v>
      </c>
    </row>
    <row r="3126" spans="1:8" x14ac:dyDescent="0.35">
      <c r="A3126" t="s">
        <v>5</v>
      </c>
      <c r="B3126" t="s">
        <v>12</v>
      </c>
      <c r="C3126" t="s">
        <v>9</v>
      </c>
      <c r="D3126">
        <v>247</v>
      </c>
      <c r="E3126">
        <v>10</v>
      </c>
      <c r="F3126">
        <v>4.05</v>
      </c>
      <c r="G3126">
        <v>56.28</v>
      </c>
      <c r="H3126">
        <v>13901.16</v>
      </c>
    </row>
    <row r="3127" spans="1:8" x14ac:dyDescent="0.35">
      <c r="A3127" t="s">
        <v>8</v>
      </c>
      <c r="B3127" t="s">
        <v>12</v>
      </c>
      <c r="C3127" t="s">
        <v>9</v>
      </c>
      <c r="D3127">
        <v>288</v>
      </c>
      <c r="E3127">
        <v>21</v>
      </c>
      <c r="F3127">
        <v>7.29</v>
      </c>
      <c r="G3127">
        <v>50.97</v>
      </c>
      <c r="H3127">
        <v>14679.36</v>
      </c>
    </row>
    <row r="3128" spans="1:8" x14ac:dyDescent="0.35">
      <c r="A3128" t="s">
        <v>5</v>
      </c>
      <c r="B3128" t="s">
        <v>12</v>
      </c>
      <c r="C3128" t="s">
        <v>9</v>
      </c>
      <c r="D3128">
        <v>135</v>
      </c>
      <c r="E3128">
        <v>8</v>
      </c>
      <c r="F3128">
        <v>5.93</v>
      </c>
      <c r="G3128">
        <v>40.78</v>
      </c>
      <c r="H3128">
        <v>5505.3</v>
      </c>
    </row>
    <row r="3129" spans="1:8" x14ac:dyDescent="0.35">
      <c r="A3129" t="s">
        <v>5</v>
      </c>
      <c r="B3129" t="s">
        <v>12</v>
      </c>
      <c r="C3129" t="s">
        <v>9</v>
      </c>
      <c r="D3129">
        <v>168</v>
      </c>
      <c r="E3129">
        <v>4</v>
      </c>
      <c r="F3129">
        <v>2.38</v>
      </c>
      <c r="G3129">
        <v>15.28</v>
      </c>
      <c r="H3129">
        <v>2567.04</v>
      </c>
    </row>
    <row r="3130" spans="1:8" x14ac:dyDescent="0.35">
      <c r="A3130" t="s">
        <v>7</v>
      </c>
      <c r="B3130" t="s">
        <v>12</v>
      </c>
      <c r="C3130" t="s">
        <v>9</v>
      </c>
      <c r="D3130">
        <v>272</v>
      </c>
      <c r="E3130">
        <v>3</v>
      </c>
      <c r="F3130">
        <v>1.1000000000000001</v>
      </c>
      <c r="G3130">
        <v>69.459999999999994</v>
      </c>
      <c r="H3130">
        <v>18893.12</v>
      </c>
    </row>
    <row r="3131" spans="1:8" x14ac:dyDescent="0.35">
      <c r="A3131" t="s">
        <v>8</v>
      </c>
      <c r="B3131" t="s">
        <v>12</v>
      </c>
      <c r="C3131" t="s">
        <v>9</v>
      </c>
      <c r="D3131">
        <v>199</v>
      </c>
      <c r="E3131">
        <v>11</v>
      </c>
      <c r="F3131">
        <v>5.53</v>
      </c>
      <c r="G3131">
        <v>64.64</v>
      </c>
      <c r="H3131">
        <v>12863.36</v>
      </c>
    </row>
    <row r="3132" spans="1:8" x14ac:dyDescent="0.35">
      <c r="A3132" t="s">
        <v>6</v>
      </c>
      <c r="B3132" t="s">
        <v>12</v>
      </c>
      <c r="C3132" t="s">
        <v>9</v>
      </c>
      <c r="D3132">
        <v>219</v>
      </c>
      <c r="E3132">
        <v>7</v>
      </c>
      <c r="F3132">
        <v>3.2</v>
      </c>
      <c r="G3132">
        <v>19.95</v>
      </c>
      <c r="H3132">
        <v>4369.05</v>
      </c>
    </row>
    <row r="3133" spans="1:8" x14ac:dyDescent="0.35">
      <c r="A3133" t="s">
        <v>7</v>
      </c>
      <c r="B3133" t="s">
        <v>12</v>
      </c>
      <c r="C3133" t="s">
        <v>10</v>
      </c>
      <c r="D3133">
        <v>161</v>
      </c>
      <c r="E3133">
        <v>8</v>
      </c>
      <c r="F3133">
        <v>4.97</v>
      </c>
      <c r="G3133">
        <v>19.010000000000002</v>
      </c>
      <c r="H3133">
        <v>3060.61</v>
      </c>
    </row>
    <row r="3134" spans="1:8" x14ac:dyDescent="0.35">
      <c r="A3134" t="s">
        <v>6</v>
      </c>
      <c r="B3134" t="s">
        <v>12</v>
      </c>
      <c r="C3134" t="s">
        <v>9</v>
      </c>
      <c r="D3134">
        <v>288</v>
      </c>
      <c r="E3134">
        <v>20</v>
      </c>
      <c r="F3134">
        <v>6.94</v>
      </c>
      <c r="G3134">
        <v>20.39</v>
      </c>
      <c r="H3134">
        <v>5872.32</v>
      </c>
    </row>
    <row r="3135" spans="1:8" x14ac:dyDescent="0.35">
      <c r="A3135" t="s">
        <v>5</v>
      </c>
      <c r="B3135" t="s">
        <v>12</v>
      </c>
      <c r="C3135" t="s">
        <v>9</v>
      </c>
      <c r="D3135">
        <v>56</v>
      </c>
      <c r="E3135">
        <v>2</v>
      </c>
      <c r="F3135">
        <v>3.57</v>
      </c>
      <c r="G3135">
        <v>29.78</v>
      </c>
      <c r="H3135">
        <v>1667.68</v>
      </c>
    </row>
    <row r="3136" spans="1:8" x14ac:dyDescent="0.35">
      <c r="A3136" t="s">
        <v>8</v>
      </c>
      <c r="B3136" t="s">
        <v>12</v>
      </c>
      <c r="C3136" t="s">
        <v>9</v>
      </c>
      <c r="D3136">
        <v>160</v>
      </c>
      <c r="E3136">
        <v>14</v>
      </c>
      <c r="F3136">
        <v>8.75</v>
      </c>
      <c r="G3136">
        <v>44.4</v>
      </c>
      <c r="H3136">
        <v>7104</v>
      </c>
    </row>
    <row r="3137" spans="1:8" x14ac:dyDescent="0.35">
      <c r="A3137" t="s">
        <v>7</v>
      </c>
      <c r="B3137" t="s">
        <v>12</v>
      </c>
      <c r="C3137" t="s">
        <v>9</v>
      </c>
      <c r="D3137">
        <v>286</v>
      </c>
      <c r="E3137">
        <v>23</v>
      </c>
      <c r="F3137">
        <v>8.0399999999999991</v>
      </c>
      <c r="G3137">
        <v>35.92</v>
      </c>
      <c r="H3137">
        <v>10273.120000000001</v>
      </c>
    </row>
    <row r="3138" spans="1:8" x14ac:dyDescent="0.35">
      <c r="A3138" t="s">
        <v>7</v>
      </c>
      <c r="B3138" t="s">
        <v>12</v>
      </c>
      <c r="C3138" t="s">
        <v>9</v>
      </c>
      <c r="D3138">
        <v>133</v>
      </c>
      <c r="E3138">
        <v>7</v>
      </c>
      <c r="F3138">
        <v>5.26</v>
      </c>
      <c r="G3138">
        <v>24.13</v>
      </c>
      <c r="H3138">
        <v>3209.29</v>
      </c>
    </row>
    <row r="3139" spans="1:8" x14ac:dyDescent="0.35">
      <c r="A3139" t="s">
        <v>7</v>
      </c>
      <c r="B3139" t="s">
        <v>12</v>
      </c>
      <c r="C3139" t="s">
        <v>10</v>
      </c>
      <c r="D3139">
        <v>225</v>
      </c>
      <c r="E3139">
        <v>20</v>
      </c>
      <c r="F3139">
        <v>8.89</v>
      </c>
      <c r="G3139">
        <v>12.11</v>
      </c>
      <c r="H3139">
        <v>2724.75</v>
      </c>
    </row>
    <row r="3140" spans="1:8" x14ac:dyDescent="0.35">
      <c r="A3140" t="s">
        <v>6</v>
      </c>
      <c r="B3140" t="s">
        <v>12</v>
      </c>
      <c r="C3140" t="s">
        <v>11</v>
      </c>
      <c r="D3140">
        <v>187</v>
      </c>
      <c r="E3140">
        <v>16</v>
      </c>
      <c r="F3140">
        <v>8.56</v>
      </c>
      <c r="G3140">
        <v>53.21</v>
      </c>
      <c r="H3140">
        <v>9950.27</v>
      </c>
    </row>
    <row r="3141" spans="1:8" x14ac:dyDescent="0.35">
      <c r="A3141" t="s">
        <v>8</v>
      </c>
      <c r="B3141" t="s">
        <v>12</v>
      </c>
      <c r="C3141" t="s">
        <v>9</v>
      </c>
      <c r="D3141">
        <v>205</v>
      </c>
      <c r="E3141">
        <v>14</v>
      </c>
      <c r="F3141">
        <v>6.83</v>
      </c>
      <c r="G3141">
        <v>9.4499999999999993</v>
      </c>
      <c r="H3141">
        <v>1937.25</v>
      </c>
    </row>
    <row r="3142" spans="1:8" x14ac:dyDescent="0.35">
      <c r="A3142" t="s">
        <v>7</v>
      </c>
      <c r="B3142" t="s">
        <v>12</v>
      </c>
      <c r="C3142" t="s">
        <v>10</v>
      </c>
      <c r="D3142">
        <v>165</v>
      </c>
      <c r="E3142">
        <v>13</v>
      </c>
      <c r="F3142">
        <v>7.88</v>
      </c>
      <c r="G3142">
        <v>10.6</v>
      </c>
      <c r="H3142">
        <v>1749</v>
      </c>
    </row>
    <row r="3143" spans="1:8" x14ac:dyDescent="0.35">
      <c r="A3143" t="s">
        <v>7</v>
      </c>
      <c r="B3143" t="s">
        <v>12</v>
      </c>
      <c r="C3143" t="s">
        <v>10</v>
      </c>
      <c r="D3143">
        <v>285</v>
      </c>
      <c r="E3143">
        <v>9</v>
      </c>
      <c r="F3143">
        <v>3.16</v>
      </c>
      <c r="G3143">
        <v>51.13</v>
      </c>
      <c r="H3143">
        <v>14572.05</v>
      </c>
    </row>
    <row r="3144" spans="1:8" x14ac:dyDescent="0.35">
      <c r="A3144" t="s">
        <v>5</v>
      </c>
      <c r="B3144" t="s">
        <v>12</v>
      </c>
      <c r="C3144" t="s">
        <v>9</v>
      </c>
      <c r="D3144">
        <v>288</v>
      </c>
      <c r="E3144">
        <v>23</v>
      </c>
      <c r="F3144">
        <v>7.99</v>
      </c>
      <c r="G3144">
        <v>64.48</v>
      </c>
      <c r="H3144">
        <v>18570.240000000002</v>
      </c>
    </row>
    <row r="3145" spans="1:8" x14ac:dyDescent="0.35">
      <c r="A3145" t="s">
        <v>7</v>
      </c>
      <c r="B3145" t="s">
        <v>12</v>
      </c>
      <c r="C3145" t="s">
        <v>9</v>
      </c>
      <c r="D3145">
        <v>166</v>
      </c>
      <c r="E3145">
        <v>14</v>
      </c>
      <c r="F3145">
        <v>8.43</v>
      </c>
      <c r="G3145">
        <v>62.98</v>
      </c>
      <c r="H3145">
        <v>10454.68</v>
      </c>
    </row>
    <row r="3146" spans="1:8" x14ac:dyDescent="0.35">
      <c r="A3146" t="s">
        <v>7</v>
      </c>
      <c r="B3146" t="s">
        <v>12</v>
      </c>
      <c r="C3146" t="s">
        <v>9</v>
      </c>
      <c r="D3146">
        <v>241</v>
      </c>
      <c r="E3146">
        <v>6</v>
      </c>
      <c r="F3146">
        <v>2.4900000000000002</v>
      </c>
      <c r="G3146">
        <v>15.13</v>
      </c>
      <c r="H3146">
        <v>3646.33</v>
      </c>
    </row>
    <row r="3147" spans="1:8" x14ac:dyDescent="0.35">
      <c r="A3147" t="s">
        <v>6</v>
      </c>
      <c r="B3147" t="s">
        <v>12</v>
      </c>
      <c r="C3147" t="s">
        <v>9</v>
      </c>
      <c r="D3147">
        <v>267</v>
      </c>
      <c r="E3147">
        <v>25</v>
      </c>
      <c r="F3147">
        <v>9.36</v>
      </c>
      <c r="G3147">
        <v>59.42</v>
      </c>
      <c r="H3147">
        <v>15865.14</v>
      </c>
    </row>
    <row r="3148" spans="1:8" x14ac:dyDescent="0.35">
      <c r="A3148" t="s">
        <v>5</v>
      </c>
      <c r="B3148" t="s">
        <v>12</v>
      </c>
      <c r="C3148" t="s">
        <v>9</v>
      </c>
      <c r="D3148">
        <v>106</v>
      </c>
      <c r="E3148">
        <v>0</v>
      </c>
      <c r="F3148">
        <v>0</v>
      </c>
      <c r="G3148">
        <v>9.61</v>
      </c>
      <c r="H3148">
        <v>1018.66</v>
      </c>
    </row>
    <row r="3149" spans="1:8" x14ac:dyDescent="0.35">
      <c r="A3149" t="s">
        <v>6</v>
      </c>
      <c r="B3149" t="s">
        <v>12</v>
      </c>
      <c r="C3149" t="s">
        <v>11</v>
      </c>
      <c r="D3149">
        <v>138</v>
      </c>
      <c r="E3149">
        <v>5</v>
      </c>
      <c r="F3149">
        <v>3.62</v>
      </c>
      <c r="G3149">
        <v>31.83</v>
      </c>
      <c r="H3149">
        <v>4392.54</v>
      </c>
    </row>
    <row r="3150" spans="1:8" x14ac:dyDescent="0.35">
      <c r="A3150" t="s">
        <v>6</v>
      </c>
      <c r="B3150" t="s">
        <v>12</v>
      </c>
      <c r="C3150" t="s">
        <v>11</v>
      </c>
      <c r="D3150">
        <v>212</v>
      </c>
      <c r="E3150">
        <v>19</v>
      </c>
      <c r="F3150">
        <v>8.9600000000000009</v>
      </c>
      <c r="G3150">
        <v>17.73</v>
      </c>
      <c r="H3150">
        <v>3758.76</v>
      </c>
    </row>
    <row r="3151" spans="1:8" x14ac:dyDescent="0.35">
      <c r="A3151" t="s">
        <v>7</v>
      </c>
      <c r="B3151" t="s">
        <v>12</v>
      </c>
      <c r="C3151" t="s">
        <v>9</v>
      </c>
      <c r="D3151">
        <v>265</v>
      </c>
      <c r="E3151">
        <v>10</v>
      </c>
      <c r="F3151">
        <v>3.77</v>
      </c>
      <c r="G3151">
        <v>9.35</v>
      </c>
      <c r="H3151">
        <v>2477.75</v>
      </c>
    </row>
    <row r="3152" spans="1:8" x14ac:dyDescent="0.35">
      <c r="A3152" t="s">
        <v>8</v>
      </c>
      <c r="B3152" t="s">
        <v>12</v>
      </c>
      <c r="C3152" t="s">
        <v>9</v>
      </c>
      <c r="D3152">
        <v>121</v>
      </c>
      <c r="E3152">
        <v>5</v>
      </c>
      <c r="F3152">
        <v>4.13</v>
      </c>
      <c r="G3152">
        <v>56.68</v>
      </c>
      <c r="H3152">
        <v>6858.28</v>
      </c>
    </row>
    <row r="3153" spans="1:8" x14ac:dyDescent="0.35">
      <c r="A3153" t="s">
        <v>7</v>
      </c>
      <c r="B3153" t="s">
        <v>12</v>
      </c>
      <c r="C3153" t="s">
        <v>9</v>
      </c>
      <c r="D3153">
        <v>60</v>
      </c>
      <c r="E3153">
        <v>0</v>
      </c>
      <c r="F3153">
        <v>0</v>
      </c>
      <c r="G3153">
        <v>15.64</v>
      </c>
      <c r="H3153">
        <v>938.4</v>
      </c>
    </row>
    <row r="3154" spans="1:8" x14ac:dyDescent="0.35">
      <c r="A3154" t="s">
        <v>7</v>
      </c>
      <c r="B3154" t="s">
        <v>12</v>
      </c>
      <c r="C3154" t="s">
        <v>10</v>
      </c>
      <c r="D3154">
        <v>137</v>
      </c>
      <c r="E3154">
        <v>0</v>
      </c>
      <c r="F3154">
        <v>0</v>
      </c>
      <c r="G3154">
        <v>9.33</v>
      </c>
      <c r="H3154">
        <v>1278.21</v>
      </c>
    </row>
    <row r="3155" spans="1:8" x14ac:dyDescent="0.35">
      <c r="A3155" t="s">
        <v>7</v>
      </c>
      <c r="B3155" t="s">
        <v>12</v>
      </c>
      <c r="C3155" t="s">
        <v>9</v>
      </c>
      <c r="D3155">
        <v>173</v>
      </c>
      <c r="E3155">
        <v>6</v>
      </c>
      <c r="F3155">
        <v>3.47</v>
      </c>
      <c r="G3155">
        <v>18.87</v>
      </c>
      <c r="H3155">
        <v>3264.51</v>
      </c>
    </row>
    <row r="3156" spans="1:8" x14ac:dyDescent="0.35">
      <c r="A3156" t="s">
        <v>5</v>
      </c>
      <c r="B3156" t="s">
        <v>12</v>
      </c>
      <c r="C3156" t="s">
        <v>9</v>
      </c>
      <c r="D3156">
        <v>67</v>
      </c>
      <c r="E3156">
        <v>5</v>
      </c>
      <c r="F3156">
        <v>7.46</v>
      </c>
      <c r="G3156">
        <v>45.42</v>
      </c>
      <c r="H3156">
        <v>3043.14</v>
      </c>
    </row>
    <row r="3157" spans="1:8" x14ac:dyDescent="0.35">
      <c r="A3157" t="s">
        <v>7</v>
      </c>
      <c r="B3157" t="s">
        <v>12</v>
      </c>
      <c r="C3157" t="s">
        <v>10</v>
      </c>
      <c r="D3157">
        <v>75</v>
      </c>
      <c r="E3157">
        <v>1</v>
      </c>
      <c r="F3157">
        <v>1.33</v>
      </c>
      <c r="G3157">
        <v>36.6</v>
      </c>
      <c r="H3157">
        <v>2745</v>
      </c>
    </row>
    <row r="3158" spans="1:8" x14ac:dyDescent="0.35">
      <c r="A3158" t="s">
        <v>5</v>
      </c>
      <c r="B3158" t="s">
        <v>12</v>
      </c>
      <c r="C3158" t="s">
        <v>9</v>
      </c>
      <c r="D3158">
        <v>268</v>
      </c>
      <c r="E3158">
        <v>9</v>
      </c>
      <c r="F3158">
        <v>3.36</v>
      </c>
      <c r="G3158">
        <v>64.06</v>
      </c>
      <c r="H3158">
        <v>17168.080000000002</v>
      </c>
    </row>
    <row r="3159" spans="1:8" x14ac:dyDescent="0.35">
      <c r="A3159" t="s">
        <v>8</v>
      </c>
      <c r="B3159" t="s">
        <v>12</v>
      </c>
      <c r="C3159" t="s">
        <v>9</v>
      </c>
      <c r="D3159">
        <v>75</v>
      </c>
      <c r="E3159">
        <v>0</v>
      </c>
      <c r="F3159">
        <v>0</v>
      </c>
      <c r="G3159">
        <v>43.99</v>
      </c>
      <c r="H3159">
        <v>3299.25</v>
      </c>
    </row>
    <row r="3160" spans="1:8" x14ac:dyDescent="0.35">
      <c r="A3160" t="s">
        <v>8</v>
      </c>
      <c r="B3160" t="s">
        <v>12</v>
      </c>
      <c r="C3160" t="s">
        <v>9</v>
      </c>
      <c r="D3160">
        <v>239</v>
      </c>
      <c r="E3160">
        <v>15</v>
      </c>
      <c r="F3160">
        <v>6.28</v>
      </c>
      <c r="G3160">
        <v>51.72</v>
      </c>
      <c r="H3160">
        <v>12361.08</v>
      </c>
    </row>
    <row r="3161" spans="1:8" x14ac:dyDescent="0.35">
      <c r="A3161" t="s">
        <v>7</v>
      </c>
      <c r="B3161" t="s">
        <v>12</v>
      </c>
      <c r="C3161" t="s">
        <v>10</v>
      </c>
      <c r="D3161">
        <v>158</v>
      </c>
      <c r="E3161">
        <v>8</v>
      </c>
      <c r="F3161">
        <v>5.0599999999999996</v>
      </c>
      <c r="G3161">
        <v>42.11</v>
      </c>
      <c r="H3161">
        <v>6653.38</v>
      </c>
    </row>
    <row r="3162" spans="1:8" x14ac:dyDescent="0.35">
      <c r="A3162" t="s">
        <v>6</v>
      </c>
      <c r="B3162" t="s">
        <v>12</v>
      </c>
      <c r="C3162" t="s">
        <v>11</v>
      </c>
      <c r="D3162">
        <v>133</v>
      </c>
      <c r="E3162">
        <v>13</v>
      </c>
      <c r="F3162">
        <v>9.77</v>
      </c>
      <c r="G3162">
        <v>53.22</v>
      </c>
      <c r="H3162">
        <v>7078.26</v>
      </c>
    </row>
    <row r="3163" spans="1:8" x14ac:dyDescent="0.35">
      <c r="A3163" t="s">
        <v>6</v>
      </c>
      <c r="B3163" t="s">
        <v>12</v>
      </c>
      <c r="C3163" t="s">
        <v>9</v>
      </c>
      <c r="D3163">
        <v>163</v>
      </c>
      <c r="E3163">
        <v>2</v>
      </c>
      <c r="F3163">
        <v>1.23</v>
      </c>
      <c r="G3163">
        <v>5.84</v>
      </c>
      <c r="H3163">
        <v>951.92</v>
      </c>
    </row>
    <row r="3164" spans="1:8" x14ac:dyDescent="0.35">
      <c r="A3164" t="s">
        <v>6</v>
      </c>
      <c r="B3164" t="s">
        <v>12</v>
      </c>
      <c r="C3164" t="s">
        <v>11</v>
      </c>
      <c r="D3164">
        <v>70</v>
      </c>
      <c r="E3164">
        <v>5</v>
      </c>
      <c r="F3164">
        <v>7.14</v>
      </c>
      <c r="G3164">
        <v>37.299999999999997</v>
      </c>
      <c r="H3164">
        <v>2611</v>
      </c>
    </row>
    <row r="3165" spans="1:8" x14ac:dyDescent="0.35">
      <c r="A3165" t="s">
        <v>6</v>
      </c>
      <c r="B3165" t="s">
        <v>12</v>
      </c>
      <c r="C3165" t="s">
        <v>11</v>
      </c>
      <c r="D3165">
        <v>291</v>
      </c>
      <c r="E3165">
        <v>24</v>
      </c>
      <c r="F3165">
        <v>8.25</v>
      </c>
      <c r="G3165">
        <v>51.22</v>
      </c>
      <c r="H3165">
        <v>14905.02</v>
      </c>
    </row>
    <row r="3166" spans="1:8" x14ac:dyDescent="0.35">
      <c r="A3166" t="s">
        <v>6</v>
      </c>
      <c r="B3166" t="s">
        <v>12</v>
      </c>
      <c r="C3166" t="s">
        <v>9</v>
      </c>
      <c r="D3166">
        <v>78</v>
      </c>
      <c r="E3166">
        <v>1</v>
      </c>
      <c r="F3166">
        <v>1.28</v>
      </c>
      <c r="G3166">
        <v>17.899999999999999</v>
      </c>
      <c r="H3166">
        <v>1396.2</v>
      </c>
    </row>
    <row r="3167" spans="1:8" x14ac:dyDescent="0.35">
      <c r="A3167" t="s">
        <v>5</v>
      </c>
      <c r="B3167" t="s">
        <v>12</v>
      </c>
      <c r="C3167" t="s">
        <v>9</v>
      </c>
      <c r="D3167">
        <v>249</v>
      </c>
      <c r="E3167">
        <v>20</v>
      </c>
      <c r="F3167">
        <v>8.0299999999999994</v>
      </c>
      <c r="G3167">
        <v>23.08</v>
      </c>
      <c r="H3167">
        <v>5746.92</v>
      </c>
    </row>
    <row r="3168" spans="1:8" x14ac:dyDescent="0.35">
      <c r="A3168" t="s">
        <v>8</v>
      </c>
      <c r="B3168" t="s">
        <v>12</v>
      </c>
      <c r="C3168" t="s">
        <v>9</v>
      </c>
      <c r="D3168">
        <v>123</v>
      </c>
      <c r="E3168">
        <v>11</v>
      </c>
      <c r="F3168">
        <v>8.94</v>
      </c>
      <c r="G3168">
        <v>47.89</v>
      </c>
      <c r="H3168">
        <v>5890.47</v>
      </c>
    </row>
    <row r="3169" spans="1:8" x14ac:dyDescent="0.35">
      <c r="A3169" t="s">
        <v>6</v>
      </c>
      <c r="B3169" t="s">
        <v>12</v>
      </c>
      <c r="C3169" t="s">
        <v>11</v>
      </c>
      <c r="D3169">
        <v>91</v>
      </c>
      <c r="E3169">
        <v>9</v>
      </c>
      <c r="F3169">
        <v>9.89</v>
      </c>
      <c r="G3169">
        <v>16.66</v>
      </c>
      <c r="H3169">
        <v>1516.06</v>
      </c>
    </row>
    <row r="3170" spans="1:8" x14ac:dyDescent="0.35">
      <c r="A3170" t="s">
        <v>8</v>
      </c>
      <c r="B3170" t="s">
        <v>12</v>
      </c>
      <c r="C3170" t="s">
        <v>9</v>
      </c>
      <c r="D3170">
        <v>174</v>
      </c>
      <c r="E3170">
        <v>4</v>
      </c>
      <c r="F3170">
        <v>2.2999999999999998</v>
      </c>
      <c r="G3170">
        <v>66.260000000000005</v>
      </c>
      <c r="H3170">
        <v>11529.24</v>
      </c>
    </row>
    <row r="3171" spans="1:8" x14ac:dyDescent="0.35">
      <c r="A3171" t="s">
        <v>6</v>
      </c>
      <c r="B3171" t="s">
        <v>12</v>
      </c>
      <c r="C3171" t="s">
        <v>9</v>
      </c>
      <c r="D3171">
        <v>277</v>
      </c>
      <c r="E3171">
        <v>4</v>
      </c>
      <c r="F3171">
        <v>1.44</v>
      </c>
      <c r="G3171">
        <v>56.67</v>
      </c>
      <c r="H3171">
        <v>15697.59</v>
      </c>
    </row>
    <row r="3172" spans="1:8" x14ac:dyDescent="0.35">
      <c r="A3172" t="s">
        <v>6</v>
      </c>
      <c r="B3172" t="s">
        <v>12</v>
      </c>
      <c r="C3172" t="s">
        <v>9</v>
      </c>
      <c r="D3172">
        <v>269</v>
      </c>
      <c r="E3172">
        <v>16</v>
      </c>
      <c r="F3172">
        <v>5.95</v>
      </c>
      <c r="G3172">
        <v>60.28</v>
      </c>
      <c r="H3172">
        <v>16215.32</v>
      </c>
    </row>
    <row r="3173" spans="1:8" x14ac:dyDescent="0.35">
      <c r="A3173" t="s">
        <v>8</v>
      </c>
      <c r="B3173" t="s">
        <v>12</v>
      </c>
      <c r="C3173" t="s">
        <v>9</v>
      </c>
      <c r="D3173">
        <v>206</v>
      </c>
      <c r="E3173">
        <v>12</v>
      </c>
      <c r="F3173">
        <v>5.83</v>
      </c>
      <c r="G3173">
        <v>49.22</v>
      </c>
      <c r="H3173">
        <v>10139.32</v>
      </c>
    </row>
    <row r="3174" spans="1:8" x14ac:dyDescent="0.35">
      <c r="A3174" t="s">
        <v>5</v>
      </c>
      <c r="B3174" t="s">
        <v>12</v>
      </c>
      <c r="C3174" t="s">
        <v>9</v>
      </c>
      <c r="D3174">
        <v>201</v>
      </c>
      <c r="E3174">
        <v>14</v>
      </c>
      <c r="F3174">
        <v>6.97</v>
      </c>
      <c r="G3174">
        <v>8.3800000000000008</v>
      </c>
      <c r="H3174">
        <v>1684.38</v>
      </c>
    </row>
    <row r="3175" spans="1:8" x14ac:dyDescent="0.35">
      <c r="A3175" t="s">
        <v>6</v>
      </c>
      <c r="B3175" t="s">
        <v>12</v>
      </c>
      <c r="C3175" t="s">
        <v>9</v>
      </c>
      <c r="D3175">
        <v>191</v>
      </c>
      <c r="E3175">
        <v>18</v>
      </c>
      <c r="F3175">
        <v>9.42</v>
      </c>
      <c r="G3175">
        <v>34.03</v>
      </c>
      <c r="H3175">
        <v>6499.73</v>
      </c>
    </row>
    <row r="3176" spans="1:8" x14ac:dyDescent="0.35">
      <c r="A3176" t="s">
        <v>6</v>
      </c>
      <c r="B3176" t="s">
        <v>12</v>
      </c>
      <c r="C3176" t="s">
        <v>9</v>
      </c>
      <c r="D3176">
        <v>270</v>
      </c>
      <c r="E3176">
        <v>15</v>
      </c>
      <c r="F3176">
        <v>5.56</v>
      </c>
      <c r="G3176">
        <v>12.64</v>
      </c>
      <c r="H3176">
        <v>3412.8</v>
      </c>
    </row>
    <row r="3177" spans="1:8" x14ac:dyDescent="0.35">
      <c r="A3177" t="s">
        <v>7</v>
      </c>
      <c r="B3177" t="s">
        <v>12</v>
      </c>
      <c r="C3177" t="s">
        <v>10</v>
      </c>
      <c r="D3177">
        <v>128</v>
      </c>
      <c r="E3177">
        <v>1</v>
      </c>
      <c r="F3177">
        <v>0.78</v>
      </c>
      <c r="G3177">
        <v>21.83</v>
      </c>
      <c r="H3177">
        <v>2794.24</v>
      </c>
    </row>
    <row r="3178" spans="1:8" x14ac:dyDescent="0.35">
      <c r="A3178" t="s">
        <v>5</v>
      </c>
      <c r="B3178" t="s">
        <v>12</v>
      </c>
      <c r="C3178" t="s">
        <v>9</v>
      </c>
      <c r="D3178">
        <v>90</v>
      </c>
      <c r="E3178">
        <v>2</v>
      </c>
      <c r="F3178">
        <v>2.2200000000000002</v>
      </c>
      <c r="G3178">
        <v>14.68</v>
      </c>
      <c r="H3178">
        <v>1321.2</v>
      </c>
    </row>
    <row r="3179" spans="1:8" x14ac:dyDescent="0.35">
      <c r="A3179" t="s">
        <v>6</v>
      </c>
      <c r="B3179" t="s">
        <v>12</v>
      </c>
      <c r="C3179" t="s">
        <v>9</v>
      </c>
      <c r="D3179">
        <v>240</v>
      </c>
      <c r="E3179">
        <v>2</v>
      </c>
      <c r="F3179">
        <v>0.83</v>
      </c>
      <c r="G3179">
        <v>29.84</v>
      </c>
      <c r="H3179">
        <v>7161.6</v>
      </c>
    </row>
    <row r="3180" spans="1:8" x14ac:dyDescent="0.35">
      <c r="A3180" t="s">
        <v>6</v>
      </c>
      <c r="B3180" t="s">
        <v>12</v>
      </c>
      <c r="C3180" t="s">
        <v>11</v>
      </c>
      <c r="D3180">
        <v>299</v>
      </c>
      <c r="E3180">
        <v>13</v>
      </c>
      <c r="F3180">
        <v>4.3499999999999996</v>
      </c>
      <c r="G3180">
        <v>26.23</v>
      </c>
      <c r="H3180">
        <v>7842.77</v>
      </c>
    </row>
    <row r="3181" spans="1:8" x14ac:dyDescent="0.35">
      <c r="A3181" t="s">
        <v>6</v>
      </c>
      <c r="B3181" t="s">
        <v>12</v>
      </c>
      <c r="C3181" t="s">
        <v>11</v>
      </c>
      <c r="D3181">
        <v>66</v>
      </c>
      <c r="E3181">
        <v>0</v>
      </c>
      <c r="F3181">
        <v>0</v>
      </c>
      <c r="G3181">
        <v>9.93</v>
      </c>
      <c r="H3181">
        <v>655.38</v>
      </c>
    </row>
    <row r="3182" spans="1:8" x14ac:dyDescent="0.35">
      <c r="A3182" t="s">
        <v>8</v>
      </c>
      <c r="B3182" t="s">
        <v>12</v>
      </c>
      <c r="C3182" t="s">
        <v>9</v>
      </c>
      <c r="D3182">
        <v>118</v>
      </c>
      <c r="E3182">
        <v>9</v>
      </c>
      <c r="F3182">
        <v>7.63</v>
      </c>
      <c r="G3182">
        <v>60.24</v>
      </c>
      <c r="H3182">
        <v>7108.32</v>
      </c>
    </row>
    <row r="3183" spans="1:8" x14ac:dyDescent="0.35">
      <c r="A3183" t="s">
        <v>6</v>
      </c>
      <c r="B3183" t="s">
        <v>12</v>
      </c>
      <c r="C3183" t="s">
        <v>11</v>
      </c>
      <c r="D3183">
        <v>95</v>
      </c>
      <c r="E3183">
        <v>1</v>
      </c>
      <c r="F3183">
        <v>1.05</v>
      </c>
      <c r="G3183">
        <v>40.03</v>
      </c>
      <c r="H3183">
        <v>3802.85</v>
      </c>
    </row>
    <row r="3184" spans="1:8" x14ac:dyDescent="0.35">
      <c r="A3184" t="s">
        <v>7</v>
      </c>
      <c r="B3184" t="s">
        <v>12</v>
      </c>
      <c r="C3184" t="s">
        <v>9</v>
      </c>
      <c r="D3184">
        <v>75</v>
      </c>
      <c r="E3184">
        <v>1</v>
      </c>
      <c r="F3184">
        <v>1.33</v>
      </c>
      <c r="G3184">
        <v>46.67</v>
      </c>
      <c r="H3184">
        <v>3500.25</v>
      </c>
    </row>
    <row r="3185" spans="1:8" x14ac:dyDescent="0.35">
      <c r="A3185" t="s">
        <v>5</v>
      </c>
      <c r="B3185" t="s">
        <v>12</v>
      </c>
      <c r="C3185" t="s">
        <v>9</v>
      </c>
      <c r="D3185">
        <v>54</v>
      </c>
      <c r="E3185">
        <v>0</v>
      </c>
      <c r="F3185">
        <v>0</v>
      </c>
      <c r="G3185">
        <v>46.2</v>
      </c>
      <c r="H3185">
        <v>2494.8000000000002</v>
      </c>
    </row>
    <row r="3186" spans="1:8" x14ac:dyDescent="0.35">
      <c r="A3186" t="s">
        <v>7</v>
      </c>
      <c r="B3186" t="s">
        <v>12</v>
      </c>
      <c r="C3186" t="s">
        <v>10</v>
      </c>
      <c r="D3186">
        <v>107</v>
      </c>
      <c r="E3186">
        <v>4</v>
      </c>
      <c r="F3186">
        <v>3.74</v>
      </c>
      <c r="G3186">
        <v>61.09</v>
      </c>
      <c r="H3186">
        <v>6536.63</v>
      </c>
    </row>
    <row r="3187" spans="1:8" x14ac:dyDescent="0.35">
      <c r="A3187" t="s">
        <v>6</v>
      </c>
      <c r="B3187" t="s">
        <v>12</v>
      </c>
      <c r="C3187" t="s">
        <v>11</v>
      </c>
      <c r="D3187">
        <v>74</v>
      </c>
      <c r="E3187">
        <v>5</v>
      </c>
      <c r="F3187">
        <v>6.76</v>
      </c>
      <c r="G3187">
        <v>21.24</v>
      </c>
      <c r="H3187">
        <v>1571.76</v>
      </c>
    </row>
    <row r="3188" spans="1:8" x14ac:dyDescent="0.35">
      <c r="A3188" t="s">
        <v>6</v>
      </c>
      <c r="B3188" t="s">
        <v>12</v>
      </c>
      <c r="C3188" t="s">
        <v>11</v>
      </c>
      <c r="D3188">
        <v>82</v>
      </c>
      <c r="E3188">
        <v>3</v>
      </c>
      <c r="F3188">
        <v>3.66</v>
      </c>
      <c r="G3188">
        <v>29.91</v>
      </c>
      <c r="H3188">
        <v>2452.62</v>
      </c>
    </row>
    <row r="3189" spans="1:8" x14ac:dyDescent="0.35">
      <c r="A3189" t="s">
        <v>7</v>
      </c>
      <c r="B3189" t="s">
        <v>12</v>
      </c>
      <c r="C3189" t="s">
        <v>9</v>
      </c>
      <c r="D3189">
        <v>54</v>
      </c>
      <c r="E3189">
        <v>0</v>
      </c>
      <c r="F3189">
        <v>0</v>
      </c>
      <c r="G3189">
        <v>63.19</v>
      </c>
      <c r="H3189">
        <v>3412.26</v>
      </c>
    </row>
    <row r="3190" spans="1:8" x14ac:dyDescent="0.35">
      <c r="A3190" t="s">
        <v>7</v>
      </c>
      <c r="B3190" t="s">
        <v>12</v>
      </c>
      <c r="C3190" t="s">
        <v>10</v>
      </c>
      <c r="D3190">
        <v>143</v>
      </c>
      <c r="E3190">
        <v>8</v>
      </c>
      <c r="F3190">
        <v>5.59</v>
      </c>
      <c r="G3190">
        <v>6.33</v>
      </c>
      <c r="H3190">
        <v>905.19</v>
      </c>
    </row>
    <row r="3191" spans="1:8" x14ac:dyDescent="0.35">
      <c r="A3191" t="s">
        <v>6</v>
      </c>
      <c r="B3191" t="s">
        <v>12</v>
      </c>
      <c r="C3191" t="s">
        <v>9</v>
      </c>
      <c r="D3191">
        <v>237</v>
      </c>
      <c r="E3191">
        <v>6</v>
      </c>
      <c r="F3191">
        <v>2.5299999999999998</v>
      </c>
      <c r="G3191">
        <v>40.72</v>
      </c>
      <c r="H3191">
        <v>9650.64</v>
      </c>
    </row>
    <row r="3192" spans="1:8" x14ac:dyDescent="0.35">
      <c r="A3192" t="s">
        <v>8</v>
      </c>
      <c r="B3192" t="s">
        <v>12</v>
      </c>
      <c r="C3192" t="s">
        <v>9</v>
      </c>
      <c r="D3192">
        <v>130</v>
      </c>
      <c r="E3192">
        <v>5</v>
      </c>
      <c r="F3192">
        <v>3.85</v>
      </c>
      <c r="G3192">
        <v>69.25</v>
      </c>
      <c r="H3192">
        <v>9002.5</v>
      </c>
    </row>
    <row r="3193" spans="1:8" x14ac:dyDescent="0.35">
      <c r="A3193" t="s">
        <v>8</v>
      </c>
      <c r="B3193" t="s">
        <v>12</v>
      </c>
      <c r="C3193" t="s">
        <v>9</v>
      </c>
      <c r="D3193">
        <v>155</v>
      </c>
      <c r="E3193">
        <v>4</v>
      </c>
      <c r="F3193">
        <v>2.58</v>
      </c>
      <c r="G3193">
        <v>37.299999999999997</v>
      </c>
      <c r="H3193">
        <v>5781.5</v>
      </c>
    </row>
    <row r="3194" spans="1:8" x14ac:dyDescent="0.35">
      <c r="A3194" t="s">
        <v>8</v>
      </c>
      <c r="B3194" t="s">
        <v>12</v>
      </c>
      <c r="C3194" t="s">
        <v>9</v>
      </c>
      <c r="D3194">
        <v>150</v>
      </c>
      <c r="E3194">
        <v>10</v>
      </c>
      <c r="F3194">
        <v>6.67</v>
      </c>
      <c r="G3194">
        <v>20.68</v>
      </c>
      <c r="H3194">
        <v>3102</v>
      </c>
    </row>
    <row r="3195" spans="1:8" x14ac:dyDescent="0.35">
      <c r="A3195" t="s">
        <v>6</v>
      </c>
      <c r="B3195" t="s">
        <v>12</v>
      </c>
      <c r="C3195" t="s">
        <v>11</v>
      </c>
      <c r="D3195">
        <v>266</v>
      </c>
      <c r="E3195">
        <v>2</v>
      </c>
      <c r="F3195">
        <v>0.75</v>
      </c>
      <c r="G3195">
        <v>6.14</v>
      </c>
      <c r="H3195">
        <v>1633.24</v>
      </c>
    </row>
    <row r="3196" spans="1:8" x14ac:dyDescent="0.35">
      <c r="A3196" t="s">
        <v>7</v>
      </c>
      <c r="B3196" t="s">
        <v>12</v>
      </c>
      <c r="C3196" t="s">
        <v>9</v>
      </c>
      <c r="D3196">
        <v>198</v>
      </c>
      <c r="E3196">
        <v>3</v>
      </c>
      <c r="F3196">
        <v>1.52</v>
      </c>
      <c r="G3196">
        <v>10.09</v>
      </c>
      <c r="H3196">
        <v>1997.82</v>
      </c>
    </row>
    <row r="3197" spans="1:8" x14ac:dyDescent="0.35">
      <c r="A3197" t="s">
        <v>7</v>
      </c>
      <c r="B3197" t="s">
        <v>12</v>
      </c>
      <c r="C3197" t="s">
        <v>9</v>
      </c>
      <c r="D3197">
        <v>64</v>
      </c>
      <c r="E3197">
        <v>4</v>
      </c>
      <c r="F3197">
        <v>6.25</v>
      </c>
      <c r="G3197">
        <v>21.74</v>
      </c>
      <c r="H3197">
        <v>1391.36</v>
      </c>
    </row>
    <row r="3198" spans="1:8" x14ac:dyDescent="0.35">
      <c r="A3198" t="s">
        <v>8</v>
      </c>
      <c r="B3198" t="s">
        <v>12</v>
      </c>
      <c r="C3198" t="s">
        <v>9</v>
      </c>
      <c r="D3198">
        <v>98</v>
      </c>
      <c r="E3198">
        <v>3</v>
      </c>
      <c r="F3198">
        <v>3.06</v>
      </c>
      <c r="G3198">
        <v>43.42</v>
      </c>
      <c r="H3198">
        <v>4255.16</v>
      </c>
    </row>
    <row r="3199" spans="1:8" x14ac:dyDescent="0.35">
      <c r="A3199" t="s">
        <v>7</v>
      </c>
      <c r="B3199" t="s">
        <v>12</v>
      </c>
      <c r="C3199" t="s">
        <v>9</v>
      </c>
      <c r="D3199">
        <v>70</v>
      </c>
      <c r="E3199">
        <v>2</v>
      </c>
      <c r="F3199">
        <v>2.86</v>
      </c>
      <c r="G3199">
        <v>67.45</v>
      </c>
      <c r="H3199">
        <v>4721.5</v>
      </c>
    </row>
    <row r="3200" spans="1:8" x14ac:dyDescent="0.35">
      <c r="A3200" t="s">
        <v>7</v>
      </c>
      <c r="B3200" t="s">
        <v>12</v>
      </c>
      <c r="C3200" t="s">
        <v>10</v>
      </c>
      <c r="D3200">
        <v>208</v>
      </c>
      <c r="E3200">
        <v>1</v>
      </c>
      <c r="F3200">
        <v>0.48</v>
      </c>
      <c r="G3200">
        <v>65.86</v>
      </c>
      <c r="H3200">
        <v>13698.88</v>
      </c>
    </row>
    <row r="3201" spans="1:8" x14ac:dyDescent="0.35">
      <c r="A3201" t="s">
        <v>7</v>
      </c>
      <c r="B3201" t="s">
        <v>12</v>
      </c>
      <c r="C3201" t="s">
        <v>10</v>
      </c>
      <c r="D3201">
        <v>227</v>
      </c>
      <c r="E3201">
        <v>8</v>
      </c>
      <c r="F3201">
        <v>3.52</v>
      </c>
      <c r="G3201">
        <v>51.28</v>
      </c>
      <c r="H3201">
        <v>11640.56</v>
      </c>
    </row>
    <row r="3202" spans="1:8" x14ac:dyDescent="0.35">
      <c r="A3202" t="s">
        <v>7</v>
      </c>
      <c r="B3202" t="s">
        <v>12</v>
      </c>
      <c r="C3202" t="s">
        <v>10</v>
      </c>
      <c r="D3202">
        <v>279</v>
      </c>
      <c r="E3202">
        <v>9</v>
      </c>
      <c r="F3202">
        <v>3.23</v>
      </c>
      <c r="G3202">
        <v>12.14</v>
      </c>
      <c r="H3202">
        <v>3387.06</v>
      </c>
    </row>
    <row r="3203" spans="1:8" x14ac:dyDescent="0.35">
      <c r="A3203" t="s">
        <v>6</v>
      </c>
      <c r="B3203" t="s">
        <v>12</v>
      </c>
      <c r="C3203" t="s">
        <v>11</v>
      </c>
      <c r="D3203">
        <v>183</v>
      </c>
      <c r="E3203">
        <v>12</v>
      </c>
      <c r="F3203">
        <v>6.56</v>
      </c>
      <c r="G3203">
        <v>25.87</v>
      </c>
      <c r="H3203">
        <v>4734.21</v>
      </c>
    </row>
    <row r="3204" spans="1:8" x14ac:dyDescent="0.35">
      <c r="A3204" t="s">
        <v>5</v>
      </c>
      <c r="B3204" t="s">
        <v>12</v>
      </c>
      <c r="C3204" t="s">
        <v>9</v>
      </c>
      <c r="D3204">
        <v>66</v>
      </c>
      <c r="E3204">
        <v>1</v>
      </c>
      <c r="F3204">
        <v>1.52</v>
      </c>
      <c r="G3204">
        <v>38.79</v>
      </c>
      <c r="H3204">
        <v>2560.14</v>
      </c>
    </row>
    <row r="3205" spans="1:8" x14ac:dyDescent="0.35">
      <c r="A3205" t="s">
        <v>7</v>
      </c>
      <c r="B3205" t="s">
        <v>12</v>
      </c>
      <c r="C3205" t="s">
        <v>9</v>
      </c>
      <c r="D3205">
        <v>263</v>
      </c>
      <c r="E3205">
        <v>22</v>
      </c>
      <c r="F3205">
        <v>8.3699999999999992</v>
      </c>
      <c r="G3205">
        <v>19.38</v>
      </c>
      <c r="H3205">
        <v>5096.9399999999996</v>
      </c>
    </row>
    <row r="3206" spans="1:8" x14ac:dyDescent="0.35">
      <c r="A3206" t="s">
        <v>7</v>
      </c>
      <c r="B3206" t="s">
        <v>12</v>
      </c>
      <c r="C3206" t="s">
        <v>10</v>
      </c>
      <c r="D3206">
        <v>186</v>
      </c>
      <c r="E3206">
        <v>14</v>
      </c>
      <c r="F3206">
        <v>7.53</v>
      </c>
      <c r="G3206">
        <v>21.56</v>
      </c>
      <c r="H3206">
        <v>4010.16</v>
      </c>
    </row>
    <row r="3207" spans="1:8" x14ac:dyDescent="0.35">
      <c r="A3207" t="s">
        <v>5</v>
      </c>
      <c r="B3207" t="s">
        <v>12</v>
      </c>
      <c r="C3207" t="s">
        <v>9</v>
      </c>
      <c r="D3207">
        <v>100</v>
      </c>
      <c r="E3207">
        <v>2</v>
      </c>
      <c r="F3207">
        <v>2</v>
      </c>
      <c r="G3207">
        <v>68.09</v>
      </c>
      <c r="H3207">
        <v>6809</v>
      </c>
    </row>
    <row r="3208" spans="1:8" x14ac:dyDescent="0.35">
      <c r="A3208" t="s">
        <v>5</v>
      </c>
      <c r="B3208" t="s">
        <v>12</v>
      </c>
      <c r="C3208" t="s">
        <v>9</v>
      </c>
      <c r="D3208">
        <v>118</v>
      </c>
      <c r="E3208">
        <v>10</v>
      </c>
      <c r="F3208">
        <v>8.4700000000000006</v>
      </c>
      <c r="G3208">
        <v>5.81</v>
      </c>
      <c r="H3208">
        <v>685.58</v>
      </c>
    </row>
    <row r="3209" spans="1:8" x14ac:dyDescent="0.35">
      <c r="A3209" t="s">
        <v>6</v>
      </c>
      <c r="B3209" t="s">
        <v>12</v>
      </c>
      <c r="C3209" t="s">
        <v>11</v>
      </c>
      <c r="D3209">
        <v>247</v>
      </c>
      <c r="E3209">
        <v>5</v>
      </c>
      <c r="F3209">
        <v>2.02</v>
      </c>
      <c r="G3209">
        <v>59.38</v>
      </c>
      <c r="H3209">
        <v>14666.86</v>
      </c>
    </row>
    <row r="3210" spans="1:8" x14ac:dyDescent="0.35">
      <c r="A3210" t="s">
        <v>7</v>
      </c>
      <c r="B3210" t="s">
        <v>12</v>
      </c>
      <c r="C3210" t="s">
        <v>9</v>
      </c>
      <c r="D3210">
        <v>85</v>
      </c>
      <c r="E3210">
        <v>3</v>
      </c>
      <c r="F3210">
        <v>3.53</v>
      </c>
      <c r="G3210">
        <v>18.88</v>
      </c>
      <c r="H3210">
        <v>1604.8</v>
      </c>
    </row>
    <row r="3211" spans="1:8" x14ac:dyDescent="0.35">
      <c r="A3211" t="s">
        <v>6</v>
      </c>
      <c r="B3211" t="s">
        <v>12</v>
      </c>
      <c r="C3211" t="s">
        <v>9</v>
      </c>
      <c r="D3211">
        <v>248</v>
      </c>
      <c r="E3211">
        <v>3</v>
      </c>
      <c r="F3211">
        <v>1.21</v>
      </c>
      <c r="G3211">
        <v>5.37</v>
      </c>
      <c r="H3211">
        <v>1331.76</v>
      </c>
    </row>
    <row r="3212" spans="1:8" x14ac:dyDescent="0.35">
      <c r="A3212" t="s">
        <v>5</v>
      </c>
      <c r="B3212" t="s">
        <v>12</v>
      </c>
      <c r="C3212" t="s">
        <v>9</v>
      </c>
      <c r="D3212">
        <v>177</v>
      </c>
      <c r="E3212">
        <v>16</v>
      </c>
      <c r="F3212">
        <v>9.0399999999999991</v>
      </c>
      <c r="G3212">
        <v>14.57</v>
      </c>
      <c r="H3212">
        <v>2578.89</v>
      </c>
    </row>
    <row r="3213" spans="1:8" x14ac:dyDescent="0.35">
      <c r="A3213" t="s">
        <v>6</v>
      </c>
      <c r="B3213" t="s">
        <v>12</v>
      </c>
      <c r="C3213" t="s">
        <v>9</v>
      </c>
      <c r="D3213">
        <v>115</v>
      </c>
      <c r="E3213">
        <v>2</v>
      </c>
      <c r="F3213">
        <v>1.74</v>
      </c>
      <c r="G3213">
        <v>39.26</v>
      </c>
      <c r="H3213">
        <v>4514.8999999999996</v>
      </c>
    </row>
    <row r="3214" spans="1:8" x14ac:dyDescent="0.35">
      <c r="A3214" t="s">
        <v>6</v>
      </c>
      <c r="B3214" t="s">
        <v>12</v>
      </c>
      <c r="C3214" t="s">
        <v>11</v>
      </c>
      <c r="D3214">
        <v>213</v>
      </c>
      <c r="E3214">
        <v>1</v>
      </c>
      <c r="F3214">
        <v>0.47</v>
      </c>
      <c r="G3214">
        <v>22.67</v>
      </c>
      <c r="H3214">
        <v>4828.71</v>
      </c>
    </row>
    <row r="3215" spans="1:8" x14ac:dyDescent="0.35">
      <c r="A3215" t="s">
        <v>7</v>
      </c>
      <c r="B3215" t="s">
        <v>12</v>
      </c>
      <c r="C3215" t="s">
        <v>10</v>
      </c>
      <c r="D3215">
        <v>136</v>
      </c>
      <c r="E3215">
        <v>6</v>
      </c>
      <c r="F3215">
        <v>4.41</v>
      </c>
      <c r="G3215">
        <v>42.5</v>
      </c>
      <c r="H3215">
        <v>5780</v>
      </c>
    </row>
    <row r="3216" spans="1:8" x14ac:dyDescent="0.35">
      <c r="A3216" t="s">
        <v>6</v>
      </c>
      <c r="B3216" t="s">
        <v>12</v>
      </c>
      <c r="C3216" t="s">
        <v>11</v>
      </c>
      <c r="D3216">
        <v>95</v>
      </c>
      <c r="E3216">
        <v>1</v>
      </c>
      <c r="F3216">
        <v>1.05</v>
      </c>
      <c r="G3216">
        <v>37.81</v>
      </c>
      <c r="H3216">
        <v>3591.95</v>
      </c>
    </row>
    <row r="3217" spans="1:8" x14ac:dyDescent="0.35">
      <c r="A3217" t="s">
        <v>7</v>
      </c>
      <c r="B3217" t="s">
        <v>12</v>
      </c>
      <c r="C3217" t="s">
        <v>10</v>
      </c>
      <c r="D3217">
        <v>260</v>
      </c>
      <c r="E3217">
        <v>21</v>
      </c>
      <c r="F3217">
        <v>8.08</v>
      </c>
      <c r="G3217">
        <v>55.42</v>
      </c>
      <c r="H3217">
        <v>14409.2</v>
      </c>
    </row>
    <row r="3218" spans="1:8" x14ac:dyDescent="0.35">
      <c r="A3218" t="s">
        <v>7</v>
      </c>
      <c r="B3218" t="s">
        <v>12</v>
      </c>
      <c r="C3218" t="s">
        <v>9</v>
      </c>
      <c r="D3218">
        <v>90</v>
      </c>
      <c r="E3218">
        <v>7</v>
      </c>
      <c r="F3218">
        <v>7.78</v>
      </c>
      <c r="G3218">
        <v>17.149999999999999</v>
      </c>
      <c r="H3218">
        <v>1543.5</v>
      </c>
    </row>
    <row r="3219" spans="1:8" x14ac:dyDescent="0.35">
      <c r="A3219" t="s">
        <v>6</v>
      </c>
      <c r="B3219" t="s">
        <v>12</v>
      </c>
      <c r="C3219" t="s">
        <v>9</v>
      </c>
      <c r="D3219">
        <v>147</v>
      </c>
      <c r="E3219">
        <v>2</v>
      </c>
      <c r="F3219">
        <v>1.36</v>
      </c>
      <c r="G3219">
        <v>67.87</v>
      </c>
      <c r="H3219">
        <v>9976.89</v>
      </c>
    </row>
    <row r="3220" spans="1:8" x14ac:dyDescent="0.35">
      <c r="A3220" t="s">
        <v>7</v>
      </c>
      <c r="B3220" t="s">
        <v>12</v>
      </c>
      <c r="C3220" t="s">
        <v>9</v>
      </c>
      <c r="D3220">
        <v>170</v>
      </c>
      <c r="E3220">
        <v>11</v>
      </c>
      <c r="F3220">
        <v>6.47</v>
      </c>
      <c r="G3220">
        <v>39.14</v>
      </c>
      <c r="H3220">
        <v>6653.8</v>
      </c>
    </row>
    <row r="3221" spans="1:8" x14ac:dyDescent="0.35">
      <c r="A3221" t="s">
        <v>8</v>
      </c>
      <c r="B3221" t="s">
        <v>12</v>
      </c>
      <c r="C3221" t="s">
        <v>9</v>
      </c>
      <c r="D3221">
        <v>174</v>
      </c>
      <c r="E3221">
        <v>10</v>
      </c>
      <c r="F3221">
        <v>5.75</v>
      </c>
      <c r="G3221">
        <v>33.69</v>
      </c>
      <c r="H3221">
        <v>5862.06</v>
      </c>
    </row>
    <row r="3222" spans="1:8" x14ac:dyDescent="0.35">
      <c r="A3222" t="s">
        <v>5</v>
      </c>
      <c r="B3222" t="s">
        <v>12</v>
      </c>
      <c r="C3222" t="s">
        <v>9</v>
      </c>
      <c r="D3222">
        <v>230</v>
      </c>
      <c r="E3222">
        <v>21</v>
      </c>
      <c r="F3222">
        <v>9.1300000000000008</v>
      </c>
      <c r="G3222">
        <v>62.42</v>
      </c>
      <c r="H3222">
        <v>14356.6</v>
      </c>
    </row>
    <row r="3223" spans="1:8" x14ac:dyDescent="0.35">
      <c r="A3223" t="s">
        <v>8</v>
      </c>
      <c r="B3223" t="s">
        <v>12</v>
      </c>
      <c r="C3223" t="s">
        <v>9</v>
      </c>
      <c r="D3223">
        <v>225</v>
      </c>
      <c r="E3223">
        <v>16</v>
      </c>
      <c r="F3223">
        <v>7.11</v>
      </c>
      <c r="G3223">
        <v>58.04</v>
      </c>
      <c r="H3223">
        <v>13059</v>
      </c>
    </row>
    <row r="3224" spans="1:8" x14ac:dyDescent="0.35">
      <c r="A3224" t="s">
        <v>7</v>
      </c>
      <c r="B3224" t="s">
        <v>12</v>
      </c>
      <c r="C3224" t="s">
        <v>9</v>
      </c>
      <c r="D3224">
        <v>175</v>
      </c>
      <c r="E3224">
        <v>6</v>
      </c>
      <c r="F3224">
        <v>3.43</v>
      </c>
      <c r="G3224">
        <v>62.91</v>
      </c>
      <c r="H3224">
        <v>11009.25</v>
      </c>
    </row>
    <row r="3225" spans="1:8" x14ac:dyDescent="0.35">
      <c r="A3225" t="s">
        <v>7</v>
      </c>
      <c r="B3225" t="s">
        <v>12</v>
      </c>
      <c r="C3225" t="s">
        <v>10</v>
      </c>
      <c r="D3225">
        <v>238</v>
      </c>
      <c r="E3225">
        <v>22</v>
      </c>
      <c r="F3225">
        <v>9.24</v>
      </c>
      <c r="G3225">
        <v>57.05</v>
      </c>
      <c r="H3225">
        <v>13577.9</v>
      </c>
    </row>
    <row r="3226" spans="1:8" x14ac:dyDescent="0.35">
      <c r="A3226" t="s">
        <v>6</v>
      </c>
      <c r="B3226" t="s">
        <v>12</v>
      </c>
      <c r="C3226" t="s">
        <v>11</v>
      </c>
      <c r="D3226">
        <v>195</v>
      </c>
      <c r="E3226">
        <v>4</v>
      </c>
      <c r="F3226">
        <v>2.0499999999999998</v>
      </c>
      <c r="G3226">
        <v>20.83</v>
      </c>
      <c r="H3226">
        <v>4061.85</v>
      </c>
    </row>
    <row r="3227" spans="1:8" x14ac:dyDescent="0.35">
      <c r="A3227" t="s">
        <v>7</v>
      </c>
      <c r="B3227" t="s">
        <v>12</v>
      </c>
      <c r="C3227" t="s">
        <v>10</v>
      </c>
      <c r="D3227">
        <v>290</v>
      </c>
      <c r="E3227">
        <v>14</v>
      </c>
      <c r="F3227">
        <v>4.83</v>
      </c>
      <c r="G3227">
        <v>11.61</v>
      </c>
      <c r="H3227">
        <v>3366.9</v>
      </c>
    </row>
    <row r="3228" spans="1:8" x14ac:dyDescent="0.35">
      <c r="A3228" t="s">
        <v>8</v>
      </c>
      <c r="B3228" t="s">
        <v>12</v>
      </c>
      <c r="C3228" t="s">
        <v>9</v>
      </c>
      <c r="D3228">
        <v>190</v>
      </c>
      <c r="E3228">
        <v>6</v>
      </c>
      <c r="F3228">
        <v>3.16</v>
      </c>
      <c r="G3228">
        <v>39.85</v>
      </c>
      <c r="H3228">
        <v>7571.5</v>
      </c>
    </row>
    <row r="3229" spans="1:8" x14ac:dyDescent="0.35">
      <c r="A3229" t="s">
        <v>7</v>
      </c>
      <c r="B3229" t="s">
        <v>12</v>
      </c>
      <c r="C3229" t="s">
        <v>9</v>
      </c>
      <c r="D3229">
        <v>133</v>
      </c>
      <c r="E3229">
        <v>8</v>
      </c>
      <c r="F3229">
        <v>6.02</v>
      </c>
      <c r="G3229">
        <v>40.07</v>
      </c>
      <c r="H3229">
        <v>5329.31</v>
      </c>
    </row>
    <row r="3230" spans="1:8" x14ac:dyDescent="0.35">
      <c r="A3230" t="s">
        <v>5</v>
      </c>
      <c r="B3230" t="s">
        <v>12</v>
      </c>
      <c r="C3230" t="s">
        <v>9</v>
      </c>
      <c r="D3230">
        <v>78</v>
      </c>
      <c r="E3230">
        <v>3</v>
      </c>
      <c r="F3230">
        <v>3.85</v>
      </c>
      <c r="G3230">
        <v>64.06</v>
      </c>
      <c r="H3230">
        <v>4996.68</v>
      </c>
    </row>
    <row r="3231" spans="1:8" x14ac:dyDescent="0.35">
      <c r="A3231" t="s">
        <v>8</v>
      </c>
      <c r="B3231" t="s">
        <v>12</v>
      </c>
      <c r="C3231" t="s">
        <v>9</v>
      </c>
      <c r="D3231">
        <v>241</v>
      </c>
      <c r="E3231">
        <v>13</v>
      </c>
      <c r="F3231">
        <v>5.39</v>
      </c>
      <c r="G3231">
        <v>57.66</v>
      </c>
      <c r="H3231">
        <v>13896.06</v>
      </c>
    </row>
    <row r="3232" spans="1:8" x14ac:dyDescent="0.35">
      <c r="A3232" t="s">
        <v>8</v>
      </c>
      <c r="B3232" t="s">
        <v>12</v>
      </c>
      <c r="C3232" t="s">
        <v>9</v>
      </c>
      <c r="D3232">
        <v>159</v>
      </c>
      <c r="E3232">
        <v>14</v>
      </c>
      <c r="F3232">
        <v>8.81</v>
      </c>
      <c r="G3232">
        <v>42.76</v>
      </c>
      <c r="H3232">
        <v>6798.84</v>
      </c>
    </row>
    <row r="3233" spans="1:8" x14ac:dyDescent="0.35">
      <c r="A3233" t="s">
        <v>6</v>
      </c>
      <c r="B3233" t="s">
        <v>12</v>
      </c>
      <c r="C3233" t="s">
        <v>11</v>
      </c>
      <c r="D3233">
        <v>199</v>
      </c>
      <c r="E3233">
        <v>6</v>
      </c>
      <c r="F3233">
        <v>3.02</v>
      </c>
      <c r="G3233">
        <v>7.13</v>
      </c>
      <c r="H3233">
        <v>1418.87</v>
      </c>
    </row>
    <row r="3234" spans="1:8" x14ac:dyDescent="0.35">
      <c r="A3234" t="s">
        <v>6</v>
      </c>
      <c r="B3234" t="s">
        <v>12</v>
      </c>
      <c r="C3234" t="s">
        <v>9</v>
      </c>
      <c r="D3234">
        <v>191</v>
      </c>
      <c r="E3234">
        <v>18</v>
      </c>
      <c r="F3234">
        <v>9.42</v>
      </c>
      <c r="G3234">
        <v>23.88</v>
      </c>
      <c r="H3234">
        <v>4561.08</v>
      </c>
    </row>
    <row r="3235" spans="1:8" x14ac:dyDescent="0.35">
      <c r="A3235" t="s">
        <v>7</v>
      </c>
      <c r="B3235" t="s">
        <v>12</v>
      </c>
      <c r="C3235" t="s">
        <v>9</v>
      </c>
      <c r="D3235">
        <v>277</v>
      </c>
      <c r="E3235">
        <v>12</v>
      </c>
      <c r="F3235">
        <v>4.33</v>
      </c>
      <c r="G3235">
        <v>58.73</v>
      </c>
      <c r="H3235">
        <v>16268.21</v>
      </c>
    </row>
    <row r="3236" spans="1:8" x14ac:dyDescent="0.35">
      <c r="A3236" t="s">
        <v>7</v>
      </c>
      <c r="B3236" t="s">
        <v>12</v>
      </c>
      <c r="C3236" t="s">
        <v>9</v>
      </c>
      <c r="D3236">
        <v>234</v>
      </c>
      <c r="E3236">
        <v>16</v>
      </c>
      <c r="F3236">
        <v>6.84</v>
      </c>
      <c r="G3236">
        <v>17.39</v>
      </c>
      <c r="H3236">
        <v>4069.26</v>
      </c>
    </row>
    <row r="3237" spans="1:8" x14ac:dyDescent="0.35">
      <c r="A3237" t="s">
        <v>8</v>
      </c>
      <c r="B3237" t="s">
        <v>12</v>
      </c>
      <c r="C3237" t="s">
        <v>9</v>
      </c>
      <c r="D3237">
        <v>64</v>
      </c>
      <c r="E3237">
        <v>0</v>
      </c>
      <c r="F3237">
        <v>0</v>
      </c>
      <c r="G3237">
        <v>62.51</v>
      </c>
      <c r="H3237">
        <v>4000.64</v>
      </c>
    </row>
    <row r="3238" spans="1:8" x14ac:dyDescent="0.35">
      <c r="A3238" t="s">
        <v>5</v>
      </c>
      <c r="B3238" t="s">
        <v>12</v>
      </c>
      <c r="C3238" t="s">
        <v>9</v>
      </c>
      <c r="D3238">
        <v>182</v>
      </c>
      <c r="E3238">
        <v>8</v>
      </c>
      <c r="F3238">
        <v>4.4000000000000004</v>
      </c>
      <c r="G3238">
        <v>5.23</v>
      </c>
      <c r="H3238">
        <v>951.86</v>
      </c>
    </row>
    <row r="3239" spans="1:8" x14ac:dyDescent="0.35">
      <c r="A3239" t="s">
        <v>7</v>
      </c>
      <c r="B3239" t="s">
        <v>12</v>
      </c>
      <c r="C3239" t="s">
        <v>9</v>
      </c>
      <c r="D3239">
        <v>290</v>
      </c>
      <c r="E3239">
        <v>13</v>
      </c>
      <c r="F3239">
        <v>4.4800000000000004</v>
      </c>
      <c r="G3239">
        <v>11.52</v>
      </c>
      <c r="H3239">
        <v>3340.8</v>
      </c>
    </row>
    <row r="3240" spans="1:8" x14ac:dyDescent="0.35">
      <c r="A3240" t="s">
        <v>8</v>
      </c>
      <c r="B3240" t="s">
        <v>12</v>
      </c>
      <c r="C3240" t="s">
        <v>9</v>
      </c>
      <c r="D3240">
        <v>118</v>
      </c>
      <c r="E3240">
        <v>4</v>
      </c>
      <c r="F3240">
        <v>3.39</v>
      </c>
      <c r="G3240">
        <v>24.82</v>
      </c>
      <c r="H3240">
        <v>2928.76</v>
      </c>
    </row>
    <row r="3241" spans="1:8" x14ac:dyDescent="0.35">
      <c r="A3241" t="s">
        <v>6</v>
      </c>
      <c r="B3241" t="s">
        <v>12</v>
      </c>
      <c r="C3241" t="s">
        <v>9</v>
      </c>
      <c r="D3241">
        <v>95</v>
      </c>
      <c r="E3241">
        <v>8</v>
      </c>
      <c r="F3241">
        <v>8.42</v>
      </c>
      <c r="G3241">
        <v>28.66</v>
      </c>
      <c r="H3241">
        <v>2722.7</v>
      </c>
    </row>
    <row r="3242" spans="1:8" x14ac:dyDescent="0.35">
      <c r="A3242" t="s">
        <v>6</v>
      </c>
      <c r="B3242" t="s">
        <v>12</v>
      </c>
      <c r="C3242" t="s">
        <v>11</v>
      </c>
      <c r="D3242">
        <v>210</v>
      </c>
      <c r="E3242">
        <v>21</v>
      </c>
      <c r="F3242">
        <v>10</v>
      </c>
      <c r="G3242">
        <v>55.67</v>
      </c>
      <c r="H3242">
        <v>11690.7</v>
      </c>
    </row>
    <row r="3243" spans="1:8" x14ac:dyDescent="0.35">
      <c r="A3243" t="s">
        <v>6</v>
      </c>
      <c r="B3243" t="s">
        <v>12</v>
      </c>
      <c r="C3243" t="s">
        <v>9</v>
      </c>
      <c r="D3243">
        <v>136</v>
      </c>
      <c r="E3243">
        <v>10</v>
      </c>
      <c r="F3243">
        <v>7.35</v>
      </c>
      <c r="G3243">
        <v>39.950000000000003</v>
      </c>
      <c r="H3243">
        <v>5433.2</v>
      </c>
    </row>
    <row r="3244" spans="1:8" x14ac:dyDescent="0.35">
      <c r="A3244" t="s">
        <v>8</v>
      </c>
      <c r="B3244" t="s">
        <v>12</v>
      </c>
      <c r="C3244" t="s">
        <v>9</v>
      </c>
      <c r="D3244">
        <v>63</v>
      </c>
      <c r="E3244">
        <v>1</v>
      </c>
      <c r="F3244">
        <v>1.59</v>
      </c>
      <c r="G3244">
        <v>32.69</v>
      </c>
      <c r="H3244">
        <v>2059.4699999999998</v>
      </c>
    </row>
    <row r="3245" spans="1:8" x14ac:dyDescent="0.35">
      <c r="A3245" t="s">
        <v>7</v>
      </c>
      <c r="B3245" t="s">
        <v>12</v>
      </c>
      <c r="C3245" t="s">
        <v>9</v>
      </c>
      <c r="D3245">
        <v>57</v>
      </c>
      <c r="E3245">
        <v>1</v>
      </c>
      <c r="F3245">
        <v>1.75</v>
      </c>
      <c r="G3245">
        <v>17.510000000000002</v>
      </c>
      <c r="H3245">
        <v>998.07</v>
      </c>
    </row>
    <row r="3246" spans="1:8" x14ac:dyDescent="0.35">
      <c r="A3246" t="s">
        <v>8</v>
      </c>
      <c r="B3246" t="s">
        <v>12</v>
      </c>
      <c r="C3246" t="s">
        <v>9</v>
      </c>
      <c r="D3246">
        <v>65</v>
      </c>
      <c r="E3246">
        <v>3</v>
      </c>
      <c r="F3246">
        <v>4.62</v>
      </c>
      <c r="G3246">
        <v>62.03</v>
      </c>
      <c r="H3246">
        <v>4031.95</v>
      </c>
    </row>
    <row r="3247" spans="1:8" x14ac:dyDescent="0.35">
      <c r="A3247" t="s">
        <v>7</v>
      </c>
      <c r="B3247" t="s">
        <v>12</v>
      </c>
      <c r="C3247" t="s">
        <v>10</v>
      </c>
      <c r="D3247">
        <v>202</v>
      </c>
      <c r="E3247">
        <v>1</v>
      </c>
      <c r="F3247">
        <v>0.5</v>
      </c>
      <c r="G3247">
        <v>8.3800000000000008</v>
      </c>
      <c r="H3247">
        <v>1692.76</v>
      </c>
    </row>
    <row r="3248" spans="1:8" x14ac:dyDescent="0.35">
      <c r="A3248" t="s">
        <v>7</v>
      </c>
      <c r="B3248" t="s">
        <v>12</v>
      </c>
      <c r="C3248" t="s">
        <v>10</v>
      </c>
      <c r="D3248">
        <v>139</v>
      </c>
      <c r="E3248">
        <v>2</v>
      </c>
      <c r="F3248">
        <v>1.44</v>
      </c>
      <c r="G3248">
        <v>13.38</v>
      </c>
      <c r="H3248">
        <v>1859.82</v>
      </c>
    </row>
    <row r="3249" spans="1:8" x14ac:dyDescent="0.35">
      <c r="A3249" t="s">
        <v>5</v>
      </c>
      <c r="B3249" t="s">
        <v>12</v>
      </c>
      <c r="C3249" t="s">
        <v>9</v>
      </c>
      <c r="D3249">
        <v>95</v>
      </c>
      <c r="E3249">
        <v>2</v>
      </c>
      <c r="F3249">
        <v>2.11</v>
      </c>
      <c r="G3249">
        <v>18.260000000000002</v>
      </c>
      <c r="H3249">
        <v>1734.7</v>
      </c>
    </row>
    <row r="3250" spans="1:8" x14ac:dyDescent="0.35">
      <c r="A3250" t="s">
        <v>6</v>
      </c>
      <c r="B3250" t="s">
        <v>12</v>
      </c>
      <c r="C3250" t="s">
        <v>11</v>
      </c>
      <c r="D3250">
        <v>141</v>
      </c>
      <c r="E3250">
        <v>7</v>
      </c>
      <c r="F3250">
        <v>4.96</v>
      </c>
      <c r="G3250">
        <v>16.5</v>
      </c>
      <c r="H3250">
        <v>2326.5</v>
      </c>
    </row>
    <row r="3251" spans="1:8" x14ac:dyDescent="0.35">
      <c r="A3251" t="s">
        <v>7</v>
      </c>
      <c r="B3251" t="s">
        <v>12</v>
      </c>
      <c r="C3251" t="s">
        <v>10</v>
      </c>
      <c r="D3251">
        <v>217</v>
      </c>
      <c r="E3251">
        <v>8</v>
      </c>
      <c r="F3251">
        <v>3.69</v>
      </c>
      <c r="G3251">
        <v>64.400000000000006</v>
      </c>
      <c r="H3251">
        <v>13974.8</v>
      </c>
    </row>
    <row r="3252" spans="1:8" x14ac:dyDescent="0.35">
      <c r="A3252" t="s">
        <v>8</v>
      </c>
      <c r="B3252" t="s">
        <v>12</v>
      </c>
      <c r="C3252" t="s">
        <v>9</v>
      </c>
      <c r="D3252">
        <v>134</v>
      </c>
      <c r="E3252">
        <v>4</v>
      </c>
      <c r="F3252">
        <v>2.99</v>
      </c>
      <c r="G3252">
        <v>12.12</v>
      </c>
      <c r="H3252">
        <v>1624.08</v>
      </c>
    </row>
    <row r="3253" spans="1:8" x14ac:dyDescent="0.35">
      <c r="A3253" t="s">
        <v>7</v>
      </c>
      <c r="B3253" t="s">
        <v>12</v>
      </c>
      <c r="C3253" t="s">
        <v>10</v>
      </c>
      <c r="D3253">
        <v>157</v>
      </c>
      <c r="E3253">
        <v>13</v>
      </c>
      <c r="F3253">
        <v>8.2799999999999994</v>
      </c>
      <c r="G3253">
        <v>31.45</v>
      </c>
      <c r="H3253">
        <v>4937.6499999999996</v>
      </c>
    </row>
    <row r="3254" spans="1:8" x14ac:dyDescent="0.35">
      <c r="A3254" t="s">
        <v>7</v>
      </c>
      <c r="B3254" t="s">
        <v>12</v>
      </c>
      <c r="C3254" t="s">
        <v>10</v>
      </c>
      <c r="D3254">
        <v>296</v>
      </c>
      <c r="E3254">
        <v>14</v>
      </c>
      <c r="F3254">
        <v>4.7300000000000004</v>
      </c>
      <c r="G3254">
        <v>56.1</v>
      </c>
      <c r="H3254">
        <v>16605.599999999999</v>
      </c>
    </row>
    <row r="3255" spans="1:8" x14ac:dyDescent="0.35">
      <c r="A3255" t="s">
        <v>6</v>
      </c>
      <c r="B3255" t="s">
        <v>12</v>
      </c>
      <c r="C3255" t="s">
        <v>9</v>
      </c>
      <c r="D3255">
        <v>262</v>
      </c>
      <c r="E3255">
        <v>0</v>
      </c>
      <c r="F3255">
        <v>0</v>
      </c>
      <c r="G3255">
        <v>42.45</v>
      </c>
      <c r="H3255">
        <v>11121.9</v>
      </c>
    </row>
    <row r="3256" spans="1:8" x14ac:dyDescent="0.35">
      <c r="A3256" t="s">
        <v>6</v>
      </c>
      <c r="B3256" t="s">
        <v>12</v>
      </c>
      <c r="C3256" t="s">
        <v>11</v>
      </c>
      <c r="D3256">
        <v>78</v>
      </c>
      <c r="E3256">
        <v>6</v>
      </c>
      <c r="F3256">
        <v>7.69</v>
      </c>
      <c r="G3256">
        <v>7.95</v>
      </c>
      <c r="H3256">
        <v>620.1</v>
      </c>
    </row>
    <row r="3257" spans="1:8" x14ac:dyDescent="0.35">
      <c r="A3257" t="s">
        <v>6</v>
      </c>
      <c r="B3257" t="s">
        <v>12</v>
      </c>
      <c r="C3257" t="s">
        <v>9</v>
      </c>
      <c r="D3257">
        <v>288</v>
      </c>
      <c r="E3257">
        <v>14</v>
      </c>
      <c r="F3257">
        <v>4.8600000000000003</v>
      </c>
      <c r="G3257">
        <v>10.130000000000001</v>
      </c>
      <c r="H3257">
        <v>2917.44</v>
      </c>
    </row>
    <row r="3258" spans="1:8" x14ac:dyDescent="0.35">
      <c r="A3258" t="s">
        <v>7</v>
      </c>
      <c r="B3258" t="s">
        <v>12</v>
      </c>
      <c r="C3258" t="s">
        <v>9</v>
      </c>
      <c r="D3258">
        <v>279</v>
      </c>
      <c r="E3258">
        <v>21</v>
      </c>
      <c r="F3258">
        <v>7.53</v>
      </c>
      <c r="G3258">
        <v>42.28</v>
      </c>
      <c r="H3258">
        <v>11796.12</v>
      </c>
    </row>
    <row r="3259" spans="1:8" x14ac:dyDescent="0.35">
      <c r="A3259" t="s">
        <v>8</v>
      </c>
      <c r="B3259" t="s">
        <v>12</v>
      </c>
      <c r="C3259" t="s">
        <v>9</v>
      </c>
      <c r="D3259">
        <v>278</v>
      </c>
      <c r="E3259">
        <v>19</v>
      </c>
      <c r="F3259">
        <v>6.83</v>
      </c>
      <c r="G3259">
        <v>22.31</v>
      </c>
      <c r="H3259">
        <v>6202.18</v>
      </c>
    </row>
    <row r="3260" spans="1:8" x14ac:dyDescent="0.35">
      <c r="A3260" t="s">
        <v>8</v>
      </c>
      <c r="B3260" t="s">
        <v>12</v>
      </c>
      <c r="C3260" t="s">
        <v>9</v>
      </c>
      <c r="D3260">
        <v>231</v>
      </c>
      <c r="E3260">
        <v>3</v>
      </c>
      <c r="F3260">
        <v>1.3</v>
      </c>
      <c r="G3260">
        <v>30.67</v>
      </c>
      <c r="H3260">
        <v>7084.77</v>
      </c>
    </row>
    <row r="3261" spans="1:8" x14ac:dyDescent="0.35">
      <c r="A3261" t="s">
        <v>7</v>
      </c>
      <c r="B3261" t="s">
        <v>12</v>
      </c>
      <c r="C3261" t="s">
        <v>10</v>
      </c>
      <c r="D3261">
        <v>87</v>
      </c>
      <c r="E3261">
        <v>1</v>
      </c>
      <c r="F3261">
        <v>1.1499999999999999</v>
      </c>
      <c r="G3261">
        <v>22.58</v>
      </c>
      <c r="H3261">
        <v>1964.46</v>
      </c>
    </row>
    <row r="3262" spans="1:8" x14ac:dyDescent="0.35">
      <c r="A3262" t="s">
        <v>5</v>
      </c>
      <c r="B3262" t="s">
        <v>12</v>
      </c>
      <c r="C3262" t="s">
        <v>9</v>
      </c>
      <c r="D3262">
        <v>275</v>
      </c>
      <c r="E3262">
        <v>23</v>
      </c>
      <c r="F3262">
        <v>8.36</v>
      </c>
      <c r="G3262">
        <v>40.74</v>
      </c>
      <c r="H3262">
        <v>11203.5</v>
      </c>
    </row>
    <row r="3263" spans="1:8" x14ac:dyDescent="0.35">
      <c r="A3263" t="s">
        <v>8</v>
      </c>
      <c r="B3263" t="s">
        <v>12</v>
      </c>
      <c r="C3263" t="s">
        <v>9</v>
      </c>
      <c r="D3263">
        <v>137</v>
      </c>
      <c r="E3263">
        <v>7</v>
      </c>
      <c r="F3263">
        <v>5.1100000000000003</v>
      </c>
      <c r="G3263">
        <v>16.54</v>
      </c>
      <c r="H3263">
        <v>2265.98</v>
      </c>
    </row>
    <row r="3264" spans="1:8" x14ac:dyDescent="0.35">
      <c r="A3264" t="s">
        <v>8</v>
      </c>
      <c r="B3264" t="s">
        <v>12</v>
      </c>
      <c r="C3264" t="s">
        <v>9</v>
      </c>
      <c r="D3264">
        <v>110</v>
      </c>
      <c r="E3264">
        <v>11</v>
      </c>
      <c r="F3264">
        <v>10</v>
      </c>
      <c r="G3264">
        <v>18.850000000000001</v>
      </c>
      <c r="H3264">
        <v>2073.5</v>
      </c>
    </row>
    <row r="3265" spans="1:8" x14ac:dyDescent="0.35">
      <c r="A3265" t="s">
        <v>8</v>
      </c>
      <c r="B3265" t="s">
        <v>12</v>
      </c>
      <c r="C3265" t="s">
        <v>9</v>
      </c>
      <c r="D3265">
        <v>285</v>
      </c>
      <c r="E3265">
        <v>10</v>
      </c>
      <c r="F3265">
        <v>3.51</v>
      </c>
      <c r="G3265">
        <v>28.28</v>
      </c>
      <c r="H3265">
        <v>8059.8</v>
      </c>
    </row>
    <row r="3266" spans="1:8" x14ac:dyDescent="0.35">
      <c r="A3266" t="s">
        <v>7</v>
      </c>
      <c r="B3266" t="s">
        <v>12</v>
      </c>
      <c r="C3266" t="s">
        <v>9</v>
      </c>
      <c r="D3266">
        <v>254</v>
      </c>
      <c r="E3266">
        <v>13</v>
      </c>
      <c r="F3266">
        <v>5.12</v>
      </c>
      <c r="G3266">
        <v>38.880000000000003</v>
      </c>
      <c r="H3266">
        <v>9875.52</v>
      </c>
    </row>
    <row r="3267" spans="1:8" x14ac:dyDescent="0.35">
      <c r="A3267" t="s">
        <v>6</v>
      </c>
      <c r="B3267" t="s">
        <v>12</v>
      </c>
      <c r="C3267" t="s">
        <v>11</v>
      </c>
      <c r="D3267">
        <v>225</v>
      </c>
      <c r="E3267">
        <v>15</v>
      </c>
      <c r="F3267">
        <v>6.67</v>
      </c>
      <c r="G3267">
        <v>40.65</v>
      </c>
      <c r="H3267">
        <v>9146.25</v>
      </c>
    </row>
    <row r="3268" spans="1:8" x14ac:dyDescent="0.35">
      <c r="A3268" t="s">
        <v>7</v>
      </c>
      <c r="B3268" t="s">
        <v>12</v>
      </c>
      <c r="C3268" t="s">
        <v>9</v>
      </c>
      <c r="D3268">
        <v>97</v>
      </c>
      <c r="E3268">
        <v>8</v>
      </c>
      <c r="F3268">
        <v>8.25</v>
      </c>
      <c r="G3268">
        <v>63.72</v>
      </c>
      <c r="H3268">
        <v>6180.84</v>
      </c>
    </row>
    <row r="3269" spans="1:8" x14ac:dyDescent="0.35">
      <c r="A3269" t="s">
        <v>7</v>
      </c>
      <c r="B3269" t="s">
        <v>12</v>
      </c>
      <c r="C3269" t="s">
        <v>9</v>
      </c>
      <c r="D3269">
        <v>283</v>
      </c>
      <c r="E3269">
        <v>6</v>
      </c>
      <c r="F3269">
        <v>2.12</v>
      </c>
      <c r="G3269">
        <v>52.72</v>
      </c>
      <c r="H3269">
        <v>14919.76</v>
      </c>
    </row>
    <row r="3270" spans="1:8" x14ac:dyDescent="0.35">
      <c r="A3270" t="s">
        <v>7</v>
      </c>
      <c r="B3270" t="s">
        <v>12</v>
      </c>
      <c r="C3270" t="s">
        <v>9</v>
      </c>
      <c r="D3270">
        <v>96</v>
      </c>
      <c r="E3270">
        <v>0</v>
      </c>
      <c r="F3270">
        <v>0</v>
      </c>
      <c r="G3270">
        <v>34.42</v>
      </c>
      <c r="H3270">
        <v>3304.32</v>
      </c>
    </row>
    <row r="3271" spans="1:8" x14ac:dyDescent="0.35">
      <c r="A3271" t="s">
        <v>7</v>
      </c>
      <c r="B3271" t="s">
        <v>12</v>
      </c>
      <c r="C3271" t="s">
        <v>9</v>
      </c>
      <c r="D3271">
        <v>231</v>
      </c>
      <c r="E3271">
        <v>17</v>
      </c>
      <c r="F3271">
        <v>7.36</v>
      </c>
      <c r="G3271">
        <v>7.86</v>
      </c>
      <c r="H3271">
        <v>1815.66</v>
      </c>
    </row>
    <row r="3272" spans="1:8" x14ac:dyDescent="0.35">
      <c r="A3272" t="s">
        <v>6</v>
      </c>
      <c r="B3272" t="s">
        <v>12</v>
      </c>
      <c r="C3272" t="s">
        <v>9</v>
      </c>
      <c r="D3272">
        <v>91</v>
      </c>
      <c r="E3272">
        <v>9</v>
      </c>
      <c r="F3272">
        <v>9.89</v>
      </c>
      <c r="G3272">
        <v>18.260000000000002</v>
      </c>
      <c r="H3272">
        <v>1661.66</v>
      </c>
    </row>
    <row r="3273" spans="1:8" x14ac:dyDescent="0.35">
      <c r="A3273" t="s">
        <v>7</v>
      </c>
      <c r="B3273" t="s">
        <v>12</v>
      </c>
      <c r="C3273" t="s">
        <v>9</v>
      </c>
      <c r="D3273">
        <v>180</v>
      </c>
      <c r="E3273">
        <v>18</v>
      </c>
      <c r="F3273">
        <v>10</v>
      </c>
      <c r="G3273">
        <v>23.87</v>
      </c>
      <c r="H3273">
        <v>4296.6000000000004</v>
      </c>
    </row>
    <row r="3274" spans="1:8" x14ac:dyDescent="0.35">
      <c r="A3274" t="s">
        <v>7</v>
      </c>
      <c r="B3274" t="s">
        <v>12</v>
      </c>
      <c r="C3274" t="s">
        <v>10</v>
      </c>
      <c r="D3274">
        <v>284</v>
      </c>
      <c r="E3274">
        <v>5</v>
      </c>
      <c r="F3274">
        <v>1.76</v>
      </c>
      <c r="G3274">
        <v>23.89</v>
      </c>
      <c r="H3274">
        <v>6784.76</v>
      </c>
    </row>
    <row r="3275" spans="1:8" x14ac:dyDescent="0.35">
      <c r="A3275" t="s">
        <v>8</v>
      </c>
      <c r="B3275" t="s">
        <v>12</v>
      </c>
      <c r="C3275" t="s">
        <v>9</v>
      </c>
      <c r="D3275">
        <v>103</v>
      </c>
      <c r="E3275">
        <v>6</v>
      </c>
      <c r="F3275">
        <v>5.83</v>
      </c>
      <c r="G3275">
        <v>65.86</v>
      </c>
      <c r="H3275">
        <v>6783.58</v>
      </c>
    </row>
    <row r="3276" spans="1:8" x14ac:dyDescent="0.35">
      <c r="A3276" t="s">
        <v>5</v>
      </c>
      <c r="B3276" t="s">
        <v>12</v>
      </c>
      <c r="C3276" t="s">
        <v>9</v>
      </c>
      <c r="D3276">
        <v>180</v>
      </c>
      <c r="E3276">
        <v>6</v>
      </c>
      <c r="F3276">
        <v>3.33</v>
      </c>
      <c r="G3276">
        <v>19.77</v>
      </c>
      <c r="H3276">
        <v>3558.6</v>
      </c>
    </row>
    <row r="3277" spans="1:8" x14ac:dyDescent="0.35">
      <c r="A3277" t="s">
        <v>7</v>
      </c>
      <c r="B3277" t="s">
        <v>12</v>
      </c>
      <c r="C3277" t="s">
        <v>10</v>
      </c>
      <c r="D3277">
        <v>257</v>
      </c>
      <c r="E3277">
        <v>4</v>
      </c>
      <c r="F3277">
        <v>1.56</v>
      </c>
      <c r="G3277">
        <v>66.650000000000006</v>
      </c>
      <c r="H3277">
        <v>17129.05</v>
      </c>
    </row>
    <row r="3278" spans="1:8" x14ac:dyDescent="0.35">
      <c r="A3278" t="s">
        <v>6</v>
      </c>
      <c r="B3278" t="s">
        <v>12</v>
      </c>
      <c r="C3278" t="s">
        <v>9</v>
      </c>
      <c r="D3278">
        <v>139</v>
      </c>
      <c r="E3278">
        <v>1</v>
      </c>
      <c r="F3278">
        <v>0.72</v>
      </c>
      <c r="G3278">
        <v>43.16</v>
      </c>
      <c r="H3278">
        <v>5999.24</v>
      </c>
    </row>
    <row r="3279" spans="1:8" x14ac:dyDescent="0.35">
      <c r="A3279" t="s">
        <v>5</v>
      </c>
      <c r="B3279" t="s">
        <v>12</v>
      </c>
      <c r="C3279" t="s">
        <v>9</v>
      </c>
      <c r="D3279">
        <v>151</v>
      </c>
      <c r="E3279">
        <v>2</v>
      </c>
      <c r="F3279">
        <v>1.32</v>
      </c>
      <c r="G3279">
        <v>41.2</v>
      </c>
      <c r="H3279">
        <v>6221.2</v>
      </c>
    </row>
    <row r="3280" spans="1:8" x14ac:dyDescent="0.35">
      <c r="A3280" t="s">
        <v>6</v>
      </c>
      <c r="B3280" t="s">
        <v>12</v>
      </c>
      <c r="C3280" t="s">
        <v>11</v>
      </c>
      <c r="D3280">
        <v>228</v>
      </c>
      <c r="E3280">
        <v>5</v>
      </c>
      <c r="F3280">
        <v>2.19</v>
      </c>
      <c r="G3280">
        <v>11.85</v>
      </c>
      <c r="H3280">
        <v>2701.8</v>
      </c>
    </row>
    <row r="3281" spans="1:8" x14ac:dyDescent="0.35">
      <c r="A3281" t="s">
        <v>5</v>
      </c>
      <c r="B3281" t="s">
        <v>12</v>
      </c>
      <c r="C3281" t="s">
        <v>9</v>
      </c>
      <c r="D3281">
        <v>229</v>
      </c>
      <c r="E3281">
        <v>11</v>
      </c>
      <c r="F3281">
        <v>4.8</v>
      </c>
      <c r="G3281">
        <v>9.0399999999999991</v>
      </c>
      <c r="H3281">
        <v>2070.16</v>
      </c>
    </row>
    <row r="3282" spans="1:8" x14ac:dyDescent="0.35">
      <c r="A3282" t="s">
        <v>7</v>
      </c>
      <c r="B3282" t="s">
        <v>12</v>
      </c>
      <c r="C3282" t="s">
        <v>10</v>
      </c>
      <c r="D3282">
        <v>59</v>
      </c>
      <c r="E3282">
        <v>4</v>
      </c>
      <c r="F3282">
        <v>6.78</v>
      </c>
      <c r="G3282">
        <v>55.08</v>
      </c>
      <c r="H3282">
        <v>3249.72</v>
      </c>
    </row>
    <row r="3283" spans="1:8" x14ac:dyDescent="0.35">
      <c r="A3283" t="s">
        <v>7</v>
      </c>
      <c r="B3283" t="s">
        <v>12</v>
      </c>
      <c r="C3283" t="s">
        <v>10</v>
      </c>
      <c r="D3283">
        <v>121</v>
      </c>
      <c r="E3283">
        <v>4</v>
      </c>
      <c r="F3283">
        <v>3.31</v>
      </c>
      <c r="G3283">
        <v>24.55</v>
      </c>
      <c r="H3283">
        <v>2970.55</v>
      </c>
    </row>
    <row r="3284" spans="1:8" x14ac:dyDescent="0.35">
      <c r="A3284" t="s">
        <v>7</v>
      </c>
      <c r="B3284" t="s">
        <v>12</v>
      </c>
      <c r="C3284" t="s">
        <v>10</v>
      </c>
      <c r="D3284">
        <v>285</v>
      </c>
      <c r="E3284">
        <v>23</v>
      </c>
      <c r="F3284">
        <v>8.07</v>
      </c>
      <c r="G3284">
        <v>46.14</v>
      </c>
      <c r="H3284">
        <v>13149.9</v>
      </c>
    </row>
    <row r="3285" spans="1:8" x14ac:dyDescent="0.35">
      <c r="A3285" t="s">
        <v>7</v>
      </c>
      <c r="B3285" t="s">
        <v>12</v>
      </c>
      <c r="C3285" t="s">
        <v>9</v>
      </c>
      <c r="D3285">
        <v>181</v>
      </c>
      <c r="E3285">
        <v>4</v>
      </c>
      <c r="F3285">
        <v>2.21</v>
      </c>
      <c r="G3285">
        <v>45.56</v>
      </c>
      <c r="H3285">
        <v>8246.36</v>
      </c>
    </row>
    <row r="3286" spans="1:8" x14ac:dyDescent="0.35">
      <c r="A3286" t="s">
        <v>8</v>
      </c>
      <c r="B3286" t="s">
        <v>12</v>
      </c>
      <c r="C3286" t="s">
        <v>9</v>
      </c>
      <c r="D3286">
        <v>56</v>
      </c>
      <c r="E3286">
        <v>0</v>
      </c>
      <c r="F3286">
        <v>0</v>
      </c>
      <c r="G3286">
        <v>7.22</v>
      </c>
      <c r="H3286">
        <v>404.32</v>
      </c>
    </row>
    <row r="3287" spans="1:8" x14ac:dyDescent="0.35">
      <c r="A3287" t="s">
        <v>6</v>
      </c>
      <c r="B3287" t="s">
        <v>12</v>
      </c>
      <c r="C3287" t="s">
        <v>9</v>
      </c>
      <c r="D3287">
        <v>265</v>
      </c>
      <c r="E3287">
        <v>17</v>
      </c>
      <c r="F3287">
        <v>6.42</v>
      </c>
      <c r="G3287">
        <v>46.47</v>
      </c>
      <c r="H3287">
        <v>12314.55</v>
      </c>
    </row>
    <row r="3288" spans="1:8" x14ac:dyDescent="0.35">
      <c r="A3288" t="s">
        <v>5</v>
      </c>
      <c r="B3288" t="s">
        <v>12</v>
      </c>
      <c r="C3288" t="s">
        <v>9</v>
      </c>
      <c r="D3288">
        <v>50</v>
      </c>
      <c r="E3288">
        <v>4</v>
      </c>
      <c r="F3288">
        <v>8</v>
      </c>
      <c r="G3288">
        <v>64.36</v>
      </c>
      <c r="H3288">
        <v>3218</v>
      </c>
    </row>
    <row r="3289" spans="1:8" x14ac:dyDescent="0.35">
      <c r="A3289" t="s">
        <v>7</v>
      </c>
      <c r="B3289" t="s">
        <v>12</v>
      </c>
      <c r="C3289" t="s">
        <v>9</v>
      </c>
      <c r="D3289">
        <v>86</v>
      </c>
      <c r="E3289">
        <v>5</v>
      </c>
      <c r="F3289">
        <v>5.81</v>
      </c>
      <c r="G3289">
        <v>33.1</v>
      </c>
      <c r="H3289">
        <v>2846.6</v>
      </c>
    </row>
    <row r="3290" spans="1:8" x14ac:dyDescent="0.35">
      <c r="A3290" t="s">
        <v>6</v>
      </c>
      <c r="B3290" t="s">
        <v>12</v>
      </c>
      <c r="C3290" t="s">
        <v>11</v>
      </c>
      <c r="D3290">
        <v>256</v>
      </c>
      <c r="E3290">
        <v>12</v>
      </c>
      <c r="F3290">
        <v>4.6900000000000004</v>
      </c>
      <c r="G3290">
        <v>5.46</v>
      </c>
      <c r="H3290">
        <v>1397.76</v>
      </c>
    </row>
    <row r="3291" spans="1:8" x14ac:dyDescent="0.35">
      <c r="A3291" t="s">
        <v>7</v>
      </c>
      <c r="B3291" t="s">
        <v>12</v>
      </c>
      <c r="C3291" t="s">
        <v>9</v>
      </c>
      <c r="D3291">
        <v>168</v>
      </c>
      <c r="E3291">
        <v>9</v>
      </c>
      <c r="F3291">
        <v>5.36</v>
      </c>
      <c r="G3291">
        <v>62.5</v>
      </c>
      <c r="H3291">
        <v>10500</v>
      </c>
    </row>
    <row r="3292" spans="1:8" x14ac:dyDescent="0.35">
      <c r="A3292" t="s">
        <v>7</v>
      </c>
      <c r="B3292" t="s">
        <v>12</v>
      </c>
      <c r="C3292" t="s">
        <v>9</v>
      </c>
      <c r="D3292">
        <v>67</v>
      </c>
      <c r="E3292">
        <v>2</v>
      </c>
      <c r="F3292">
        <v>2.99</v>
      </c>
      <c r="G3292">
        <v>40.659999999999997</v>
      </c>
      <c r="H3292">
        <v>2724.22</v>
      </c>
    </row>
    <row r="3293" spans="1:8" x14ac:dyDescent="0.35">
      <c r="A3293" t="s">
        <v>7</v>
      </c>
      <c r="B3293" t="s">
        <v>12</v>
      </c>
      <c r="C3293" t="s">
        <v>9</v>
      </c>
      <c r="D3293">
        <v>58</v>
      </c>
      <c r="E3293">
        <v>2</v>
      </c>
      <c r="F3293">
        <v>3.45</v>
      </c>
      <c r="G3293">
        <v>56.88</v>
      </c>
      <c r="H3293">
        <v>3299.04</v>
      </c>
    </row>
    <row r="3294" spans="1:8" x14ac:dyDescent="0.35">
      <c r="A3294" t="s">
        <v>7</v>
      </c>
      <c r="B3294" t="s">
        <v>12</v>
      </c>
      <c r="C3294" t="s">
        <v>9</v>
      </c>
      <c r="D3294">
        <v>294</v>
      </c>
      <c r="E3294">
        <v>0</v>
      </c>
      <c r="F3294">
        <v>0</v>
      </c>
      <c r="G3294">
        <v>41.58</v>
      </c>
      <c r="H3294">
        <v>12224.52</v>
      </c>
    </row>
    <row r="3295" spans="1:8" x14ac:dyDescent="0.35">
      <c r="A3295" t="s">
        <v>7</v>
      </c>
      <c r="B3295" t="s">
        <v>12</v>
      </c>
      <c r="C3295" t="s">
        <v>10</v>
      </c>
      <c r="D3295">
        <v>126</v>
      </c>
      <c r="E3295">
        <v>10</v>
      </c>
      <c r="F3295">
        <v>7.94</v>
      </c>
      <c r="G3295">
        <v>46.17</v>
      </c>
      <c r="H3295">
        <v>5817.42</v>
      </c>
    </row>
    <row r="3296" spans="1:8" x14ac:dyDescent="0.35">
      <c r="A3296" t="s">
        <v>6</v>
      </c>
      <c r="B3296" t="s">
        <v>12</v>
      </c>
      <c r="C3296" t="s">
        <v>9</v>
      </c>
      <c r="D3296">
        <v>144</v>
      </c>
      <c r="E3296">
        <v>14</v>
      </c>
      <c r="F3296">
        <v>9.7200000000000006</v>
      </c>
      <c r="G3296">
        <v>39.119999999999997</v>
      </c>
      <c r="H3296">
        <v>5633.28</v>
      </c>
    </row>
    <row r="3297" spans="1:8" x14ac:dyDescent="0.35">
      <c r="A3297" t="s">
        <v>5</v>
      </c>
      <c r="B3297" t="s">
        <v>12</v>
      </c>
      <c r="C3297" t="s">
        <v>9</v>
      </c>
      <c r="D3297">
        <v>207</v>
      </c>
      <c r="E3297">
        <v>19</v>
      </c>
      <c r="F3297">
        <v>9.18</v>
      </c>
      <c r="G3297">
        <v>12.65</v>
      </c>
      <c r="H3297">
        <v>2618.5500000000002</v>
      </c>
    </row>
    <row r="3298" spans="1:8" x14ac:dyDescent="0.35">
      <c r="A3298" t="s">
        <v>5</v>
      </c>
      <c r="B3298" t="s">
        <v>12</v>
      </c>
      <c r="C3298" t="s">
        <v>9</v>
      </c>
      <c r="D3298">
        <v>223</v>
      </c>
      <c r="E3298">
        <v>9</v>
      </c>
      <c r="F3298">
        <v>4.04</v>
      </c>
      <c r="G3298">
        <v>59.04</v>
      </c>
      <c r="H3298">
        <v>13165.92</v>
      </c>
    </row>
    <row r="3299" spans="1:8" x14ac:dyDescent="0.35">
      <c r="A3299" t="s">
        <v>6</v>
      </c>
      <c r="B3299" t="s">
        <v>12</v>
      </c>
      <c r="C3299" t="s">
        <v>11</v>
      </c>
      <c r="D3299">
        <v>103</v>
      </c>
      <c r="E3299">
        <v>4</v>
      </c>
      <c r="F3299">
        <v>3.88</v>
      </c>
      <c r="G3299">
        <v>49.78</v>
      </c>
      <c r="H3299">
        <v>5127.34</v>
      </c>
    </row>
    <row r="3300" spans="1:8" x14ac:dyDescent="0.35">
      <c r="A3300" t="s">
        <v>7</v>
      </c>
      <c r="B3300" t="s">
        <v>12</v>
      </c>
      <c r="C3300" t="s">
        <v>10</v>
      </c>
      <c r="D3300">
        <v>104</v>
      </c>
      <c r="E3300">
        <v>9</v>
      </c>
      <c r="F3300">
        <v>8.65</v>
      </c>
      <c r="G3300">
        <v>13.53</v>
      </c>
      <c r="H3300">
        <v>1407.12</v>
      </c>
    </row>
    <row r="3301" spans="1:8" x14ac:dyDescent="0.35">
      <c r="A3301" t="s">
        <v>6</v>
      </c>
      <c r="B3301" t="s">
        <v>12</v>
      </c>
      <c r="C3301" t="s">
        <v>11</v>
      </c>
      <c r="D3301">
        <v>94</v>
      </c>
      <c r="E3301">
        <v>5</v>
      </c>
      <c r="F3301">
        <v>5.32</v>
      </c>
      <c r="G3301">
        <v>47.06</v>
      </c>
      <c r="H3301">
        <v>4423.6400000000003</v>
      </c>
    </row>
    <row r="3302" spans="1:8" x14ac:dyDescent="0.35">
      <c r="A3302" t="s">
        <v>8</v>
      </c>
      <c r="B3302" t="s">
        <v>12</v>
      </c>
      <c r="C3302" t="s">
        <v>9</v>
      </c>
      <c r="D3302">
        <v>118</v>
      </c>
      <c r="E3302">
        <v>6</v>
      </c>
      <c r="F3302">
        <v>5.08</v>
      </c>
      <c r="G3302">
        <v>6.23</v>
      </c>
      <c r="H3302">
        <v>735.14</v>
      </c>
    </row>
    <row r="3303" spans="1:8" x14ac:dyDescent="0.35">
      <c r="A3303" t="s">
        <v>8</v>
      </c>
      <c r="B3303" t="s">
        <v>12</v>
      </c>
      <c r="C3303" t="s">
        <v>9</v>
      </c>
      <c r="D3303">
        <v>258</v>
      </c>
      <c r="E3303">
        <v>24</v>
      </c>
      <c r="F3303">
        <v>9.3000000000000007</v>
      </c>
      <c r="G3303">
        <v>9.26</v>
      </c>
      <c r="H3303">
        <v>2389.08</v>
      </c>
    </row>
    <row r="3304" spans="1:8" x14ac:dyDescent="0.35">
      <c r="A3304" t="s">
        <v>8</v>
      </c>
      <c r="B3304" t="s">
        <v>12</v>
      </c>
      <c r="C3304" t="s">
        <v>9</v>
      </c>
      <c r="D3304">
        <v>146</v>
      </c>
      <c r="E3304">
        <v>12</v>
      </c>
      <c r="F3304">
        <v>8.2200000000000006</v>
      </c>
      <c r="G3304">
        <v>33.049999999999997</v>
      </c>
      <c r="H3304">
        <v>4825.3</v>
      </c>
    </row>
    <row r="3305" spans="1:8" x14ac:dyDescent="0.35">
      <c r="A3305" t="s">
        <v>6</v>
      </c>
      <c r="B3305" t="s">
        <v>12</v>
      </c>
      <c r="C3305" t="s">
        <v>11</v>
      </c>
      <c r="D3305">
        <v>71</v>
      </c>
      <c r="E3305">
        <v>3</v>
      </c>
      <c r="F3305">
        <v>4.2300000000000004</v>
      </c>
      <c r="G3305">
        <v>50.18</v>
      </c>
      <c r="H3305">
        <v>3562.78</v>
      </c>
    </row>
    <row r="3306" spans="1:8" x14ac:dyDescent="0.35">
      <c r="A3306" t="s">
        <v>5</v>
      </c>
      <c r="B3306" t="s">
        <v>12</v>
      </c>
      <c r="C3306" t="s">
        <v>9</v>
      </c>
      <c r="D3306">
        <v>288</v>
      </c>
      <c r="E3306">
        <v>4</v>
      </c>
      <c r="F3306">
        <v>1.39</v>
      </c>
      <c r="G3306">
        <v>35.67</v>
      </c>
      <c r="H3306">
        <v>10272.959999999999</v>
      </c>
    </row>
    <row r="3307" spans="1:8" x14ac:dyDescent="0.35">
      <c r="A3307" t="s">
        <v>7</v>
      </c>
      <c r="B3307" t="s">
        <v>12</v>
      </c>
      <c r="C3307" t="s">
        <v>10</v>
      </c>
      <c r="D3307">
        <v>258</v>
      </c>
      <c r="E3307">
        <v>20</v>
      </c>
      <c r="F3307">
        <v>7.75</v>
      </c>
      <c r="G3307">
        <v>30.45</v>
      </c>
      <c r="H3307">
        <v>7856.1</v>
      </c>
    </row>
    <row r="3308" spans="1:8" x14ac:dyDescent="0.35">
      <c r="A3308" t="s">
        <v>7</v>
      </c>
      <c r="B3308" t="s">
        <v>12</v>
      </c>
      <c r="C3308" t="s">
        <v>10</v>
      </c>
      <c r="D3308">
        <v>67</v>
      </c>
      <c r="E3308">
        <v>2</v>
      </c>
      <c r="F3308">
        <v>2.99</v>
      </c>
      <c r="G3308">
        <v>43.02</v>
      </c>
      <c r="H3308">
        <v>2882.34</v>
      </c>
    </row>
    <row r="3309" spans="1:8" x14ac:dyDescent="0.35">
      <c r="A3309" t="s">
        <v>7</v>
      </c>
      <c r="B3309" t="s">
        <v>12</v>
      </c>
      <c r="C3309" t="s">
        <v>9</v>
      </c>
      <c r="D3309">
        <v>82</v>
      </c>
      <c r="E3309">
        <v>1</v>
      </c>
      <c r="F3309">
        <v>1.22</v>
      </c>
      <c r="G3309">
        <v>47.99</v>
      </c>
      <c r="H3309">
        <v>3935.18</v>
      </c>
    </row>
    <row r="3310" spans="1:8" x14ac:dyDescent="0.35">
      <c r="A3310" t="s">
        <v>7</v>
      </c>
      <c r="B3310" t="s">
        <v>12</v>
      </c>
      <c r="C3310" t="s">
        <v>10</v>
      </c>
      <c r="D3310">
        <v>156</v>
      </c>
      <c r="E3310">
        <v>2</v>
      </c>
      <c r="F3310">
        <v>1.28</v>
      </c>
      <c r="G3310">
        <v>69.099999999999994</v>
      </c>
      <c r="H3310">
        <v>10779.6</v>
      </c>
    </row>
    <row r="3311" spans="1:8" x14ac:dyDescent="0.35">
      <c r="A3311" t="s">
        <v>7</v>
      </c>
      <c r="B3311" t="s">
        <v>12</v>
      </c>
      <c r="C3311" t="s">
        <v>9</v>
      </c>
      <c r="D3311">
        <v>201</v>
      </c>
      <c r="E3311">
        <v>9</v>
      </c>
      <c r="F3311">
        <v>4.4800000000000004</v>
      </c>
      <c r="G3311">
        <v>59.14</v>
      </c>
      <c r="H3311">
        <v>11887.14</v>
      </c>
    </row>
    <row r="3312" spans="1:8" x14ac:dyDescent="0.35">
      <c r="A3312" t="s">
        <v>7</v>
      </c>
      <c r="B3312" t="s">
        <v>12</v>
      </c>
      <c r="C3312" t="s">
        <v>10</v>
      </c>
      <c r="D3312">
        <v>82</v>
      </c>
      <c r="E3312">
        <v>1</v>
      </c>
      <c r="F3312">
        <v>1.22</v>
      </c>
      <c r="G3312">
        <v>8.6</v>
      </c>
      <c r="H3312">
        <v>705.2</v>
      </c>
    </row>
    <row r="3313" spans="1:8" x14ac:dyDescent="0.35">
      <c r="A3313" t="s">
        <v>6</v>
      </c>
      <c r="B3313" t="s">
        <v>12</v>
      </c>
      <c r="C3313" t="s">
        <v>11</v>
      </c>
      <c r="D3313">
        <v>135</v>
      </c>
      <c r="E3313">
        <v>7</v>
      </c>
      <c r="F3313">
        <v>5.19</v>
      </c>
      <c r="G3313">
        <v>13.24</v>
      </c>
      <c r="H3313">
        <v>1787.4</v>
      </c>
    </row>
    <row r="3314" spans="1:8" x14ac:dyDescent="0.35">
      <c r="A3314" t="s">
        <v>5</v>
      </c>
      <c r="B3314" t="s">
        <v>12</v>
      </c>
      <c r="C3314" t="s">
        <v>9</v>
      </c>
      <c r="D3314">
        <v>192</v>
      </c>
      <c r="E3314">
        <v>6</v>
      </c>
      <c r="F3314">
        <v>3.12</v>
      </c>
      <c r="G3314">
        <v>64.77</v>
      </c>
      <c r="H3314">
        <v>12435.84</v>
      </c>
    </row>
    <row r="3315" spans="1:8" x14ac:dyDescent="0.35">
      <c r="A3315" t="s">
        <v>6</v>
      </c>
      <c r="B3315" t="s">
        <v>12</v>
      </c>
      <c r="C3315" t="s">
        <v>9</v>
      </c>
      <c r="D3315">
        <v>155</v>
      </c>
      <c r="E3315">
        <v>7</v>
      </c>
      <c r="F3315">
        <v>4.5199999999999996</v>
      </c>
      <c r="G3315">
        <v>20.91</v>
      </c>
      <c r="H3315">
        <v>3241.05</v>
      </c>
    </row>
    <row r="3316" spans="1:8" x14ac:dyDescent="0.35">
      <c r="A3316" t="s">
        <v>5</v>
      </c>
      <c r="B3316" t="s">
        <v>12</v>
      </c>
      <c r="C3316" t="s">
        <v>9</v>
      </c>
      <c r="D3316">
        <v>194</v>
      </c>
      <c r="E3316">
        <v>18</v>
      </c>
      <c r="F3316">
        <v>9.2799999999999994</v>
      </c>
      <c r="G3316">
        <v>53.82</v>
      </c>
      <c r="H3316">
        <v>10441.08</v>
      </c>
    </row>
    <row r="3317" spans="1:8" x14ac:dyDescent="0.35">
      <c r="A3317" t="s">
        <v>5</v>
      </c>
      <c r="B3317" t="s">
        <v>12</v>
      </c>
      <c r="C3317" t="s">
        <v>9</v>
      </c>
      <c r="D3317">
        <v>57</v>
      </c>
      <c r="E3317">
        <v>5</v>
      </c>
      <c r="F3317">
        <v>8.77</v>
      </c>
      <c r="G3317">
        <v>58.08</v>
      </c>
      <c r="H3317">
        <v>3310.56</v>
      </c>
    </row>
    <row r="3318" spans="1:8" x14ac:dyDescent="0.35">
      <c r="A3318" t="s">
        <v>5</v>
      </c>
      <c r="B3318" t="s">
        <v>12</v>
      </c>
      <c r="C3318" t="s">
        <v>9</v>
      </c>
      <c r="D3318">
        <v>276</v>
      </c>
      <c r="E3318">
        <v>18</v>
      </c>
      <c r="F3318">
        <v>6.52</v>
      </c>
      <c r="G3318">
        <v>32.409999999999997</v>
      </c>
      <c r="H3318">
        <v>8945.16</v>
      </c>
    </row>
    <row r="3319" spans="1:8" x14ac:dyDescent="0.35">
      <c r="A3319" t="s">
        <v>5</v>
      </c>
      <c r="B3319" t="s">
        <v>12</v>
      </c>
      <c r="C3319" t="s">
        <v>9</v>
      </c>
      <c r="D3319">
        <v>77</v>
      </c>
      <c r="E3319">
        <v>7</v>
      </c>
      <c r="F3319">
        <v>9.09</v>
      </c>
      <c r="G3319">
        <v>9.5399999999999991</v>
      </c>
      <c r="H3319">
        <v>734.58</v>
      </c>
    </row>
    <row r="3320" spans="1:8" x14ac:dyDescent="0.35">
      <c r="A3320" t="s">
        <v>7</v>
      </c>
      <c r="B3320" t="s">
        <v>12</v>
      </c>
      <c r="C3320" t="s">
        <v>9</v>
      </c>
      <c r="D3320">
        <v>273</v>
      </c>
      <c r="E3320">
        <v>22</v>
      </c>
      <c r="F3320">
        <v>8.06</v>
      </c>
      <c r="G3320">
        <v>14.29</v>
      </c>
      <c r="H3320">
        <v>3901.17</v>
      </c>
    </row>
    <row r="3321" spans="1:8" x14ac:dyDescent="0.35">
      <c r="A3321" t="s">
        <v>6</v>
      </c>
      <c r="B3321" t="s">
        <v>12</v>
      </c>
      <c r="C3321" t="s">
        <v>9</v>
      </c>
      <c r="D3321">
        <v>240</v>
      </c>
      <c r="E3321">
        <v>13</v>
      </c>
      <c r="F3321">
        <v>5.42</v>
      </c>
      <c r="G3321">
        <v>31.8</v>
      </c>
      <c r="H3321">
        <v>7632</v>
      </c>
    </row>
    <row r="3322" spans="1:8" x14ac:dyDescent="0.35">
      <c r="A3322" t="s">
        <v>7</v>
      </c>
      <c r="B3322" t="s">
        <v>12</v>
      </c>
      <c r="C3322" t="s">
        <v>9</v>
      </c>
      <c r="D3322">
        <v>72</v>
      </c>
      <c r="E3322">
        <v>1</v>
      </c>
      <c r="F3322">
        <v>1.39</v>
      </c>
      <c r="G3322">
        <v>6.01</v>
      </c>
      <c r="H3322">
        <v>432.72</v>
      </c>
    </row>
    <row r="3323" spans="1:8" x14ac:dyDescent="0.35">
      <c r="A3323" t="s">
        <v>6</v>
      </c>
      <c r="B3323" t="s">
        <v>12</v>
      </c>
      <c r="C3323" t="s">
        <v>9</v>
      </c>
      <c r="D3323">
        <v>201</v>
      </c>
      <c r="E3323">
        <v>12</v>
      </c>
      <c r="F3323">
        <v>5.97</v>
      </c>
      <c r="G3323">
        <v>67.239999999999995</v>
      </c>
      <c r="H3323">
        <v>13515.24</v>
      </c>
    </row>
    <row r="3324" spans="1:8" x14ac:dyDescent="0.35">
      <c r="A3324" t="s">
        <v>7</v>
      </c>
      <c r="B3324" t="s">
        <v>12</v>
      </c>
      <c r="C3324" t="s">
        <v>10</v>
      </c>
      <c r="D3324">
        <v>224</v>
      </c>
      <c r="E3324">
        <v>4</v>
      </c>
      <c r="F3324">
        <v>1.79</v>
      </c>
      <c r="G3324">
        <v>26.13</v>
      </c>
      <c r="H3324">
        <v>5853.12</v>
      </c>
    </row>
    <row r="3325" spans="1:8" x14ac:dyDescent="0.35">
      <c r="A3325" t="s">
        <v>6</v>
      </c>
      <c r="B3325" t="s">
        <v>12</v>
      </c>
      <c r="C3325" t="s">
        <v>9</v>
      </c>
      <c r="D3325">
        <v>275</v>
      </c>
      <c r="E3325">
        <v>23</v>
      </c>
      <c r="F3325">
        <v>8.36</v>
      </c>
      <c r="G3325">
        <v>33.43</v>
      </c>
      <c r="H3325">
        <v>9193.25</v>
      </c>
    </row>
    <row r="3326" spans="1:8" x14ac:dyDescent="0.35">
      <c r="A3326" t="s">
        <v>5</v>
      </c>
      <c r="B3326" t="s">
        <v>12</v>
      </c>
      <c r="C3326" t="s">
        <v>9</v>
      </c>
      <c r="D3326">
        <v>299</v>
      </c>
      <c r="E3326">
        <v>25</v>
      </c>
      <c r="F3326">
        <v>8.36</v>
      </c>
      <c r="G3326">
        <v>56.17</v>
      </c>
      <c r="H3326">
        <v>16794.830000000002</v>
      </c>
    </row>
    <row r="3327" spans="1:8" x14ac:dyDescent="0.35">
      <c r="A3327" t="s">
        <v>7</v>
      </c>
      <c r="B3327" t="s">
        <v>12</v>
      </c>
      <c r="C3327" t="s">
        <v>9</v>
      </c>
      <c r="D3327">
        <v>65</v>
      </c>
      <c r="E3327">
        <v>0</v>
      </c>
      <c r="F3327">
        <v>0</v>
      </c>
      <c r="G3327">
        <v>43.83</v>
      </c>
      <c r="H3327">
        <v>2848.95</v>
      </c>
    </row>
    <row r="3328" spans="1:8" x14ac:dyDescent="0.35">
      <c r="A3328" t="s">
        <v>8</v>
      </c>
      <c r="B3328" t="s">
        <v>12</v>
      </c>
      <c r="C3328" t="s">
        <v>9</v>
      </c>
      <c r="D3328">
        <v>144</v>
      </c>
      <c r="E3328">
        <v>3</v>
      </c>
      <c r="F3328">
        <v>2.08</v>
      </c>
      <c r="G3328">
        <v>13.17</v>
      </c>
      <c r="H3328">
        <v>1896.48</v>
      </c>
    </row>
    <row r="3329" spans="1:8" x14ac:dyDescent="0.35">
      <c r="A3329" t="s">
        <v>7</v>
      </c>
      <c r="B3329" t="s">
        <v>12</v>
      </c>
      <c r="C3329" t="s">
        <v>10</v>
      </c>
      <c r="D3329">
        <v>272</v>
      </c>
      <c r="E3329">
        <v>6</v>
      </c>
      <c r="F3329">
        <v>2.21</v>
      </c>
      <c r="G3329">
        <v>53.27</v>
      </c>
      <c r="H3329">
        <v>14489.44</v>
      </c>
    </row>
    <row r="3330" spans="1:8" x14ac:dyDescent="0.35">
      <c r="A3330" t="s">
        <v>6</v>
      </c>
      <c r="B3330" t="s">
        <v>12</v>
      </c>
      <c r="C3330" t="s">
        <v>11</v>
      </c>
      <c r="D3330">
        <v>263</v>
      </c>
      <c r="E3330">
        <v>13</v>
      </c>
      <c r="F3330">
        <v>4.9400000000000004</v>
      </c>
      <c r="G3330">
        <v>45.09</v>
      </c>
      <c r="H3330">
        <v>11858.67</v>
      </c>
    </row>
    <row r="3331" spans="1:8" x14ac:dyDescent="0.35">
      <c r="A3331" t="s">
        <v>6</v>
      </c>
      <c r="B3331" t="s">
        <v>12</v>
      </c>
      <c r="C3331" t="s">
        <v>9</v>
      </c>
      <c r="D3331">
        <v>126</v>
      </c>
      <c r="E3331">
        <v>9</v>
      </c>
      <c r="F3331">
        <v>7.14</v>
      </c>
      <c r="G3331">
        <v>49.75</v>
      </c>
      <c r="H3331">
        <v>6268.5</v>
      </c>
    </row>
    <row r="3332" spans="1:8" x14ac:dyDescent="0.35">
      <c r="A3332" t="s">
        <v>7</v>
      </c>
      <c r="B3332" t="s">
        <v>12</v>
      </c>
      <c r="C3332" t="s">
        <v>10</v>
      </c>
      <c r="D3332">
        <v>125</v>
      </c>
      <c r="E3332">
        <v>1</v>
      </c>
      <c r="F3332">
        <v>0.8</v>
      </c>
      <c r="G3332">
        <v>30.7</v>
      </c>
      <c r="H3332">
        <v>3837.5</v>
      </c>
    </row>
    <row r="3333" spans="1:8" x14ac:dyDescent="0.35">
      <c r="A3333" t="s">
        <v>7</v>
      </c>
      <c r="B3333" t="s">
        <v>12</v>
      </c>
      <c r="C3333" t="s">
        <v>9</v>
      </c>
      <c r="D3333">
        <v>233</v>
      </c>
      <c r="E3333">
        <v>4</v>
      </c>
      <c r="F3333">
        <v>1.72</v>
      </c>
      <c r="G3333">
        <v>57.81</v>
      </c>
      <c r="H3333">
        <v>13469.73</v>
      </c>
    </row>
    <row r="3334" spans="1:8" x14ac:dyDescent="0.35">
      <c r="A3334" t="s">
        <v>6</v>
      </c>
      <c r="B3334" t="s">
        <v>12</v>
      </c>
      <c r="C3334" t="s">
        <v>9</v>
      </c>
      <c r="D3334">
        <v>292</v>
      </c>
      <c r="E3334">
        <v>22</v>
      </c>
      <c r="F3334">
        <v>7.53</v>
      </c>
      <c r="G3334">
        <v>38.94</v>
      </c>
      <c r="H3334">
        <v>11370.48</v>
      </c>
    </row>
    <row r="3335" spans="1:8" x14ac:dyDescent="0.35">
      <c r="A3335" t="s">
        <v>6</v>
      </c>
      <c r="B3335" t="s">
        <v>12</v>
      </c>
      <c r="C3335" t="s">
        <v>9</v>
      </c>
      <c r="D3335">
        <v>86</v>
      </c>
      <c r="E3335">
        <v>4</v>
      </c>
      <c r="F3335">
        <v>4.6500000000000004</v>
      </c>
      <c r="G3335">
        <v>19.54</v>
      </c>
      <c r="H3335">
        <v>1680.44</v>
      </c>
    </row>
    <row r="3336" spans="1:8" x14ac:dyDescent="0.35">
      <c r="A3336" t="s">
        <v>5</v>
      </c>
      <c r="B3336" t="s">
        <v>12</v>
      </c>
      <c r="C3336" t="s">
        <v>9</v>
      </c>
      <c r="D3336">
        <v>204</v>
      </c>
      <c r="E3336">
        <v>10</v>
      </c>
      <c r="F3336">
        <v>4.9000000000000004</v>
      </c>
      <c r="G3336">
        <v>48.97</v>
      </c>
      <c r="H3336">
        <v>9989.8799999999992</v>
      </c>
    </row>
    <row r="3337" spans="1:8" x14ac:dyDescent="0.35">
      <c r="A3337" t="s">
        <v>5</v>
      </c>
      <c r="B3337" t="s">
        <v>12</v>
      </c>
      <c r="C3337" t="s">
        <v>9</v>
      </c>
      <c r="D3337">
        <v>87</v>
      </c>
      <c r="E3337">
        <v>4</v>
      </c>
      <c r="F3337">
        <v>4.5999999999999996</v>
      </c>
      <c r="G3337">
        <v>24.72</v>
      </c>
      <c r="H3337">
        <v>2150.64</v>
      </c>
    </row>
    <row r="3338" spans="1:8" x14ac:dyDescent="0.35">
      <c r="A3338" t="s">
        <v>6</v>
      </c>
      <c r="B3338" t="s">
        <v>12</v>
      </c>
      <c r="C3338" t="s">
        <v>11</v>
      </c>
      <c r="D3338">
        <v>258</v>
      </c>
      <c r="E3338">
        <v>20</v>
      </c>
      <c r="F3338">
        <v>7.75</v>
      </c>
      <c r="G3338">
        <v>63.75</v>
      </c>
      <c r="H3338">
        <v>16447.5</v>
      </c>
    </row>
    <row r="3339" spans="1:8" x14ac:dyDescent="0.35">
      <c r="A3339" t="s">
        <v>5</v>
      </c>
      <c r="B3339" t="s">
        <v>12</v>
      </c>
      <c r="C3339" t="s">
        <v>9</v>
      </c>
      <c r="D3339">
        <v>95</v>
      </c>
      <c r="E3339">
        <v>9</v>
      </c>
      <c r="F3339">
        <v>9.4700000000000006</v>
      </c>
      <c r="G3339">
        <v>67.95</v>
      </c>
      <c r="H3339">
        <v>6455.25</v>
      </c>
    </row>
    <row r="3340" spans="1:8" x14ac:dyDescent="0.35">
      <c r="A3340" t="s">
        <v>6</v>
      </c>
      <c r="B3340" t="s">
        <v>12</v>
      </c>
      <c r="C3340" t="s">
        <v>11</v>
      </c>
      <c r="D3340">
        <v>229</v>
      </c>
      <c r="E3340">
        <v>20</v>
      </c>
      <c r="F3340">
        <v>8.73</v>
      </c>
      <c r="G3340">
        <v>16.940000000000001</v>
      </c>
      <c r="H3340">
        <v>3879.26</v>
      </c>
    </row>
    <row r="3341" spans="1:8" x14ac:dyDescent="0.35">
      <c r="A3341" t="s">
        <v>8</v>
      </c>
      <c r="B3341" t="s">
        <v>12</v>
      </c>
      <c r="C3341" t="s">
        <v>9</v>
      </c>
      <c r="D3341">
        <v>274</v>
      </c>
      <c r="E3341">
        <v>19</v>
      </c>
      <c r="F3341">
        <v>6.93</v>
      </c>
      <c r="G3341">
        <v>65.959999999999994</v>
      </c>
      <c r="H3341">
        <v>18073.04</v>
      </c>
    </row>
    <row r="3342" spans="1:8" x14ac:dyDescent="0.35">
      <c r="A3342" t="s">
        <v>8</v>
      </c>
      <c r="B3342" t="s">
        <v>12</v>
      </c>
      <c r="C3342" t="s">
        <v>9</v>
      </c>
      <c r="D3342">
        <v>252</v>
      </c>
      <c r="E3342">
        <v>24</v>
      </c>
      <c r="F3342">
        <v>9.52</v>
      </c>
      <c r="G3342">
        <v>39.85</v>
      </c>
      <c r="H3342">
        <v>10042.200000000001</v>
      </c>
    </row>
    <row r="3343" spans="1:8" x14ac:dyDescent="0.35">
      <c r="A3343" t="s">
        <v>6</v>
      </c>
      <c r="B3343" t="s">
        <v>12</v>
      </c>
      <c r="C3343" t="s">
        <v>11</v>
      </c>
      <c r="D3343">
        <v>112</v>
      </c>
      <c r="E3343">
        <v>3</v>
      </c>
      <c r="F3343">
        <v>2.68</v>
      </c>
      <c r="G3343">
        <v>22.59</v>
      </c>
      <c r="H3343">
        <v>2530.08</v>
      </c>
    </row>
    <row r="3344" spans="1:8" x14ac:dyDescent="0.35">
      <c r="A3344" t="s">
        <v>8</v>
      </c>
      <c r="B3344" t="s">
        <v>12</v>
      </c>
      <c r="C3344" t="s">
        <v>9</v>
      </c>
      <c r="D3344">
        <v>112</v>
      </c>
      <c r="E3344">
        <v>3</v>
      </c>
      <c r="F3344">
        <v>2.68</v>
      </c>
      <c r="G3344">
        <v>31.6</v>
      </c>
      <c r="H3344">
        <v>3539.2</v>
      </c>
    </row>
    <row r="3345" spans="1:8" x14ac:dyDescent="0.35">
      <c r="A3345" t="s">
        <v>6</v>
      </c>
      <c r="B3345" t="s">
        <v>12</v>
      </c>
      <c r="C3345" t="s">
        <v>9</v>
      </c>
      <c r="D3345">
        <v>170</v>
      </c>
      <c r="E3345">
        <v>13</v>
      </c>
      <c r="F3345">
        <v>7.65</v>
      </c>
      <c r="G3345">
        <v>59.87</v>
      </c>
      <c r="H3345">
        <v>10177.9</v>
      </c>
    </row>
    <row r="3346" spans="1:8" x14ac:dyDescent="0.35">
      <c r="A3346" t="s">
        <v>6</v>
      </c>
      <c r="B3346" t="s">
        <v>12</v>
      </c>
      <c r="C3346" t="s">
        <v>11</v>
      </c>
      <c r="D3346">
        <v>201</v>
      </c>
      <c r="E3346">
        <v>5</v>
      </c>
      <c r="F3346">
        <v>2.4900000000000002</v>
      </c>
      <c r="G3346">
        <v>63.86</v>
      </c>
      <c r="H3346">
        <v>12835.86</v>
      </c>
    </row>
    <row r="3347" spans="1:8" x14ac:dyDescent="0.35">
      <c r="A3347" t="s">
        <v>7</v>
      </c>
      <c r="B3347" t="s">
        <v>12</v>
      </c>
      <c r="C3347" t="s">
        <v>9</v>
      </c>
      <c r="D3347">
        <v>173</v>
      </c>
      <c r="E3347">
        <v>6</v>
      </c>
      <c r="F3347">
        <v>3.47</v>
      </c>
      <c r="G3347">
        <v>7.26</v>
      </c>
      <c r="H3347">
        <v>1255.98</v>
      </c>
    </row>
    <row r="3348" spans="1:8" x14ac:dyDescent="0.35">
      <c r="A3348" t="s">
        <v>6</v>
      </c>
      <c r="B3348" t="s">
        <v>12</v>
      </c>
      <c r="C3348" t="s">
        <v>11</v>
      </c>
      <c r="D3348">
        <v>261</v>
      </c>
      <c r="E3348">
        <v>18</v>
      </c>
      <c r="F3348">
        <v>6.9</v>
      </c>
      <c r="G3348">
        <v>37.270000000000003</v>
      </c>
      <c r="H3348">
        <v>9727.4699999999993</v>
      </c>
    </row>
    <row r="3349" spans="1:8" x14ac:dyDescent="0.35">
      <c r="A3349" t="s">
        <v>8</v>
      </c>
      <c r="B3349" t="s">
        <v>12</v>
      </c>
      <c r="C3349" t="s">
        <v>9</v>
      </c>
      <c r="D3349">
        <v>280</v>
      </c>
      <c r="E3349">
        <v>19</v>
      </c>
      <c r="F3349">
        <v>6.79</v>
      </c>
      <c r="G3349">
        <v>13.17</v>
      </c>
      <c r="H3349">
        <v>3687.6</v>
      </c>
    </row>
    <row r="3350" spans="1:8" x14ac:dyDescent="0.35">
      <c r="A3350" t="s">
        <v>7</v>
      </c>
      <c r="B3350" t="s">
        <v>12</v>
      </c>
      <c r="C3350" t="s">
        <v>10</v>
      </c>
      <c r="D3350">
        <v>197</v>
      </c>
      <c r="E3350">
        <v>5</v>
      </c>
      <c r="F3350">
        <v>2.54</v>
      </c>
      <c r="G3350">
        <v>34.83</v>
      </c>
      <c r="H3350">
        <v>6861.51</v>
      </c>
    </row>
    <row r="3351" spans="1:8" x14ac:dyDescent="0.35">
      <c r="A3351" t="s">
        <v>6</v>
      </c>
      <c r="B3351" t="s">
        <v>12</v>
      </c>
      <c r="C3351" t="s">
        <v>9</v>
      </c>
      <c r="D3351">
        <v>171</v>
      </c>
      <c r="E3351">
        <v>6</v>
      </c>
      <c r="F3351">
        <v>3.51</v>
      </c>
      <c r="G3351">
        <v>60.05</v>
      </c>
      <c r="H3351">
        <v>10268.549999999999</v>
      </c>
    </row>
    <row r="3352" spans="1:8" x14ac:dyDescent="0.35">
      <c r="A3352" t="s">
        <v>8</v>
      </c>
      <c r="B3352" t="s">
        <v>12</v>
      </c>
      <c r="C3352" t="s">
        <v>9</v>
      </c>
      <c r="D3352">
        <v>296</v>
      </c>
      <c r="E3352">
        <v>13</v>
      </c>
      <c r="F3352">
        <v>4.3899999999999997</v>
      </c>
      <c r="G3352">
        <v>64.040000000000006</v>
      </c>
      <c r="H3352">
        <v>18955.84</v>
      </c>
    </row>
    <row r="3353" spans="1:8" x14ac:dyDescent="0.35">
      <c r="A3353" t="s">
        <v>5</v>
      </c>
      <c r="B3353" t="s">
        <v>12</v>
      </c>
      <c r="C3353" t="s">
        <v>9</v>
      </c>
      <c r="D3353">
        <v>126</v>
      </c>
      <c r="E3353">
        <v>4</v>
      </c>
      <c r="F3353">
        <v>3.17</v>
      </c>
      <c r="G3353">
        <v>19.21</v>
      </c>
      <c r="H3353">
        <v>2420.46</v>
      </c>
    </row>
    <row r="3354" spans="1:8" x14ac:dyDescent="0.35">
      <c r="A3354" t="s">
        <v>8</v>
      </c>
      <c r="B3354" t="s">
        <v>12</v>
      </c>
      <c r="C3354" t="s">
        <v>9</v>
      </c>
      <c r="D3354">
        <v>62</v>
      </c>
      <c r="E3354">
        <v>6</v>
      </c>
      <c r="F3354">
        <v>9.68</v>
      </c>
      <c r="G3354">
        <v>23.35</v>
      </c>
      <c r="H3354">
        <v>1447.7</v>
      </c>
    </row>
    <row r="3355" spans="1:8" x14ac:dyDescent="0.35">
      <c r="A3355" t="s">
        <v>8</v>
      </c>
      <c r="B3355" t="s">
        <v>12</v>
      </c>
      <c r="C3355" t="s">
        <v>9</v>
      </c>
      <c r="D3355">
        <v>131</v>
      </c>
      <c r="E3355">
        <v>6</v>
      </c>
      <c r="F3355">
        <v>4.58</v>
      </c>
      <c r="G3355">
        <v>59.05</v>
      </c>
      <c r="H3355">
        <v>7735.55</v>
      </c>
    </row>
    <row r="3356" spans="1:8" x14ac:dyDescent="0.35">
      <c r="A3356" t="s">
        <v>7</v>
      </c>
      <c r="B3356" t="s">
        <v>12</v>
      </c>
      <c r="C3356" t="s">
        <v>10</v>
      </c>
      <c r="D3356">
        <v>115</v>
      </c>
      <c r="E3356">
        <v>4</v>
      </c>
      <c r="F3356">
        <v>3.48</v>
      </c>
      <c r="G3356">
        <v>57.54</v>
      </c>
      <c r="H3356">
        <v>6617.1</v>
      </c>
    </row>
    <row r="3357" spans="1:8" x14ac:dyDescent="0.35">
      <c r="A3357" t="s">
        <v>7</v>
      </c>
      <c r="B3357" t="s">
        <v>12</v>
      </c>
      <c r="C3357" t="s">
        <v>9</v>
      </c>
      <c r="D3357">
        <v>135</v>
      </c>
      <c r="E3357">
        <v>10</v>
      </c>
      <c r="F3357">
        <v>7.41</v>
      </c>
      <c r="G3357">
        <v>22.16</v>
      </c>
      <c r="H3357">
        <v>2991.6</v>
      </c>
    </row>
    <row r="3358" spans="1:8" x14ac:dyDescent="0.35">
      <c r="A3358" t="s">
        <v>6</v>
      </c>
      <c r="B3358" t="s">
        <v>12</v>
      </c>
      <c r="C3358" t="s">
        <v>9</v>
      </c>
      <c r="D3358">
        <v>214</v>
      </c>
      <c r="E3358">
        <v>21</v>
      </c>
      <c r="F3358">
        <v>9.81</v>
      </c>
      <c r="G3358">
        <v>55.44</v>
      </c>
      <c r="H3358">
        <v>11864.16</v>
      </c>
    </row>
    <row r="3359" spans="1:8" x14ac:dyDescent="0.35">
      <c r="A3359" t="s">
        <v>8</v>
      </c>
      <c r="B3359" t="s">
        <v>12</v>
      </c>
      <c r="C3359" t="s">
        <v>9</v>
      </c>
      <c r="D3359">
        <v>96</v>
      </c>
      <c r="E3359">
        <v>5</v>
      </c>
      <c r="F3359">
        <v>5.21</v>
      </c>
      <c r="G3359">
        <v>43.6</v>
      </c>
      <c r="H3359">
        <v>4185.6000000000004</v>
      </c>
    </row>
    <row r="3360" spans="1:8" x14ac:dyDescent="0.35">
      <c r="A3360" t="s">
        <v>6</v>
      </c>
      <c r="B3360" t="s">
        <v>12</v>
      </c>
      <c r="C3360" t="s">
        <v>9</v>
      </c>
      <c r="D3360">
        <v>52</v>
      </c>
      <c r="E3360">
        <v>5</v>
      </c>
      <c r="F3360">
        <v>9.6199999999999992</v>
      </c>
      <c r="G3360">
        <v>44.25</v>
      </c>
      <c r="H3360">
        <v>2301</v>
      </c>
    </row>
    <row r="3361" spans="1:8" x14ac:dyDescent="0.35">
      <c r="A3361" t="s">
        <v>5</v>
      </c>
      <c r="B3361" t="s">
        <v>12</v>
      </c>
      <c r="C3361" t="s">
        <v>9</v>
      </c>
      <c r="D3361">
        <v>122</v>
      </c>
      <c r="E3361">
        <v>11</v>
      </c>
      <c r="F3361">
        <v>9.02</v>
      </c>
      <c r="G3361">
        <v>62.2</v>
      </c>
      <c r="H3361">
        <v>7588.4</v>
      </c>
    </row>
    <row r="3362" spans="1:8" x14ac:dyDescent="0.35">
      <c r="A3362" t="s">
        <v>6</v>
      </c>
      <c r="B3362" t="s">
        <v>12</v>
      </c>
      <c r="C3362" t="s">
        <v>11</v>
      </c>
      <c r="D3362">
        <v>188</v>
      </c>
      <c r="E3362">
        <v>15</v>
      </c>
      <c r="F3362">
        <v>7.98</v>
      </c>
      <c r="G3362">
        <v>59.79</v>
      </c>
      <c r="H3362">
        <v>11240.52</v>
      </c>
    </row>
    <row r="3363" spans="1:8" x14ac:dyDescent="0.35">
      <c r="A3363" t="s">
        <v>6</v>
      </c>
      <c r="B3363" t="s">
        <v>12</v>
      </c>
      <c r="C3363" t="s">
        <v>9</v>
      </c>
      <c r="D3363">
        <v>168</v>
      </c>
      <c r="E3363">
        <v>16</v>
      </c>
      <c r="F3363">
        <v>9.52</v>
      </c>
      <c r="G3363">
        <v>42.42</v>
      </c>
      <c r="H3363">
        <v>7126.56</v>
      </c>
    </row>
    <row r="3364" spans="1:8" x14ac:dyDescent="0.35">
      <c r="A3364" t="s">
        <v>8</v>
      </c>
      <c r="B3364" t="s">
        <v>12</v>
      </c>
      <c r="C3364" t="s">
        <v>9</v>
      </c>
      <c r="D3364">
        <v>294</v>
      </c>
      <c r="E3364">
        <v>8</v>
      </c>
      <c r="F3364">
        <v>2.72</v>
      </c>
      <c r="G3364">
        <v>64.650000000000006</v>
      </c>
      <c r="H3364">
        <v>19007.099999999999</v>
      </c>
    </row>
    <row r="3365" spans="1:8" x14ac:dyDescent="0.35">
      <c r="A3365" t="s">
        <v>6</v>
      </c>
      <c r="B3365" t="s">
        <v>12</v>
      </c>
      <c r="C3365" t="s">
        <v>11</v>
      </c>
      <c r="D3365">
        <v>223</v>
      </c>
      <c r="E3365">
        <v>8</v>
      </c>
      <c r="F3365">
        <v>3.59</v>
      </c>
      <c r="G3365">
        <v>52.63</v>
      </c>
      <c r="H3365">
        <v>11736.49</v>
      </c>
    </row>
    <row r="3366" spans="1:8" x14ac:dyDescent="0.35">
      <c r="A3366" t="s">
        <v>7</v>
      </c>
      <c r="B3366" t="s">
        <v>12</v>
      </c>
      <c r="C3366" t="s">
        <v>10</v>
      </c>
      <c r="D3366">
        <v>235</v>
      </c>
      <c r="E3366">
        <v>12</v>
      </c>
      <c r="F3366">
        <v>5.1100000000000003</v>
      </c>
      <c r="G3366">
        <v>33.130000000000003</v>
      </c>
      <c r="H3366">
        <v>7785.55</v>
      </c>
    </row>
    <row r="3367" spans="1:8" x14ac:dyDescent="0.35">
      <c r="A3367" t="s">
        <v>5</v>
      </c>
      <c r="B3367" t="s">
        <v>12</v>
      </c>
      <c r="C3367" t="s">
        <v>9</v>
      </c>
      <c r="D3367">
        <v>279</v>
      </c>
      <c r="E3367">
        <v>2</v>
      </c>
      <c r="F3367">
        <v>0.72</v>
      </c>
      <c r="G3367">
        <v>33.15</v>
      </c>
      <c r="H3367">
        <v>9248.85</v>
      </c>
    </row>
    <row r="3368" spans="1:8" x14ac:dyDescent="0.35">
      <c r="A3368" t="s">
        <v>6</v>
      </c>
      <c r="B3368" t="s">
        <v>12</v>
      </c>
      <c r="C3368" t="s">
        <v>9</v>
      </c>
      <c r="D3368">
        <v>171</v>
      </c>
      <c r="E3368">
        <v>9</v>
      </c>
      <c r="F3368">
        <v>5.26</v>
      </c>
      <c r="G3368">
        <v>41.48</v>
      </c>
      <c r="H3368">
        <v>7093.08</v>
      </c>
    </row>
    <row r="3369" spans="1:8" x14ac:dyDescent="0.35">
      <c r="A3369" t="s">
        <v>7</v>
      </c>
      <c r="B3369" t="s">
        <v>12</v>
      </c>
      <c r="C3369" t="s">
        <v>10</v>
      </c>
      <c r="D3369">
        <v>234</v>
      </c>
      <c r="E3369">
        <v>0</v>
      </c>
      <c r="F3369">
        <v>0</v>
      </c>
      <c r="G3369">
        <v>7.92</v>
      </c>
      <c r="H3369">
        <v>1853.28</v>
      </c>
    </row>
    <row r="3370" spans="1:8" x14ac:dyDescent="0.35">
      <c r="A3370" t="s">
        <v>7</v>
      </c>
      <c r="B3370" t="s">
        <v>12</v>
      </c>
      <c r="C3370" t="s">
        <v>10</v>
      </c>
      <c r="D3370">
        <v>218</v>
      </c>
      <c r="E3370">
        <v>15</v>
      </c>
      <c r="F3370">
        <v>6.88</v>
      </c>
      <c r="G3370">
        <v>45.35</v>
      </c>
      <c r="H3370">
        <v>9886.2999999999993</v>
      </c>
    </row>
    <row r="3371" spans="1:8" x14ac:dyDescent="0.35">
      <c r="A3371" t="s">
        <v>7</v>
      </c>
      <c r="B3371" t="s">
        <v>12</v>
      </c>
      <c r="C3371" t="s">
        <v>10</v>
      </c>
      <c r="D3371">
        <v>132</v>
      </c>
      <c r="E3371">
        <v>11</v>
      </c>
      <c r="F3371">
        <v>8.33</v>
      </c>
      <c r="G3371">
        <v>30.1</v>
      </c>
      <c r="H3371">
        <v>3973.2</v>
      </c>
    </row>
    <row r="3372" spans="1:8" x14ac:dyDescent="0.35">
      <c r="A3372" t="s">
        <v>8</v>
      </c>
      <c r="B3372" t="s">
        <v>12</v>
      </c>
      <c r="C3372" t="s">
        <v>9</v>
      </c>
      <c r="D3372">
        <v>101</v>
      </c>
      <c r="E3372">
        <v>8</v>
      </c>
      <c r="F3372">
        <v>7.92</v>
      </c>
      <c r="G3372">
        <v>60.65</v>
      </c>
      <c r="H3372">
        <v>6125.65</v>
      </c>
    </row>
    <row r="3373" spans="1:8" x14ac:dyDescent="0.35">
      <c r="A3373" t="s">
        <v>7</v>
      </c>
      <c r="B3373" t="s">
        <v>12</v>
      </c>
      <c r="C3373" t="s">
        <v>10</v>
      </c>
      <c r="D3373">
        <v>225</v>
      </c>
      <c r="E3373">
        <v>13</v>
      </c>
      <c r="F3373">
        <v>5.78</v>
      </c>
      <c r="G3373">
        <v>34.31</v>
      </c>
      <c r="H3373">
        <v>7719.75</v>
      </c>
    </row>
    <row r="3374" spans="1:8" x14ac:dyDescent="0.35">
      <c r="A3374" t="s">
        <v>8</v>
      </c>
      <c r="B3374" t="s">
        <v>12</v>
      </c>
      <c r="C3374" t="s">
        <v>9</v>
      </c>
      <c r="D3374">
        <v>222</v>
      </c>
      <c r="E3374">
        <v>22</v>
      </c>
      <c r="F3374">
        <v>9.91</v>
      </c>
      <c r="G3374">
        <v>65.239999999999995</v>
      </c>
      <c r="H3374">
        <v>14483.28</v>
      </c>
    </row>
    <row r="3375" spans="1:8" x14ac:dyDescent="0.35">
      <c r="A3375" t="s">
        <v>6</v>
      </c>
      <c r="B3375" t="s">
        <v>12</v>
      </c>
      <c r="C3375" t="s">
        <v>11</v>
      </c>
      <c r="D3375">
        <v>95</v>
      </c>
      <c r="E3375">
        <v>7</v>
      </c>
      <c r="F3375">
        <v>7.37</v>
      </c>
      <c r="G3375">
        <v>50.17</v>
      </c>
      <c r="H3375">
        <v>4766.1499999999996</v>
      </c>
    </row>
    <row r="3376" spans="1:8" x14ac:dyDescent="0.35">
      <c r="A3376" t="s">
        <v>6</v>
      </c>
      <c r="B3376" t="s">
        <v>12</v>
      </c>
      <c r="C3376" t="s">
        <v>11</v>
      </c>
      <c r="D3376">
        <v>225</v>
      </c>
      <c r="E3376">
        <v>11</v>
      </c>
      <c r="F3376">
        <v>4.8899999999999997</v>
      </c>
      <c r="G3376">
        <v>6.24</v>
      </c>
      <c r="H3376">
        <v>1404</v>
      </c>
    </row>
    <row r="3377" spans="1:8" x14ac:dyDescent="0.35">
      <c r="A3377" t="s">
        <v>6</v>
      </c>
      <c r="B3377" t="s">
        <v>12</v>
      </c>
      <c r="C3377" t="s">
        <v>9</v>
      </c>
      <c r="D3377">
        <v>296</v>
      </c>
      <c r="E3377">
        <v>1</v>
      </c>
      <c r="F3377">
        <v>0.34</v>
      </c>
      <c r="G3377">
        <v>21.91</v>
      </c>
      <c r="H3377">
        <v>6485.36</v>
      </c>
    </row>
    <row r="3378" spans="1:8" x14ac:dyDescent="0.35">
      <c r="A3378" t="s">
        <v>5</v>
      </c>
      <c r="B3378" t="s">
        <v>12</v>
      </c>
      <c r="C3378" t="s">
        <v>9</v>
      </c>
      <c r="D3378">
        <v>148</v>
      </c>
      <c r="E3378">
        <v>8</v>
      </c>
      <c r="F3378">
        <v>5.41</v>
      </c>
      <c r="G3378">
        <v>67.319999999999993</v>
      </c>
      <c r="H3378">
        <v>9963.36</v>
      </c>
    </row>
    <row r="3379" spans="1:8" x14ac:dyDescent="0.35">
      <c r="A3379" t="s">
        <v>7</v>
      </c>
      <c r="B3379" t="s">
        <v>12</v>
      </c>
      <c r="C3379" t="s">
        <v>10</v>
      </c>
      <c r="D3379">
        <v>212</v>
      </c>
      <c r="E3379">
        <v>14</v>
      </c>
      <c r="F3379">
        <v>6.6</v>
      </c>
      <c r="G3379">
        <v>36.75</v>
      </c>
      <c r="H3379">
        <v>7791</v>
      </c>
    </row>
    <row r="3380" spans="1:8" x14ac:dyDescent="0.35">
      <c r="A3380" t="s">
        <v>7</v>
      </c>
      <c r="B3380" t="s">
        <v>12</v>
      </c>
      <c r="C3380" t="s">
        <v>9</v>
      </c>
      <c r="D3380">
        <v>278</v>
      </c>
      <c r="E3380">
        <v>5</v>
      </c>
      <c r="F3380">
        <v>1.8</v>
      </c>
      <c r="G3380">
        <v>23.67</v>
      </c>
      <c r="H3380">
        <v>6580.26</v>
      </c>
    </row>
    <row r="3381" spans="1:8" x14ac:dyDescent="0.35">
      <c r="A3381" t="s">
        <v>7</v>
      </c>
      <c r="B3381" t="s">
        <v>12</v>
      </c>
      <c r="C3381" t="s">
        <v>9</v>
      </c>
      <c r="D3381">
        <v>269</v>
      </c>
      <c r="E3381">
        <v>10</v>
      </c>
      <c r="F3381">
        <v>3.72</v>
      </c>
      <c r="G3381">
        <v>40.74</v>
      </c>
      <c r="H3381">
        <v>10959.06</v>
      </c>
    </row>
    <row r="3382" spans="1:8" x14ac:dyDescent="0.35">
      <c r="A3382" t="s">
        <v>8</v>
      </c>
      <c r="B3382" t="s">
        <v>12</v>
      </c>
      <c r="C3382" t="s">
        <v>9</v>
      </c>
      <c r="D3382">
        <v>69</v>
      </c>
      <c r="E3382">
        <v>0</v>
      </c>
      <c r="F3382">
        <v>0</v>
      </c>
      <c r="G3382">
        <v>12.56</v>
      </c>
      <c r="H3382">
        <v>866.64</v>
      </c>
    </row>
    <row r="3383" spans="1:8" x14ac:dyDescent="0.35">
      <c r="A3383" t="s">
        <v>8</v>
      </c>
      <c r="B3383" t="s">
        <v>12</v>
      </c>
      <c r="C3383" t="s">
        <v>9</v>
      </c>
      <c r="D3383">
        <v>92</v>
      </c>
      <c r="E3383">
        <v>4</v>
      </c>
      <c r="F3383">
        <v>4.3499999999999996</v>
      </c>
      <c r="G3383">
        <v>20.14</v>
      </c>
      <c r="H3383">
        <v>1852.88</v>
      </c>
    </row>
    <row r="3384" spans="1:8" x14ac:dyDescent="0.35">
      <c r="A3384" t="s">
        <v>8</v>
      </c>
      <c r="B3384" t="s">
        <v>12</v>
      </c>
      <c r="C3384" t="s">
        <v>9</v>
      </c>
      <c r="D3384">
        <v>163</v>
      </c>
      <c r="E3384">
        <v>6</v>
      </c>
      <c r="F3384">
        <v>3.68</v>
      </c>
      <c r="G3384">
        <v>16.46</v>
      </c>
      <c r="H3384">
        <v>2682.98</v>
      </c>
    </row>
    <row r="3385" spans="1:8" x14ac:dyDescent="0.35">
      <c r="A3385" t="s">
        <v>7</v>
      </c>
      <c r="B3385" t="s">
        <v>12</v>
      </c>
      <c r="C3385" t="s">
        <v>10</v>
      </c>
      <c r="D3385">
        <v>138</v>
      </c>
      <c r="E3385">
        <v>12</v>
      </c>
      <c r="F3385">
        <v>8.6999999999999993</v>
      </c>
      <c r="G3385">
        <v>48.69</v>
      </c>
      <c r="H3385">
        <v>6719.22</v>
      </c>
    </row>
    <row r="3386" spans="1:8" x14ac:dyDescent="0.35">
      <c r="A3386" t="s">
        <v>6</v>
      </c>
      <c r="B3386" t="s">
        <v>12</v>
      </c>
      <c r="C3386" t="s">
        <v>9</v>
      </c>
      <c r="D3386">
        <v>55</v>
      </c>
      <c r="E3386">
        <v>5</v>
      </c>
      <c r="F3386">
        <v>9.09</v>
      </c>
      <c r="G3386">
        <v>33.619999999999997</v>
      </c>
      <c r="H3386">
        <v>1849.1</v>
      </c>
    </row>
    <row r="3387" spans="1:8" x14ac:dyDescent="0.35">
      <c r="A3387" t="s">
        <v>5</v>
      </c>
      <c r="B3387" t="s">
        <v>12</v>
      </c>
      <c r="C3387" t="s">
        <v>9</v>
      </c>
      <c r="D3387">
        <v>236</v>
      </c>
      <c r="E3387">
        <v>18</v>
      </c>
      <c r="F3387">
        <v>7.63</v>
      </c>
      <c r="G3387">
        <v>35.81</v>
      </c>
      <c r="H3387">
        <v>8451.16</v>
      </c>
    </row>
    <row r="3388" spans="1:8" x14ac:dyDescent="0.35">
      <c r="A3388" t="s">
        <v>5</v>
      </c>
      <c r="B3388" t="s">
        <v>12</v>
      </c>
      <c r="C3388" t="s">
        <v>9</v>
      </c>
      <c r="D3388">
        <v>232</v>
      </c>
      <c r="E3388">
        <v>6</v>
      </c>
      <c r="F3388">
        <v>2.59</v>
      </c>
      <c r="G3388">
        <v>68.14</v>
      </c>
      <c r="H3388">
        <v>15808.48</v>
      </c>
    </row>
    <row r="3389" spans="1:8" x14ac:dyDescent="0.35">
      <c r="A3389" t="s">
        <v>6</v>
      </c>
      <c r="B3389" t="s">
        <v>12</v>
      </c>
      <c r="C3389" t="s">
        <v>11</v>
      </c>
      <c r="D3389">
        <v>142</v>
      </c>
      <c r="E3389">
        <v>6</v>
      </c>
      <c r="F3389">
        <v>4.2300000000000004</v>
      </c>
      <c r="G3389">
        <v>24.59</v>
      </c>
      <c r="H3389">
        <v>3491.78</v>
      </c>
    </row>
    <row r="3390" spans="1:8" x14ac:dyDescent="0.35">
      <c r="A3390" t="s">
        <v>6</v>
      </c>
      <c r="B3390" t="s">
        <v>12</v>
      </c>
      <c r="C3390" t="s">
        <v>9</v>
      </c>
      <c r="D3390">
        <v>297</v>
      </c>
      <c r="E3390">
        <v>10</v>
      </c>
      <c r="F3390">
        <v>3.37</v>
      </c>
      <c r="G3390">
        <v>33.03</v>
      </c>
      <c r="H3390">
        <v>9809.91</v>
      </c>
    </row>
    <row r="3391" spans="1:8" x14ac:dyDescent="0.35">
      <c r="A3391" t="s">
        <v>7</v>
      </c>
      <c r="B3391" t="s">
        <v>12</v>
      </c>
      <c r="C3391" t="s">
        <v>9</v>
      </c>
      <c r="D3391">
        <v>217</v>
      </c>
      <c r="E3391">
        <v>2</v>
      </c>
      <c r="F3391">
        <v>0.92</v>
      </c>
      <c r="G3391">
        <v>65.790000000000006</v>
      </c>
      <c r="H3391">
        <v>14276.43</v>
      </c>
    </row>
    <row r="3392" spans="1:8" x14ac:dyDescent="0.35">
      <c r="A3392" t="s">
        <v>8</v>
      </c>
      <c r="B3392" t="s">
        <v>12</v>
      </c>
      <c r="C3392" t="s">
        <v>9</v>
      </c>
      <c r="D3392">
        <v>105</v>
      </c>
      <c r="E3392">
        <v>0</v>
      </c>
      <c r="F3392">
        <v>0</v>
      </c>
      <c r="G3392">
        <v>68.31</v>
      </c>
      <c r="H3392">
        <v>7172.55</v>
      </c>
    </row>
    <row r="3393" spans="1:8" x14ac:dyDescent="0.35">
      <c r="A3393" t="s">
        <v>6</v>
      </c>
      <c r="B3393" t="s">
        <v>12</v>
      </c>
      <c r="C3393" t="s">
        <v>9</v>
      </c>
      <c r="D3393">
        <v>298</v>
      </c>
      <c r="E3393">
        <v>21</v>
      </c>
      <c r="F3393">
        <v>7.05</v>
      </c>
      <c r="G3393">
        <v>31.82</v>
      </c>
      <c r="H3393">
        <v>9482.36</v>
      </c>
    </row>
    <row r="3394" spans="1:8" x14ac:dyDescent="0.35">
      <c r="A3394" t="s">
        <v>7</v>
      </c>
      <c r="B3394" t="s">
        <v>12</v>
      </c>
      <c r="C3394" t="s">
        <v>10</v>
      </c>
      <c r="D3394">
        <v>74</v>
      </c>
      <c r="E3394">
        <v>7</v>
      </c>
      <c r="F3394">
        <v>9.4600000000000009</v>
      </c>
      <c r="G3394">
        <v>22.9</v>
      </c>
      <c r="H3394">
        <v>1694.6</v>
      </c>
    </row>
    <row r="3395" spans="1:8" x14ac:dyDescent="0.35">
      <c r="A3395" t="s">
        <v>7</v>
      </c>
      <c r="B3395" t="s">
        <v>12</v>
      </c>
      <c r="C3395" t="s">
        <v>10</v>
      </c>
      <c r="D3395">
        <v>270</v>
      </c>
      <c r="E3395">
        <v>11</v>
      </c>
      <c r="F3395">
        <v>4.07</v>
      </c>
      <c r="G3395">
        <v>58.98</v>
      </c>
      <c r="H3395">
        <v>15924.6</v>
      </c>
    </row>
    <row r="3396" spans="1:8" x14ac:dyDescent="0.35">
      <c r="A3396" t="s">
        <v>6</v>
      </c>
      <c r="B3396" t="s">
        <v>12</v>
      </c>
      <c r="C3396" t="s">
        <v>9</v>
      </c>
      <c r="D3396">
        <v>218</v>
      </c>
      <c r="E3396">
        <v>21</v>
      </c>
      <c r="F3396">
        <v>9.6300000000000008</v>
      </c>
      <c r="G3396">
        <v>12.01</v>
      </c>
      <c r="H3396">
        <v>2618.1799999999998</v>
      </c>
    </row>
    <row r="3397" spans="1:8" x14ac:dyDescent="0.35">
      <c r="A3397" t="s">
        <v>6</v>
      </c>
      <c r="B3397" t="s">
        <v>12</v>
      </c>
      <c r="C3397" t="s">
        <v>11</v>
      </c>
      <c r="D3397">
        <v>155</v>
      </c>
      <c r="E3397">
        <v>5</v>
      </c>
      <c r="F3397">
        <v>3.23</v>
      </c>
      <c r="G3397">
        <v>64.459999999999994</v>
      </c>
      <c r="H3397">
        <v>9991.2999999999993</v>
      </c>
    </row>
    <row r="3398" spans="1:8" x14ac:dyDescent="0.35">
      <c r="A3398" t="s">
        <v>7</v>
      </c>
      <c r="B3398" t="s">
        <v>12</v>
      </c>
      <c r="C3398" t="s">
        <v>9</v>
      </c>
      <c r="D3398">
        <v>157</v>
      </c>
      <c r="E3398">
        <v>11</v>
      </c>
      <c r="F3398">
        <v>7.01</v>
      </c>
      <c r="G3398">
        <v>43</v>
      </c>
      <c r="H3398">
        <v>6751</v>
      </c>
    </row>
    <row r="3399" spans="1:8" x14ac:dyDescent="0.35">
      <c r="A3399" t="s">
        <v>7</v>
      </c>
      <c r="B3399" t="s">
        <v>12</v>
      </c>
      <c r="C3399" t="s">
        <v>9</v>
      </c>
      <c r="D3399">
        <v>230</v>
      </c>
      <c r="E3399">
        <v>10</v>
      </c>
      <c r="F3399">
        <v>4.3499999999999996</v>
      </c>
      <c r="G3399">
        <v>38.35</v>
      </c>
      <c r="H3399">
        <v>8820.5</v>
      </c>
    </row>
    <row r="3400" spans="1:8" x14ac:dyDescent="0.35">
      <c r="A3400" t="s">
        <v>6</v>
      </c>
      <c r="B3400" t="s">
        <v>12</v>
      </c>
      <c r="C3400" t="s">
        <v>11</v>
      </c>
      <c r="D3400">
        <v>73</v>
      </c>
      <c r="E3400">
        <v>3</v>
      </c>
      <c r="F3400">
        <v>4.1100000000000003</v>
      </c>
      <c r="G3400">
        <v>40.700000000000003</v>
      </c>
      <c r="H3400">
        <v>2971.1</v>
      </c>
    </row>
    <row r="3401" spans="1:8" x14ac:dyDescent="0.35">
      <c r="A3401" t="s">
        <v>8</v>
      </c>
      <c r="B3401" t="s">
        <v>12</v>
      </c>
      <c r="C3401" t="s">
        <v>9</v>
      </c>
      <c r="D3401">
        <v>72</v>
      </c>
      <c r="E3401">
        <v>0</v>
      </c>
      <c r="F3401">
        <v>0</v>
      </c>
      <c r="G3401">
        <v>21.56</v>
      </c>
      <c r="H3401">
        <v>1552.32</v>
      </c>
    </row>
    <row r="3402" spans="1:8" x14ac:dyDescent="0.35">
      <c r="A3402" t="s">
        <v>8</v>
      </c>
      <c r="B3402" t="s">
        <v>12</v>
      </c>
      <c r="C3402" t="s">
        <v>9</v>
      </c>
      <c r="D3402">
        <v>70</v>
      </c>
      <c r="E3402">
        <v>7</v>
      </c>
      <c r="F3402">
        <v>10</v>
      </c>
      <c r="G3402">
        <v>20.83</v>
      </c>
      <c r="H3402">
        <v>1458.1</v>
      </c>
    </row>
    <row r="3403" spans="1:8" x14ac:dyDescent="0.35">
      <c r="A3403" t="s">
        <v>6</v>
      </c>
      <c r="B3403" t="s">
        <v>12</v>
      </c>
      <c r="C3403" t="s">
        <v>9</v>
      </c>
      <c r="D3403">
        <v>201</v>
      </c>
      <c r="E3403">
        <v>10</v>
      </c>
      <c r="F3403">
        <v>4.9800000000000004</v>
      </c>
      <c r="G3403">
        <v>67.349999999999994</v>
      </c>
      <c r="H3403">
        <v>13537.35</v>
      </c>
    </row>
    <row r="3404" spans="1:8" x14ac:dyDescent="0.35">
      <c r="A3404" t="s">
        <v>7</v>
      </c>
      <c r="B3404" t="s">
        <v>12</v>
      </c>
      <c r="C3404" t="s">
        <v>10</v>
      </c>
      <c r="D3404">
        <v>184</v>
      </c>
      <c r="E3404">
        <v>9</v>
      </c>
      <c r="F3404">
        <v>4.8899999999999997</v>
      </c>
      <c r="G3404">
        <v>19.41</v>
      </c>
      <c r="H3404">
        <v>3571.44</v>
      </c>
    </row>
    <row r="3405" spans="1:8" x14ac:dyDescent="0.35">
      <c r="A3405" t="s">
        <v>7</v>
      </c>
      <c r="B3405" t="s">
        <v>12</v>
      </c>
      <c r="C3405" t="s">
        <v>9</v>
      </c>
      <c r="D3405">
        <v>116</v>
      </c>
      <c r="E3405">
        <v>6</v>
      </c>
      <c r="F3405">
        <v>5.17</v>
      </c>
      <c r="G3405">
        <v>55.12</v>
      </c>
      <c r="H3405">
        <v>6393.92</v>
      </c>
    </row>
    <row r="3406" spans="1:8" x14ac:dyDescent="0.35">
      <c r="A3406" t="s">
        <v>6</v>
      </c>
      <c r="B3406" t="s">
        <v>12</v>
      </c>
      <c r="C3406" t="s">
        <v>11</v>
      </c>
      <c r="D3406">
        <v>276</v>
      </c>
      <c r="E3406">
        <v>23</v>
      </c>
      <c r="F3406">
        <v>8.33</v>
      </c>
      <c r="G3406">
        <v>57.53</v>
      </c>
      <c r="H3406">
        <v>15878.28</v>
      </c>
    </row>
    <row r="3407" spans="1:8" x14ac:dyDescent="0.35">
      <c r="A3407" t="s">
        <v>5</v>
      </c>
      <c r="B3407" t="s">
        <v>12</v>
      </c>
      <c r="C3407" t="s">
        <v>9</v>
      </c>
      <c r="D3407">
        <v>186</v>
      </c>
      <c r="E3407">
        <v>7</v>
      </c>
      <c r="F3407">
        <v>3.76</v>
      </c>
      <c r="G3407">
        <v>56.16</v>
      </c>
      <c r="H3407">
        <v>10445.76</v>
      </c>
    </row>
    <row r="3408" spans="1:8" x14ac:dyDescent="0.35">
      <c r="A3408" t="s">
        <v>7</v>
      </c>
      <c r="B3408" t="s">
        <v>12</v>
      </c>
      <c r="C3408" t="s">
        <v>9</v>
      </c>
      <c r="D3408">
        <v>147</v>
      </c>
      <c r="E3408">
        <v>7</v>
      </c>
      <c r="F3408">
        <v>4.76</v>
      </c>
      <c r="G3408">
        <v>22.62</v>
      </c>
      <c r="H3408">
        <v>3325.14</v>
      </c>
    </row>
    <row r="3409" spans="1:8" x14ac:dyDescent="0.35">
      <c r="A3409" t="s">
        <v>6</v>
      </c>
      <c r="B3409" t="s">
        <v>12</v>
      </c>
      <c r="C3409" t="s">
        <v>9</v>
      </c>
      <c r="D3409">
        <v>59</v>
      </c>
      <c r="E3409">
        <v>5</v>
      </c>
      <c r="F3409">
        <v>8.4700000000000006</v>
      </c>
      <c r="G3409">
        <v>10.64</v>
      </c>
      <c r="H3409">
        <v>627.76</v>
      </c>
    </row>
    <row r="3410" spans="1:8" x14ac:dyDescent="0.35">
      <c r="A3410" t="s">
        <v>6</v>
      </c>
      <c r="B3410" t="s">
        <v>12</v>
      </c>
      <c r="C3410" t="s">
        <v>9</v>
      </c>
      <c r="D3410">
        <v>204</v>
      </c>
      <c r="E3410">
        <v>18</v>
      </c>
      <c r="F3410">
        <v>8.82</v>
      </c>
      <c r="G3410">
        <v>41.39</v>
      </c>
      <c r="H3410">
        <v>8443.56</v>
      </c>
    </row>
    <row r="3411" spans="1:8" x14ac:dyDescent="0.35">
      <c r="A3411" t="s">
        <v>7</v>
      </c>
      <c r="B3411" t="s">
        <v>12</v>
      </c>
      <c r="C3411" t="s">
        <v>9</v>
      </c>
      <c r="D3411">
        <v>229</v>
      </c>
      <c r="E3411">
        <v>16</v>
      </c>
      <c r="F3411">
        <v>6.99</v>
      </c>
      <c r="G3411">
        <v>25.09</v>
      </c>
      <c r="H3411">
        <v>5745.61</v>
      </c>
    </row>
    <row r="3412" spans="1:8" x14ac:dyDescent="0.35">
      <c r="A3412" t="s">
        <v>5</v>
      </c>
      <c r="B3412" t="s">
        <v>12</v>
      </c>
      <c r="C3412" t="s">
        <v>9</v>
      </c>
      <c r="D3412">
        <v>271</v>
      </c>
      <c r="E3412">
        <v>8</v>
      </c>
      <c r="F3412">
        <v>2.95</v>
      </c>
      <c r="G3412">
        <v>22.77</v>
      </c>
      <c r="H3412">
        <v>6170.67</v>
      </c>
    </row>
    <row r="3413" spans="1:8" x14ac:dyDescent="0.35">
      <c r="A3413" t="s">
        <v>5</v>
      </c>
      <c r="B3413" t="s">
        <v>12</v>
      </c>
      <c r="C3413" t="s">
        <v>9</v>
      </c>
      <c r="D3413">
        <v>77</v>
      </c>
      <c r="E3413">
        <v>1</v>
      </c>
      <c r="F3413">
        <v>1.3</v>
      </c>
      <c r="G3413">
        <v>12.18</v>
      </c>
      <c r="H3413">
        <v>937.86</v>
      </c>
    </row>
    <row r="3414" spans="1:8" x14ac:dyDescent="0.35">
      <c r="A3414" t="s">
        <v>6</v>
      </c>
      <c r="B3414" t="s">
        <v>12</v>
      </c>
      <c r="C3414" t="s">
        <v>11</v>
      </c>
      <c r="D3414">
        <v>119</v>
      </c>
      <c r="E3414">
        <v>3</v>
      </c>
      <c r="F3414">
        <v>2.52</v>
      </c>
      <c r="G3414">
        <v>66.89</v>
      </c>
      <c r="H3414">
        <v>7959.91</v>
      </c>
    </row>
    <row r="3415" spans="1:8" x14ac:dyDescent="0.35">
      <c r="A3415" t="s">
        <v>6</v>
      </c>
      <c r="B3415" t="s">
        <v>12</v>
      </c>
      <c r="C3415" t="s">
        <v>11</v>
      </c>
      <c r="D3415">
        <v>122</v>
      </c>
      <c r="E3415">
        <v>0</v>
      </c>
      <c r="F3415">
        <v>0</v>
      </c>
      <c r="G3415">
        <v>47.1</v>
      </c>
      <c r="H3415">
        <v>5746.2</v>
      </c>
    </row>
    <row r="3416" spans="1:8" x14ac:dyDescent="0.35">
      <c r="A3416" t="s">
        <v>8</v>
      </c>
      <c r="B3416" t="s">
        <v>12</v>
      </c>
      <c r="C3416" t="s">
        <v>9</v>
      </c>
      <c r="D3416">
        <v>156</v>
      </c>
      <c r="E3416">
        <v>13</v>
      </c>
      <c r="F3416">
        <v>8.33</v>
      </c>
      <c r="G3416">
        <v>52.79</v>
      </c>
      <c r="H3416">
        <v>8235.24</v>
      </c>
    </row>
    <row r="3417" spans="1:8" x14ac:dyDescent="0.35">
      <c r="A3417" t="s">
        <v>5</v>
      </c>
      <c r="B3417" t="s">
        <v>12</v>
      </c>
      <c r="C3417" t="s">
        <v>9</v>
      </c>
      <c r="D3417">
        <v>251</v>
      </c>
      <c r="E3417">
        <v>16</v>
      </c>
      <c r="F3417">
        <v>6.37</v>
      </c>
      <c r="G3417">
        <v>69.63</v>
      </c>
      <c r="H3417">
        <v>17477.13</v>
      </c>
    </row>
    <row r="3418" spans="1:8" x14ac:dyDescent="0.35">
      <c r="A3418" t="s">
        <v>6</v>
      </c>
      <c r="B3418" t="s">
        <v>12</v>
      </c>
      <c r="C3418" t="s">
        <v>9</v>
      </c>
      <c r="D3418">
        <v>209</v>
      </c>
      <c r="E3418">
        <v>17</v>
      </c>
      <c r="F3418">
        <v>8.1300000000000008</v>
      </c>
      <c r="G3418">
        <v>63.94</v>
      </c>
      <c r="H3418">
        <v>13363.46</v>
      </c>
    </row>
    <row r="3419" spans="1:8" x14ac:dyDescent="0.35">
      <c r="A3419" t="s">
        <v>5</v>
      </c>
      <c r="B3419" t="s">
        <v>12</v>
      </c>
      <c r="C3419" t="s">
        <v>9</v>
      </c>
      <c r="D3419">
        <v>83</v>
      </c>
      <c r="E3419">
        <v>3</v>
      </c>
      <c r="F3419">
        <v>3.61</v>
      </c>
      <c r="G3419">
        <v>50.07</v>
      </c>
      <c r="H3419">
        <v>4155.8100000000004</v>
      </c>
    </row>
    <row r="3420" spans="1:8" x14ac:dyDescent="0.35">
      <c r="A3420" t="s">
        <v>7</v>
      </c>
      <c r="B3420" t="s">
        <v>12</v>
      </c>
      <c r="C3420" t="s">
        <v>10</v>
      </c>
      <c r="D3420">
        <v>116</v>
      </c>
      <c r="E3420">
        <v>8</v>
      </c>
      <c r="F3420">
        <v>6.9</v>
      </c>
      <c r="G3420">
        <v>9.93</v>
      </c>
      <c r="H3420">
        <v>1151.8800000000001</v>
      </c>
    </row>
    <row r="3421" spans="1:8" x14ac:dyDescent="0.35">
      <c r="A3421" t="s">
        <v>7</v>
      </c>
      <c r="B3421" t="s">
        <v>12</v>
      </c>
      <c r="C3421" t="s">
        <v>9</v>
      </c>
      <c r="D3421">
        <v>204</v>
      </c>
      <c r="E3421">
        <v>4</v>
      </c>
      <c r="F3421">
        <v>1.96</v>
      </c>
      <c r="G3421">
        <v>50.02</v>
      </c>
      <c r="H3421">
        <v>10204.08</v>
      </c>
    </row>
    <row r="3422" spans="1:8" x14ac:dyDescent="0.35">
      <c r="A3422" t="s">
        <v>5</v>
      </c>
      <c r="B3422" t="s">
        <v>12</v>
      </c>
      <c r="C3422" t="s">
        <v>9</v>
      </c>
      <c r="D3422">
        <v>88</v>
      </c>
      <c r="E3422">
        <v>3</v>
      </c>
      <c r="F3422">
        <v>3.41</v>
      </c>
      <c r="G3422">
        <v>39.32</v>
      </c>
      <c r="H3422">
        <v>3460.16</v>
      </c>
    </row>
    <row r="3423" spans="1:8" x14ac:dyDescent="0.35">
      <c r="A3423" t="s">
        <v>8</v>
      </c>
      <c r="B3423" t="s">
        <v>12</v>
      </c>
      <c r="C3423" t="s">
        <v>9</v>
      </c>
      <c r="D3423">
        <v>262</v>
      </c>
      <c r="E3423">
        <v>21</v>
      </c>
      <c r="F3423">
        <v>8.02</v>
      </c>
      <c r="G3423">
        <v>10.62</v>
      </c>
      <c r="H3423">
        <v>2782.44</v>
      </c>
    </row>
    <row r="3424" spans="1:8" x14ac:dyDescent="0.35">
      <c r="A3424" t="s">
        <v>6</v>
      </c>
      <c r="B3424" t="s">
        <v>12</v>
      </c>
      <c r="C3424" t="s">
        <v>11</v>
      </c>
      <c r="D3424">
        <v>167</v>
      </c>
      <c r="E3424">
        <v>15</v>
      </c>
      <c r="F3424">
        <v>8.98</v>
      </c>
      <c r="G3424">
        <v>43.75</v>
      </c>
      <c r="H3424">
        <v>7306.25</v>
      </c>
    </row>
    <row r="3425" spans="1:8" x14ac:dyDescent="0.35">
      <c r="A3425" t="s">
        <v>6</v>
      </c>
      <c r="B3425" t="s">
        <v>12</v>
      </c>
      <c r="C3425" t="s">
        <v>9</v>
      </c>
      <c r="D3425">
        <v>82</v>
      </c>
      <c r="E3425">
        <v>0</v>
      </c>
      <c r="F3425">
        <v>0</v>
      </c>
      <c r="G3425">
        <v>68.06</v>
      </c>
      <c r="H3425">
        <v>5580.92</v>
      </c>
    </row>
    <row r="3426" spans="1:8" x14ac:dyDescent="0.35">
      <c r="A3426" t="s">
        <v>6</v>
      </c>
      <c r="B3426" t="s">
        <v>12</v>
      </c>
      <c r="C3426" t="s">
        <v>9</v>
      </c>
      <c r="D3426">
        <v>248</v>
      </c>
      <c r="E3426">
        <v>1</v>
      </c>
      <c r="F3426">
        <v>0.4</v>
      </c>
      <c r="G3426">
        <v>64.83</v>
      </c>
      <c r="H3426">
        <v>16077.84</v>
      </c>
    </row>
    <row r="3427" spans="1:8" x14ac:dyDescent="0.35">
      <c r="A3427" t="s">
        <v>7</v>
      </c>
      <c r="B3427" t="s">
        <v>12</v>
      </c>
      <c r="C3427" t="s">
        <v>9</v>
      </c>
      <c r="D3427">
        <v>124</v>
      </c>
      <c r="E3427">
        <v>9</v>
      </c>
      <c r="F3427">
        <v>7.26</v>
      </c>
      <c r="G3427">
        <v>38.11</v>
      </c>
      <c r="H3427">
        <v>4725.6400000000003</v>
      </c>
    </row>
    <row r="3428" spans="1:8" x14ac:dyDescent="0.35">
      <c r="A3428" t="s">
        <v>7</v>
      </c>
      <c r="B3428" t="s">
        <v>12</v>
      </c>
      <c r="C3428" t="s">
        <v>10</v>
      </c>
      <c r="D3428">
        <v>265</v>
      </c>
      <c r="E3428">
        <v>12</v>
      </c>
      <c r="F3428">
        <v>4.53</v>
      </c>
      <c r="G3428">
        <v>13.77</v>
      </c>
      <c r="H3428">
        <v>3649.05</v>
      </c>
    </row>
    <row r="3429" spans="1:8" x14ac:dyDescent="0.35">
      <c r="A3429" t="s">
        <v>5</v>
      </c>
      <c r="B3429" t="s">
        <v>12</v>
      </c>
      <c r="C3429" t="s">
        <v>9</v>
      </c>
      <c r="D3429">
        <v>172</v>
      </c>
      <c r="E3429">
        <v>1</v>
      </c>
      <c r="F3429">
        <v>0.57999999999999996</v>
      </c>
      <c r="G3429">
        <v>41.78</v>
      </c>
      <c r="H3429">
        <v>7186.16</v>
      </c>
    </row>
    <row r="3430" spans="1:8" x14ac:dyDescent="0.35">
      <c r="A3430" t="s">
        <v>7</v>
      </c>
      <c r="B3430" t="s">
        <v>12</v>
      </c>
      <c r="C3430" t="s">
        <v>10</v>
      </c>
      <c r="D3430">
        <v>103</v>
      </c>
      <c r="E3430">
        <v>6</v>
      </c>
      <c r="F3430">
        <v>5.83</v>
      </c>
      <c r="G3430">
        <v>53.53</v>
      </c>
      <c r="H3430">
        <v>5513.59</v>
      </c>
    </row>
    <row r="3431" spans="1:8" x14ac:dyDescent="0.35">
      <c r="A3431" t="s">
        <v>8</v>
      </c>
      <c r="B3431" t="s">
        <v>12</v>
      </c>
      <c r="C3431" t="s">
        <v>9</v>
      </c>
      <c r="D3431">
        <v>80</v>
      </c>
      <c r="E3431">
        <v>7</v>
      </c>
      <c r="F3431">
        <v>8.75</v>
      </c>
      <c r="G3431">
        <v>64.930000000000007</v>
      </c>
      <c r="H3431">
        <v>5194.3999999999996</v>
      </c>
    </row>
    <row r="3432" spans="1:8" x14ac:dyDescent="0.35">
      <c r="A3432" t="s">
        <v>6</v>
      </c>
      <c r="B3432" t="s">
        <v>12</v>
      </c>
      <c r="C3432" t="s">
        <v>9</v>
      </c>
      <c r="D3432">
        <v>116</v>
      </c>
      <c r="E3432">
        <v>1</v>
      </c>
      <c r="F3432">
        <v>0.86</v>
      </c>
      <c r="G3432">
        <v>9.27</v>
      </c>
      <c r="H3432">
        <v>1075.32</v>
      </c>
    </row>
    <row r="3433" spans="1:8" x14ac:dyDescent="0.35">
      <c r="A3433" t="s">
        <v>7</v>
      </c>
      <c r="B3433" t="s">
        <v>12</v>
      </c>
      <c r="C3433" t="s">
        <v>9</v>
      </c>
      <c r="D3433">
        <v>169</v>
      </c>
      <c r="E3433">
        <v>15</v>
      </c>
      <c r="F3433">
        <v>8.8800000000000008</v>
      </c>
      <c r="G3433">
        <v>50.62</v>
      </c>
      <c r="H3433">
        <v>8554.7800000000007</v>
      </c>
    </row>
    <row r="3434" spans="1:8" x14ac:dyDescent="0.35">
      <c r="A3434" t="s">
        <v>7</v>
      </c>
      <c r="B3434" t="s">
        <v>12</v>
      </c>
      <c r="C3434" t="s">
        <v>10</v>
      </c>
      <c r="D3434">
        <v>162</v>
      </c>
      <c r="E3434">
        <v>5</v>
      </c>
      <c r="F3434">
        <v>3.09</v>
      </c>
      <c r="G3434">
        <v>35.72</v>
      </c>
      <c r="H3434">
        <v>5786.64</v>
      </c>
    </row>
    <row r="3435" spans="1:8" x14ac:dyDescent="0.35">
      <c r="A3435" t="s">
        <v>7</v>
      </c>
      <c r="B3435" t="s">
        <v>12</v>
      </c>
      <c r="C3435" t="s">
        <v>10</v>
      </c>
      <c r="D3435">
        <v>167</v>
      </c>
      <c r="E3435">
        <v>16</v>
      </c>
      <c r="F3435">
        <v>9.58</v>
      </c>
      <c r="G3435">
        <v>17</v>
      </c>
      <c r="H3435">
        <v>2839</v>
      </c>
    </row>
    <row r="3436" spans="1:8" x14ac:dyDescent="0.35">
      <c r="A3436" t="s">
        <v>5</v>
      </c>
      <c r="B3436" t="s">
        <v>12</v>
      </c>
      <c r="C3436" t="s">
        <v>9</v>
      </c>
      <c r="D3436">
        <v>189</v>
      </c>
      <c r="E3436">
        <v>6</v>
      </c>
      <c r="F3436">
        <v>3.17</v>
      </c>
      <c r="G3436">
        <v>56.51</v>
      </c>
      <c r="H3436">
        <v>10680.39</v>
      </c>
    </row>
    <row r="3437" spans="1:8" x14ac:dyDescent="0.35">
      <c r="A3437" t="s">
        <v>6</v>
      </c>
      <c r="B3437" t="s">
        <v>12</v>
      </c>
      <c r="C3437" t="s">
        <v>11</v>
      </c>
      <c r="D3437">
        <v>260</v>
      </c>
      <c r="E3437">
        <v>18</v>
      </c>
      <c r="F3437">
        <v>6.92</v>
      </c>
      <c r="G3437">
        <v>68.430000000000007</v>
      </c>
      <c r="H3437">
        <v>17791.8</v>
      </c>
    </row>
    <row r="3438" spans="1:8" x14ac:dyDescent="0.35">
      <c r="A3438" t="s">
        <v>6</v>
      </c>
      <c r="B3438" t="s">
        <v>12</v>
      </c>
      <c r="C3438" t="s">
        <v>11</v>
      </c>
      <c r="D3438">
        <v>89</v>
      </c>
      <c r="E3438">
        <v>1</v>
      </c>
      <c r="F3438">
        <v>1.1200000000000001</v>
      </c>
      <c r="G3438">
        <v>39.97</v>
      </c>
      <c r="H3438">
        <v>3557.33</v>
      </c>
    </row>
    <row r="3439" spans="1:8" x14ac:dyDescent="0.35">
      <c r="A3439" t="s">
        <v>7</v>
      </c>
      <c r="B3439" t="s">
        <v>12</v>
      </c>
      <c r="C3439" t="s">
        <v>10</v>
      </c>
      <c r="D3439">
        <v>279</v>
      </c>
      <c r="E3439">
        <v>12</v>
      </c>
      <c r="F3439">
        <v>4.3</v>
      </c>
      <c r="G3439">
        <v>21.79</v>
      </c>
      <c r="H3439">
        <v>6079.41</v>
      </c>
    </row>
    <row r="3440" spans="1:8" x14ac:dyDescent="0.35">
      <c r="A3440" t="s">
        <v>7</v>
      </c>
      <c r="B3440" t="s">
        <v>12</v>
      </c>
      <c r="C3440" t="s">
        <v>9</v>
      </c>
      <c r="D3440">
        <v>62</v>
      </c>
      <c r="E3440">
        <v>6</v>
      </c>
      <c r="F3440">
        <v>9.68</v>
      </c>
      <c r="G3440">
        <v>40.369999999999997</v>
      </c>
      <c r="H3440">
        <v>2502.94</v>
      </c>
    </row>
    <row r="3441" spans="1:8" x14ac:dyDescent="0.35">
      <c r="A3441" t="s">
        <v>7</v>
      </c>
      <c r="B3441" t="s">
        <v>12</v>
      </c>
      <c r="C3441" t="s">
        <v>10</v>
      </c>
      <c r="D3441">
        <v>95</v>
      </c>
      <c r="E3441">
        <v>7</v>
      </c>
      <c r="F3441">
        <v>7.37</v>
      </c>
      <c r="G3441">
        <v>55.17</v>
      </c>
      <c r="H3441">
        <v>5241.1499999999996</v>
      </c>
    </row>
    <row r="3442" spans="1:8" x14ac:dyDescent="0.35">
      <c r="A3442" t="s">
        <v>7</v>
      </c>
      <c r="B3442" t="s">
        <v>12</v>
      </c>
      <c r="C3442" t="s">
        <v>10</v>
      </c>
      <c r="D3442">
        <v>300</v>
      </c>
      <c r="E3442">
        <v>13</v>
      </c>
      <c r="F3442">
        <v>4.33</v>
      </c>
      <c r="G3442">
        <v>29.55</v>
      </c>
      <c r="H3442">
        <v>8865</v>
      </c>
    </row>
    <row r="3443" spans="1:8" x14ac:dyDescent="0.35">
      <c r="A3443" t="s">
        <v>8</v>
      </c>
      <c r="B3443" t="s">
        <v>12</v>
      </c>
      <c r="C3443" t="s">
        <v>9</v>
      </c>
      <c r="D3443">
        <v>260</v>
      </c>
      <c r="E3443">
        <v>13</v>
      </c>
      <c r="F3443">
        <v>5</v>
      </c>
      <c r="G3443">
        <v>65.790000000000006</v>
      </c>
      <c r="H3443">
        <v>17105.400000000001</v>
      </c>
    </row>
    <row r="3444" spans="1:8" x14ac:dyDescent="0.35">
      <c r="A3444" t="s">
        <v>8</v>
      </c>
      <c r="B3444" t="s">
        <v>12</v>
      </c>
      <c r="C3444" t="s">
        <v>9</v>
      </c>
      <c r="D3444">
        <v>296</v>
      </c>
      <c r="E3444">
        <v>4</v>
      </c>
      <c r="F3444">
        <v>1.35</v>
      </c>
      <c r="G3444">
        <v>21.55</v>
      </c>
      <c r="H3444">
        <v>6378.8</v>
      </c>
    </row>
    <row r="3445" spans="1:8" x14ac:dyDescent="0.35">
      <c r="A3445" t="s">
        <v>7</v>
      </c>
      <c r="B3445" t="s">
        <v>12</v>
      </c>
      <c r="C3445" t="s">
        <v>9</v>
      </c>
      <c r="D3445">
        <v>250</v>
      </c>
      <c r="E3445">
        <v>3</v>
      </c>
      <c r="F3445">
        <v>1.2</v>
      </c>
      <c r="G3445">
        <v>49.39</v>
      </c>
      <c r="H3445">
        <v>12347.5</v>
      </c>
    </row>
    <row r="3446" spans="1:8" x14ac:dyDescent="0.35">
      <c r="A3446" t="s">
        <v>8</v>
      </c>
      <c r="B3446" t="s">
        <v>12</v>
      </c>
      <c r="C3446" t="s">
        <v>9</v>
      </c>
      <c r="D3446">
        <v>173</v>
      </c>
      <c r="E3446">
        <v>17</v>
      </c>
      <c r="F3446">
        <v>9.83</v>
      </c>
      <c r="G3446">
        <v>63.57</v>
      </c>
      <c r="H3446">
        <v>10997.61</v>
      </c>
    </row>
    <row r="3447" spans="1:8" x14ac:dyDescent="0.35">
      <c r="A3447" t="s">
        <v>7</v>
      </c>
      <c r="B3447" t="s">
        <v>12</v>
      </c>
      <c r="C3447" t="s">
        <v>10</v>
      </c>
      <c r="D3447">
        <v>212</v>
      </c>
      <c r="E3447">
        <v>18</v>
      </c>
      <c r="F3447">
        <v>8.49</v>
      </c>
      <c r="G3447">
        <v>41.09</v>
      </c>
      <c r="H3447">
        <v>8711.08</v>
      </c>
    </row>
    <row r="3448" spans="1:8" x14ac:dyDescent="0.35">
      <c r="A3448" t="s">
        <v>8</v>
      </c>
      <c r="B3448" t="s">
        <v>12</v>
      </c>
      <c r="C3448" t="s">
        <v>9</v>
      </c>
      <c r="D3448">
        <v>261</v>
      </c>
      <c r="E3448">
        <v>8</v>
      </c>
      <c r="F3448">
        <v>3.07</v>
      </c>
      <c r="G3448">
        <v>11.69</v>
      </c>
      <c r="H3448">
        <v>3051.09</v>
      </c>
    </row>
    <row r="3449" spans="1:8" x14ac:dyDescent="0.35">
      <c r="A3449" t="s">
        <v>7</v>
      </c>
      <c r="B3449" t="s">
        <v>12</v>
      </c>
      <c r="C3449" t="s">
        <v>10</v>
      </c>
      <c r="D3449">
        <v>291</v>
      </c>
      <c r="E3449">
        <v>18</v>
      </c>
      <c r="F3449">
        <v>6.19</v>
      </c>
      <c r="G3449">
        <v>26.16</v>
      </c>
      <c r="H3449">
        <v>7612.56</v>
      </c>
    </row>
    <row r="3450" spans="1:8" x14ac:dyDescent="0.35">
      <c r="A3450" t="s">
        <v>6</v>
      </c>
      <c r="B3450" t="s">
        <v>12</v>
      </c>
      <c r="C3450" t="s">
        <v>9</v>
      </c>
      <c r="D3450">
        <v>287</v>
      </c>
      <c r="E3450">
        <v>21</v>
      </c>
      <c r="F3450">
        <v>7.32</v>
      </c>
      <c r="G3450">
        <v>11.38</v>
      </c>
      <c r="H3450">
        <v>3266.06</v>
      </c>
    </row>
    <row r="3451" spans="1:8" x14ac:dyDescent="0.35">
      <c r="A3451" t="s">
        <v>5</v>
      </c>
      <c r="B3451" t="s">
        <v>12</v>
      </c>
      <c r="C3451" t="s">
        <v>9</v>
      </c>
      <c r="D3451">
        <v>201</v>
      </c>
      <c r="E3451">
        <v>2</v>
      </c>
      <c r="F3451">
        <v>1</v>
      </c>
      <c r="G3451">
        <v>30.25</v>
      </c>
      <c r="H3451">
        <v>6080.25</v>
      </c>
    </row>
    <row r="3452" spans="1:8" x14ac:dyDescent="0.35">
      <c r="A3452" t="s">
        <v>6</v>
      </c>
      <c r="B3452" t="s">
        <v>12</v>
      </c>
      <c r="C3452" t="s">
        <v>9</v>
      </c>
      <c r="D3452">
        <v>238</v>
      </c>
      <c r="E3452">
        <v>20</v>
      </c>
      <c r="F3452">
        <v>8.4</v>
      </c>
      <c r="G3452">
        <v>55.39</v>
      </c>
      <c r="H3452">
        <v>13182.82</v>
      </c>
    </row>
    <row r="3453" spans="1:8" x14ac:dyDescent="0.35">
      <c r="A3453" t="s">
        <v>8</v>
      </c>
      <c r="B3453" t="s">
        <v>12</v>
      </c>
      <c r="C3453" t="s">
        <v>9</v>
      </c>
      <c r="D3453">
        <v>59</v>
      </c>
      <c r="E3453">
        <v>1</v>
      </c>
      <c r="F3453">
        <v>1.69</v>
      </c>
      <c r="G3453">
        <v>55.14</v>
      </c>
      <c r="H3453">
        <v>3253.26</v>
      </c>
    </row>
    <row r="3454" spans="1:8" x14ac:dyDescent="0.35">
      <c r="A3454" t="s">
        <v>8</v>
      </c>
      <c r="B3454" t="s">
        <v>12</v>
      </c>
      <c r="C3454" t="s">
        <v>9</v>
      </c>
      <c r="D3454">
        <v>161</v>
      </c>
      <c r="E3454">
        <v>3</v>
      </c>
      <c r="F3454">
        <v>1.86</v>
      </c>
      <c r="G3454">
        <v>40.33</v>
      </c>
      <c r="H3454">
        <v>6493.13</v>
      </c>
    </row>
    <row r="3455" spans="1:8" x14ac:dyDescent="0.35">
      <c r="A3455" t="s">
        <v>6</v>
      </c>
      <c r="B3455" t="s">
        <v>12</v>
      </c>
      <c r="C3455" t="s">
        <v>9</v>
      </c>
      <c r="D3455">
        <v>194</v>
      </c>
      <c r="E3455">
        <v>16</v>
      </c>
      <c r="F3455">
        <v>8.25</v>
      </c>
      <c r="G3455">
        <v>69.900000000000006</v>
      </c>
      <c r="H3455">
        <v>13560.6</v>
      </c>
    </row>
    <row r="3456" spans="1:8" x14ac:dyDescent="0.35">
      <c r="A3456" t="s">
        <v>6</v>
      </c>
      <c r="B3456" t="s">
        <v>12</v>
      </c>
      <c r="C3456" t="s">
        <v>11</v>
      </c>
      <c r="D3456">
        <v>283</v>
      </c>
      <c r="E3456">
        <v>11</v>
      </c>
      <c r="F3456">
        <v>3.89</v>
      </c>
      <c r="G3456">
        <v>55.35</v>
      </c>
      <c r="H3456">
        <v>15664.05</v>
      </c>
    </row>
    <row r="3457" spans="1:8" x14ac:dyDescent="0.35">
      <c r="A3457" t="s">
        <v>8</v>
      </c>
      <c r="B3457" t="s">
        <v>12</v>
      </c>
      <c r="C3457" t="s">
        <v>9</v>
      </c>
      <c r="D3457">
        <v>279</v>
      </c>
      <c r="E3457">
        <v>6</v>
      </c>
      <c r="F3457">
        <v>2.15</v>
      </c>
      <c r="G3457">
        <v>60.57</v>
      </c>
      <c r="H3457">
        <v>16899.03</v>
      </c>
    </row>
    <row r="3458" spans="1:8" x14ac:dyDescent="0.35">
      <c r="A3458" t="s">
        <v>7</v>
      </c>
      <c r="B3458" t="s">
        <v>12</v>
      </c>
      <c r="C3458" t="s">
        <v>9</v>
      </c>
      <c r="D3458">
        <v>278</v>
      </c>
      <c r="E3458">
        <v>4</v>
      </c>
      <c r="F3458">
        <v>1.44</v>
      </c>
      <c r="G3458">
        <v>24.7</v>
      </c>
      <c r="H3458">
        <v>6866.6</v>
      </c>
    </row>
    <row r="3459" spans="1:8" x14ac:dyDescent="0.35">
      <c r="A3459" t="s">
        <v>5</v>
      </c>
      <c r="B3459" t="s">
        <v>12</v>
      </c>
      <c r="C3459" t="s">
        <v>9</v>
      </c>
      <c r="D3459">
        <v>94</v>
      </c>
      <c r="E3459">
        <v>0</v>
      </c>
      <c r="F3459">
        <v>0</v>
      </c>
      <c r="G3459">
        <v>56.67</v>
      </c>
      <c r="H3459">
        <v>5326.98</v>
      </c>
    </row>
    <row r="3460" spans="1:8" x14ac:dyDescent="0.35">
      <c r="A3460" t="s">
        <v>7</v>
      </c>
      <c r="B3460" t="s">
        <v>12</v>
      </c>
      <c r="C3460" t="s">
        <v>9</v>
      </c>
      <c r="D3460">
        <v>68</v>
      </c>
      <c r="E3460">
        <v>1</v>
      </c>
      <c r="F3460">
        <v>1.47</v>
      </c>
      <c r="G3460">
        <v>18.079999999999998</v>
      </c>
      <c r="H3460">
        <v>1229.44</v>
      </c>
    </row>
    <row r="3461" spans="1:8" x14ac:dyDescent="0.35">
      <c r="A3461" t="s">
        <v>7</v>
      </c>
      <c r="B3461" t="s">
        <v>12</v>
      </c>
      <c r="C3461" t="s">
        <v>10</v>
      </c>
      <c r="D3461">
        <v>269</v>
      </c>
      <c r="E3461">
        <v>8</v>
      </c>
      <c r="F3461">
        <v>2.97</v>
      </c>
      <c r="G3461">
        <v>61.13</v>
      </c>
      <c r="H3461">
        <v>16443.97</v>
      </c>
    </row>
    <row r="3462" spans="1:8" x14ac:dyDescent="0.35">
      <c r="A3462" t="s">
        <v>8</v>
      </c>
      <c r="B3462" t="s">
        <v>12</v>
      </c>
      <c r="C3462" t="s">
        <v>9</v>
      </c>
      <c r="D3462">
        <v>291</v>
      </c>
      <c r="E3462">
        <v>20</v>
      </c>
      <c r="F3462">
        <v>6.87</v>
      </c>
      <c r="G3462">
        <v>15.39</v>
      </c>
      <c r="H3462">
        <v>4478.49</v>
      </c>
    </row>
    <row r="3463" spans="1:8" x14ac:dyDescent="0.35">
      <c r="A3463" t="s">
        <v>6</v>
      </c>
      <c r="B3463" t="s">
        <v>12</v>
      </c>
      <c r="C3463" t="s">
        <v>9</v>
      </c>
      <c r="D3463">
        <v>227</v>
      </c>
      <c r="E3463">
        <v>5</v>
      </c>
      <c r="F3463">
        <v>2.2000000000000002</v>
      </c>
      <c r="G3463">
        <v>55.88</v>
      </c>
      <c r="H3463">
        <v>12684.76</v>
      </c>
    </row>
    <row r="3464" spans="1:8" x14ac:dyDescent="0.35">
      <c r="A3464" t="s">
        <v>8</v>
      </c>
      <c r="B3464" t="s">
        <v>12</v>
      </c>
      <c r="C3464" t="s">
        <v>9</v>
      </c>
      <c r="D3464">
        <v>284</v>
      </c>
      <c r="E3464">
        <v>28</v>
      </c>
      <c r="F3464">
        <v>9.86</v>
      </c>
      <c r="G3464">
        <v>14.81</v>
      </c>
      <c r="H3464">
        <v>4206.04</v>
      </c>
    </row>
    <row r="3465" spans="1:8" x14ac:dyDescent="0.35">
      <c r="A3465" t="s">
        <v>7</v>
      </c>
      <c r="B3465" t="s">
        <v>12</v>
      </c>
      <c r="C3465" t="s">
        <v>10</v>
      </c>
      <c r="D3465">
        <v>253</v>
      </c>
      <c r="E3465">
        <v>2</v>
      </c>
      <c r="F3465">
        <v>0.79</v>
      </c>
      <c r="G3465">
        <v>52.17</v>
      </c>
      <c r="H3465">
        <v>13199.01</v>
      </c>
    </row>
    <row r="3466" spans="1:8" x14ac:dyDescent="0.35">
      <c r="A3466" t="s">
        <v>7</v>
      </c>
      <c r="B3466" t="s">
        <v>12</v>
      </c>
      <c r="C3466" t="s">
        <v>9</v>
      </c>
      <c r="D3466">
        <v>96</v>
      </c>
      <c r="E3466">
        <v>5</v>
      </c>
      <c r="F3466">
        <v>5.21</v>
      </c>
      <c r="G3466">
        <v>20.440000000000001</v>
      </c>
      <c r="H3466">
        <v>1962.24</v>
      </c>
    </row>
    <row r="3467" spans="1:8" x14ac:dyDescent="0.35">
      <c r="A3467" t="s">
        <v>7</v>
      </c>
      <c r="B3467" t="s">
        <v>12</v>
      </c>
      <c r="C3467" t="s">
        <v>10</v>
      </c>
      <c r="D3467">
        <v>89</v>
      </c>
      <c r="E3467">
        <v>8</v>
      </c>
      <c r="F3467">
        <v>8.99</v>
      </c>
      <c r="G3467">
        <v>9.3000000000000007</v>
      </c>
      <c r="H3467">
        <v>827.7</v>
      </c>
    </row>
    <row r="3468" spans="1:8" x14ac:dyDescent="0.35">
      <c r="A3468" t="s">
        <v>5</v>
      </c>
      <c r="B3468" t="s">
        <v>12</v>
      </c>
      <c r="C3468" t="s">
        <v>9</v>
      </c>
      <c r="D3468">
        <v>296</v>
      </c>
      <c r="E3468">
        <v>22</v>
      </c>
      <c r="F3468">
        <v>7.43</v>
      </c>
      <c r="G3468">
        <v>68.5</v>
      </c>
      <c r="H3468">
        <v>20276</v>
      </c>
    </row>
    <row r="3469" spans="1:8" x14ac:dyDescent="0.35">
      <c r="A3469" t="s">
        <v>8</v>
      </c>
      <c r="B3469" t="s">
        <v>12</v>
      </c>
      <c r="C3469" t="s">
        <v>9</v>
      </c>
      <c r="D3469">
        <v>143</v>
      </c>
      <c r="E3469">
        <v>13</v>
      </c>
      <c r="F3469">
        <v>9.09</v>
      </c>
      <c r="G3469">
        <v>19.420000000000002</v>
      </c>
      <c r="H3469">
        <v>2777.06</v>
      </c>
    </row>
    <row r="3470" spans="1:8" x14ac:dyDescent="0.35">
      <c r="A3470" t="s">
        <v>7</v>
      </c>
      <c r="B3470" t="s">
        <v>12</v>
      </c>
      <c r="C3470" t="s">
        <v>10</v>
      </c>
      <c r="D3470">
        <v>278</v>
      </c>
      <c r="E3470">
        <v>23</v>
      </c>
      <c r="F3470">
        <v>8.27</v>
      </c>
      <c r="G3470">
        <v>44.08</v>
      </c>
      <c r="H3470">
        <v>12254.24</v>
      </c>
    </row>
    <row r="3471" spans="1:8" x14ac:dyDescent="0.35">
      <c r="A3471" t="s">
        <v>6</v>
      </c>
      <c r="B3471" t="s">
        <v>12</v>
      </c>
      <c r="C3471" t="s">
        <v>9</v>
      </c>
      <c r="D3471">
        <v>159</v>
      </c>
      <c r="E3471">
        <v>7</v>
      </c>
      <c r="F3471">
        <v>4.4000000000000004</v>
      </c>
      <c r="G3471">
        <v>69.61</v>
      </c>
      <c r="H3471">
        <v>11067.99</v>
      </c>
    </row>
    <row r="3472" spans="1:8" x14ac:dyDescent="0.35">
      <c r="A3472" t="s">
        <v>7</v>
      </c>
      <c r="B3472" t="s">
        <v>12</v>
      </c>
      <c r="C3472" t="s">
        <v>9</v>
      </c>
      <c r="D3472">
        <v>108</v>
      </c>
      <c r="E3472">
        <v>9</v>
      </c>
      <c r="F3472">
        <v>8.33</v>
      </c>
      <c r="G3472">
        <v>68.77</v>
      </c>
      <c r="H3472">
        <v>7427.16</v>
      </c>
    </row>
    <row r="3473" spans="1:8" x14ac:dyDescent="0.35">
      <c r="A3473" t="s">
        <v>8</v>
      </c>
      <c r="B3473" t="s">
        <v>12</v>
      </c>
      <c r="C3473" t="s">
        <v>9</v>
      </c>
      <c r="D3473">
        <v>133</v>
      </c>
      <c r="E3473">
        <v>2</v>
      </c>
      <c r="F3473">
        <v>1.5</v>
      </c>
      <c r="G3473">
        <v>40.54</v>
      </c>
      <c r="H3473">
        <v>5391.82</v>
      </c>
    </row>
    <row r="3474" spans="1:8" x14ac:dyDescent="0.35">
      <c r="A3474" t="s">
        <v>7</v>
      </c>
      <c r="B3474" t="s">
        <v>12</v>
      </c>
      <c r="C3474" t="s">
        <v>10</v>
      </c>
      <c r="D3474">
        <v>284</v>
      </c>
      <c r="E3474">
        <v>5</v>
      </c>
      <c r="F3474">
        <v>1.76</v>
      </c>
      <c r="G3474">
        <v>45.31</v>
      </c>
      <c r="H3474">
        <v>12868.04</v>
      </c>
    </row>
    <row r="3475" spans="1:8" x14ac:dyDescent="0.35">
      <c r="A3475" t="s">
        <v>7</v>
      </c>
      <c r="B3475" t="s">
        <v>12</v>
      </c>
      <c r="C3475" t="s">
        <v>10</v>
      </c>
      <c r="D3475">
        <v>213</v>
      </c>
      <c r="E3475">
        <v>7</v>
      </c>
      <c r="F3475">
        <v>3.29</v>
      </c>
      <c r="G3475">
        <v>31.45</v>
      </c>
      <c r="H3475">
        <v>6698.85</v>
      </c>
    </row>
    <row r="3476" spans="1:8" x14ac:dyDescent="0.35">
      <c r="A3476" t="s">
        <v>5</v>
      </c>
      <c r="B3476" t="s">
        <v>12</v>
      </c>
      <c r="C3476" t="s">
        <v>9</v>
      </c>
      <c r="D3476">
        <v>55</v>
      </c>
      <c r="E3476">
        <v>5</v>
      </c>
      <c r="F3476">
        <v>9.09</v>
      </c>
      <c r="G3476">
        <v>23.29</v>
      </c>
      <c r="H3476">
        <v>1280.95</v>
      </c>
    </row>
    <row r="3477" spans="1:8" x14ac:dyDescent="0.35">
      <c r="A3477" t="s">
        <v>7</v>
      </c>
      <c r="B3477" t="s">
        <v>12</v>
      </c>
      <c r="C3477" t="s">
        <v>10</v>
      </c>
      <c r="D3477">
        <v>216</v>
      </c>
      <c r="E3477">
        <v>12</v>
      </c>
      <c r="F3477">
        <v>5.56</v>
      </c>
      <c r="G3477">
        <v>26.66</v>
      </c>
      <c r="H3477">
        <v>5758.56</v>
      </c>
    </row>
    <row r="3478" spans="1:8" x14ac:dyDescent="0.35">
      <c r="A3478" t="s">
        <v>6</v>
      </c>
      <c r="B3478" t="s">
        <v>12</v>
      </c>
      <c r="C3478" t="s">
        <v>9</v>
      </c>
      <c r="D3478">
        <v>85</v>
      </c>
      <c r="E3478">
        <v>4</v>
      </c>
      <c r="F3478">
        <v>4.71</v>
      </c>
      <c r="G3478">
        <v>25.82</v>
      </c>
      <c r="H3478">
        <v>2194.6999999999998</v>
      </c>
    </row>
    <row r="3479" spans="1:8" x14ac:dyDescent="0.35">
      <c r="A3479" t="s">
        <v>7</v>
      </c>
      <c r="B3479" t="s">
        <v>12</v>
      </c>
      <c r="C3479" t="s">
        <v>9</v>
      </c>
      <c r="D3479">
        <v>259</v>
      </c>
      <c r="E3479">
        <v>11</v>
      </c>
      <c r="F3479">
        <v>4.25</v>
      </c>
      <c r="G3479">
        <v>63.91</v>
      </c>
      <c r="H3479">
        <v>16552.689999999999</v>
      </c>
    </row>
    <row r="3480" spans="1:8" x14ac:dyDescent="0.35">
      <c r="A3480" t="s">
        <v>7</v>
      </c>
      <c r="B3480" t="s">
        <v>12</v>
      </c>
      <c r="C3480" t="s">
        <v>9</v>
      </c>
      <c r="D3480">
        <v>58</v>
      </c>
      <c r="E3480">
        <v>4</v>
      </c>
      <c r="F3480">
        <v>6.9</v>
      </c>
      <c r="G3480">
        <v>9.65</v>
      </c>
      <c r="H3480">
        <v>559.70000000000005</v>
      </c>
    </row>
    <row r="3481" spans="1:8" x14ac:dyDescent="0.35">
      <c r="A3481" t="s">
        <v>7</v>
      </c>
      <c r="B3481" t="s">
        <v>12</v>
      </c>
      <c r="C3481" t="s">
        <v>10</v>
      </c>
      <c r="D3481">
        <v>126</v>
      </c>
      <c r="E3481">
        <v>4</v>
      </c>
      <c r="F3481">
        <v>3.17</v>
      </c>
      <c r="G3481">
        <v>37.700000000000003</v>
      </c>
      <c r="H3481">
        <v>4750.2</v>
      </c>
    </row>
    <row r="3482" spans="1:8" x14ac:dyDescent="0.35">
      <c r="A3482" t="s">
        <v>6</v>
      </c>
      <c r="B3482" t="s">
        <v>12</v>
      </c>
      <c r="C3482" t="s">
        <v>9</v>
      </c>
      <c r="D3482">
        <v>99</v>
      </c>
      <c r="E3482">
        <v>2</v>
      </c>
      <c r="F3482">
        <v>2.02</v>
      </c>
      <c r="G3482">
        <v>38.29</v>
      </c>
      <c r="H3482">
        <v>3790.71</v>
      </c>
    </row>
    <row r="3483" spans="1:8" x14ac:dyDescent="0.35">
      <c r="A3483" t="s">
        <v>8</v>
      </c>
      <c r="B3483" t="s">
        <v>12</v>
      </c>
      <c r="C3483" t="s">
        <v>9</v>
      </c>
      <c r="D3483">
        <v>102</v>
      </c>
      <c r="E3483">
        <v>2</v>
      </c>
      <c r="F3483">
        <v>1.96</v>
      </c>
      <c r="G3483">
        <v>6.17</v>
      </c>
      <c r="H3483">
        <v>629.34</v>
      </c>
    </row>
    <row r="3484" spans="1:8" x14ac:dyDescent="0.35">
      <c r="A3484" t="s">
        <v>7</v>
      </c>
      <c r="B3484" t="s">
        <v>12</v>
      </c>
      <c r="C3484" t="s">
        <v>10</v>
      </c>
      <c r="D3484">
        <v>202</v>
      </c>
      <c r="E3484">
        <v>19</v>
      </c>
      <c r="F3484">
        <v>9.41</v>
      </c>
      <c r="G3484">
        <v>44.78</v>
      </c>
      <c r="H3484">
        <v>9045.56</v>
      </c>
    </row>
    <row r="3485" spans="1:8" x14ac:dyDescent="0.35">
      <c r="A3485" t="s">
        <v>7</v>
      </c>
      <c r="B3485" t="s">
        <v>12</v>
      </c>
      <c r="C3485" t="s">
        <v>10</v>
      </c>
      <c r="D3485">
        <v>298</v>
      </c>
      <c r="E3485">
        <v>5</v>
      </c>
      <c r="F3485">
        <v>1.68</v>
      </c>
      <c r="G3485">
        <v>10.07</v>
      </c>
      <c r="H3485">
        <v>3000.86</v>
      </c>
    </row>
    <row r="3486" spans="1:8" x14ac:dyDescent="0.35">
      <c r="A3486" t="s">
        <v>6</v>
      </c>
      <c r="B3486" t="s">
        <v>12</v>
      </c>
      <c r="C3486" t="s">
        <v>11</v>
      </c>
      <c r="D3486">
        <v>292</v>
      </c>
      <c r="E3486">
        <v>15</v>
      </c>
      <c r="F3486">
        <v>5.14</v>
      </c>
      <c r="G3486">
        <v>23.17</v>
      </c>
      <c r="H3486">
        <v>6765.64</v>
      </c>
    </row>
    <row r="3487" spans="1:8" x14ac:dyDescent="0.35">
      <c r="A3487" t="s">
        <v>7</v>
      </c>
      <c r="B3487" t="s">
        <v>12</v>
      </c>
      <c r="C3487" t="s">
        <v>10</v>
      </c>
      <c r="D3487">
        <v>237</v>
      </c>
      <c r="E3487">
        <v>23</v>
      </c>
      <c r="F3487">
        <v>9.6999999999999993</v>
      </c>
      <c r="G3487">
        <v>36.49</v>
      </c>
      <c r="H3487">
        <v>8648.1299999999992</v>
      </c>
    </row>
    <row r="3488" spans="1:8" x14ac:dyDescent="0.35">
      <c r="A3488" t="s">
        <v>7</v>
      </c>
      <c r="B3488" t="s">
        <v>12</v>
      </c>
      <c r="C3488" t="s">
        <v>10</v>
      </c>
      <c r="D3488">
        <v>54</v>
      </c>
      <c r="E3488">
        <v>2</v>
      </c>
      <c r="F3488">
        <v>3.7</v>
      </c>
      <c r="G3488">
        <v>26.69</v>
      </c>
      <c r="H3488">
        <v>1441.26</v>
      </c>
    </row>
    <row r="3489" spans="1:8" x14ac:dyDescent="0.35">
      <c r="A3489" t="s">
        <v>6</v>
      </c>
      <c r="B3489" t="s">
        <v>12</v>
      </c>
      <c r="C3489" t="s">
        <v>9</v>
      </c>
      <c r="D3489">
        <v>128</v>
      </c>
      <c r="E3489">
        <v>10</v>
      </c>
      <c r="F3489">
        <v>7.81</v>
      </c>
      <c r="G3489">
        <v>15</v>
      </c>
      <c r="H3489">
        <v>1920</v>
      </c>
    </row>
    <row r="3490" spans="1:8" x14ac:dyDescent="0.35">
      <c r="A3490" t="s">
        <v>8</v>
      </c>
      <c r="B3490" t="s">
        <v>12</v>
      </c>
      <c r="C3490" t="s">
        <v>9</v>
      </c>
      <c r="D3490">
        <v>164</v>
      </c>
      <c r="E3490">
        <v>2</v>
      </c>
      <c r="F3490">
        <v>1.22</v>
      </c>
      <c r="G3490">
        <v>57.51</v>
      </c>
      <c r="H3490">
        <v>9431.64</v>
      </c>
    </row>
    <row r="3491" spans="1:8" x14ac:dyDescent="0.35">
      <c r="A3491" t="s">
        <v>6</v>
      </c>
      <c r="B3491" t="s">
        <v>12</v>
      </c>
      <c r="C3491" t="s">
        <v>9</v>
      </c>
      <c r="D3491">
        <v>183</v>
      </c>
      <c r="E3491">
        <v>4</v>
      </c>
      <c r="F3491">
        <v>2.19</v>
      </c>
      <c r="G3491">
        <v>32.24</v>
      </c>
      <c r="H3491">
        <v>5899.92</v>
      </c>
    </row>
    <row r="3492" spans="1:8" x14ac:dyDescent="0.35">
      <c r="A3492" t="s">
        <v>8</v>
      </c>
      <c r="B3492" t="s">
        <v>12</v>
      </c>
      <c r="C3492" t="s">
        <v>9</v>
      </c>
      <c r="D3492">
        <v>208</v>
      </c>
      <c r="E3492">
        <v>7</v>
      </c>
      <c r="F3492">
        <v>3.37</v>
      </c>
      <c r="G3492">
        <v>42.13</v>
      </c>
      <c r="H3492">
        <v>8763.0400000000009</v>
      </c>
    </row>
    <row r="3493" spans="1:8" x14ac:dyDescent="0.35">
      <c r="A3493" t="s">
        <v>5</v>
      </c>
      <c r="B3493" t="s">
        <v>12</v>
      </c>
      <c r="C3493" t="s">
        <v>9</v>
      </c>
      <c r="D3493">
        <v>240</v>
      </c>
      <c r="E3493">
        <v>22</v>
      </c>
      <c r="F3493">
        <v>9.17</v>
      </c>
      <c r="G3493">
        <v>63.44</v>
      </c>
      <c r="H3493">
        <v>15225.6</v>
      </c>
    </row>
    <row r="3494" spans="1:8" x14ac:dyDescent="0.35">
      <c r="A3494" t="s">
        <v>7</v>
      </c>
      <c r="B3494" t="s">
        <v>12</v>
      </c>
      <c r="C3494" t="s">
        <v>9</v>
      </c>
      <c r="D3494">
        <v>93</v>
      </c>
      <c r="E3494">
        <v>3</v>
      </c>
      <c r="F3494">
        <v>3.23</v>
      </c>
      <c r="G3494">
        <v>16.010000000000002</v>
      </c>
      <c r="H3494">
        <v>1488.93</v>
      </c>
    </row>
    <row r="3495" spans="1:8" x14ac:dyDescent="0.35">
      <c r="A3495" t="s">
        <v>6</v>
      </c>
      <c r="B3495" t="s">
        <v>12</v>
      </c>
      <c r="C3495" t="s">
        <v>9</v>
      </c>
      <c r="D3495">
        <v>159</v>
      </c>
      <c r="E3495">
        <v>13</v>
      </c>
      <c r="F3495">
        <v>8.18</v>
      </c>
      <c r="G3495">
        <v>6.65</v>
      </c>
      <c r="H3495">
        <v>1057.3499999999999</v>
      </c>
    </row>
    <row r="3496" spans="1:8" x14ac:dyDescent="0.35">
      <c r="A3496" t="s">
        <v>8</v>
      </c>
      <c r="B3496" t="s">
        <v>12</v>
      </c>
      <c r="C3496" t="s">
        <v>9</v>
      </c>
      <c r="D3496">
        <v>108</v>
      </c>
      <c r="E3496">
        <v>10</v>
      </c>
      <c r="F3496">
        <v>9.26</v>
      </c>
      <c r="G3496">
        <v>57.89</v>
      </c>
      <c r="H3496">
        <v>6252.12</v>
      </c>
    </row>
    <row r="3497" spans="1:8" x14ac:dyDescent="0.35">
      <c r="A3497" t="s">
        <v>5</v>
      </c>
      <c r="B3497" t="s">
        <v>12</v>
      </c>
      <c r="C3497" t="s">
        <v>9</v>
      </c>
      <c r="D3497">
        <v>70</v>
      </c>
      <c r="E3497">
        <v>7</v>
      </c>
      <c r="F3497">
        <v>10</v>
      </c>
      <c r="G3497">
        <v>44.26</v>
      </c>
      <c r="H3497">
        <v>3098.2</v>
      </c>
    </row>
    <row r="3498" spans="1:8" x14ac:dyDescent="0.35">
      <c r="A3498" t="s">
        <v>8</v>
      </c>
      <c r="B3498" t="s">
        <v>12</v>
      </c>
      <c r="C3498" t="s">
        <v>9</v>
      </c>
      <c r="D3498">
        <v>100</v>
      </c>
      <c r="E3498">
        <v>5</v>
      </c>
      <c r="F3498">
        <v>5</v>
      </c>
      <c r="G3498">
        <v>39.81</v>
      </c>
      <c r="H3498">
        <v>3981</v>
      </c>
    </row>
    <row r="3499" spans="1:8" x14ac:dyDescent="0.35">
      <c r="A3499" t="s">
        <v>6</v>
      </c>
      <c r="B3499" t="s">
        <v>12</v>
      </c>
      <c r="C3499" t="s">
        <v>11</v>
      </c>
      <c r="D3499">
        <v>207</v>
      </c>
      <c r="E3499">
        <v>18</v>
      </c>
      <c r="F3499">
        <v>8.6999999999999993</v>
      </c>
      <c r="G3499">
        <v>40.15</v>
      </c>
      <c r="H3499">
        <v>8311.0499999999993</v>
      </c>
    </row>
    <row r="3500" spans="1:8" x14ac:dyDescent="0.35">
      <c r="A3500" t="s">
        <v>7</v>
      </c>
      <c r="B3500" t="s">
        <v>12</v>
      </c>
      <c r="C3500" t="s">
        <v>10</v>
      </c>
      <c r="D3500">
        <v>194</v>
      </c>
      <c r="E3500">
        <v>4</v>
      </c>
      <c r="F3500">
        <v>2.06</v>
      </c>
      <c r="G3500">
        <v>66.83</v>
      </c>
      <c r="H3500">
        <v>12965.02</v>
      </c>
    </row>
    <row r="3501" spans="1:8" x14ac:dyDescent="0.35">
      <c r="A3501" t="s">
        <v>8</v>
      </c>
      <c r="B3501" t="s">
        <v>12</v>
      </c>
      <c r="C3501" t="s">
        <v>9</v>
      </c>
      <c r="D3501">
        <v>56</v>
      </c>
      <c r="E3501">
        <v>4</v>
      </c>
      <c r="F3501">
        <v>7.14</v>
      </c>
      <c r="G3501">
        <v>50.78</v>
      </c>
      <c r="H3501">
        <v>2843.68</v>
      </c>
    </row>
    <row r="3502" spans="1:8" x14ac:dyDescent="0.35">
      <c r="A3502" t="s">
        <v>8</v>
      </c>
      <c r="B3502" t="s">
        <v>12</v>
      </c>
      <c r="C3502" t="s">
        <v>9</v>
      </c>
      <c r="D3502">
        <v>75</v>
      </c>
      <c r="E3502">
        <v>4</v>
      </c>
      <c r="F3502">
        <v>5.33</v>
      </c>
      <c r="G3502">
        <v>41.23</v>
      </c>
      <c r="H3502">
        <v>3092.25</v>
      </c>
    </row>
    <row r="3503" spans="1:8" x14ac:dyDescent="0.35">
      <c r="A3503" t="s">
        <v>8</v>
      </c>
      <c r="B3503" t="s">
        <v>12</v>
      </c>
      <c r="C3503" t="s">
        <v>9</v>
      </c>
      <c r="D3503">
        <v>181</v>
      </c>
      <c r="E3503">
        <v>17</v>
      </c>
      <c r="F3503">
        <v>9.39</v>
      </c>
      <c r="G3503">
        <v>14.15</v>
      </c>
      <c r="H3503">
        <v>2561.15</v>
      </c>
    </row>
    <row r="3504" spans="1:8" x14ac:dyDescent="0.35">
      <c r="A3504" t="s">
        <v>6</v>
      </c>
      <c r="B3504" t="s">
        <v>12</v>
      </c>
      <c r="C3504" t="s">
        <v>11</v>
      </c>
      <c r="D3504">
        <v>73</v>
      </c>
      <c r="E3504">
        <v>0</v>
      </c>
      <c r="F3504">
        <v>0</v>
      </c>
      <c r="G3504">
        <v>9.69</v>
      </c>
      <c r="H3504">
        <v>707.37</v>
      </c>
    </row>
    <row r="3505" spans="1:8" x14ac:dyDescent="0.35">
      <c r="A3505" t="s">
        <v>6</v>
      </c>
      <c r="B3505" t="s">
        <v>12</v>
      </c>
      <c r="C3505" t="s">
        <v>11</v>
      </c>
      <c r="D3505">
        <v>245</v>
      </c>
      <c r="E3505">
        <v>9</v>
      </c>
      <c r="F3505">
        <v>3.67</v>
      </c>
      <c r="G3505">
        <v>51.88</v>
      </c>
      <c r="H3505">
        <v>12710.6</v>
      </c>
    </row>
    <row r="3506" spans="1:8" x14ac:dyDescent="0.35">
      <c r="A3506" t="s">
        <v>7</v>
      </c>
      <c r="B3506" t="s">
        <v>12</v>
      </c>
      <c r="C3506" t="s">
        <v>9</v>
      </c>
      <c r="D3506">
        <v>268</v>
      </c>
      <c r="E3506">
        <v>16</v>
      </c>
      <c r="F3506">
        <v>5.97</v>
      </c>
      <c r="G3506">
        <v>8.57</v>
      </c>
      <c r="H3506">
        <v>2296.7600000000002</v>
      </c>
    </row>
    <row r="3507" spans="1:8" x14ac:dyDescent="0.35">
      <c r="A3507" t="s">
        <v>8</v>
      </c>
      <c r="B3507" t="s">
        <v>12</v>
      </c>
      <c r="C3507" t="s">
        <v>9</v>
      </c>
      <c r="D3507">
        <v>56</v>
      </c>
      <c r="E3507">
        <v>2</v>
      </c>
      <c r="F3507">
        <v>3.57</v>
      </c>
      <c r="G3507">
        <v>59.8</v>
      </c>
      <c r="H3507">
        <v>3348.8</v>
      </c>
    </row>
    <row r="3508" spans="1:8" x14ac:dyDescent="0.35">
      <c r="A3508" t="s">
        <v>8</v>
      </c>
      <c r="B3508" t="s">
        <v>12</v>
      </c>
      <c r="C3508" t="s">
        <v>9</v>
      </c>
      <c r="D3508">
        <v>51</v>
      </c>
      <c r="E3508">
        <v>4</v>
      </c>
      <c r="F3508">
        <v>7.84</v>
      </c>
      <c r="G3508">
        <v>58.75</v>
      </c>
      <c r="H3508">
        <v>2996.25</v>
      </c>
    </row>
    <row r="3509" spans="1:8" x14ac:dyDescent="0.35">
      <c r="A3509" t="s">
        <v>6</v>
      </c>
      <c r="B3509" t="s">
        <v>12</v>
      </c>
      <c r="C3509" t="s">
        <v>9</v>
      </c>
      <c r="D3509">
        <v>177</v>
      </c>
      <c r="E3509">
        <v>14</v>
      </c>
      <c r="F3509">
        <v>7.91</v>
      </c>
      <c r="G3509">
        <v>35.36</v>
      </c>
      <c r="H3509">
        <v>6258.72</v>
      </c>
    </row>
    <row r="3510" spans="1:8" x14ac:dyDescent="0.35">
      <c r="A3510" t="s">
        <v>7</v>
      </c>
      <c r="B3510" t="s">
        <v>12</v>
      </c>
      <c r="C3510" t="s">
        <v>9</v>
      </c>
      <c r="D3510">
        <v>105</v>
      </c>
      <c r="E3510">
        <v>10</v>
      </c>
      <c r="F3510">
        <v>9.52</v>
      </c>
      <c r="G3510">
        <v>62.35</v>
      </c>
      <c r="H3510">
        <v>6546.75</v>
      </c>
    </row>
    <row r="3511" spans="1:8" x14ac:dyDescent="0.35">
      <c r="A3511" t="s">
        <v>6</v>
      </c>
      <c r="B3511" t="s">
        <v>12</v>
      </c>
      <c r="C3511" t="s">
        <v>11</v>
      </c>
      <c r="D3511">
        <v>156</v>
      </c>
      <c r="E3511">
        <v>3</v>
      </c>
      <c r="F3511">
        <v>1.92</v>
      </c>
      <c r="G3511">
        <v>25.61</v>
      </c>
      <c r="H3511">
        <v>3995.16</v>
      </c>
    </row>
    <row r="3512" spans="1:8" x14ac:dyDescent="0.35">
      <c r="A3512" t="s">
        <v>5</v>
      </c>
      <c r="B3512" t="s">
        <v>12</v>
      </c>
      <c r="C3512" t="s">
        <v>9</v>
      </c>
      <c r="D3512">
        <v>144</v>
      </c>
      <c r="E3512">
        <v>12</v>
      </c>
      <c r="F3512">
        <v>8.33</v>
      </c>
      <c r="G3512">
        <v>15.98</v>
      </c>
      <c r="H3512">
        <v>2301.12</v>
      </c>
    </row>
    <row r="3513" spans="1:8" x14ac:dyDescent="0.35">
      <c r="A3513" t="s">
        <v>5</v>
      </c>
      <c r="B3513" t="s">
        <v>12</v>
      </c>
      <c r="C3513" t="s">
        <v>9</v>
      </c>
      <c r="D3513">
        <v>80</v>
      </c>
      <c r="E3513">
        <v>3</v>
      </c>
      <c r="F3513">
        <v>3.75</v>
      </c>
      <c r="G3513">
        <v>35.26</v>
      </c>
      <c r="H3513">
        <v>2820.8</v>
      </c>
    </row>
    <row r="3514" spans="1:8" x14ac:dyDescent="0.35">
      <c r="A3514" t="s">
        <v>7</v>
      </c>
      <c r="B3514" t="s">
        <v>12</v>
      </c>
      <c r="C3514" t="s">
        <v>9</v>
      </c>
      <c r="D3514">
        <v>141</v>
      </c>
      <c r="E3514">
        <v>12</v>
      </c>
      <c r="F3514">
        <v>8.51</v>
      </c>
      <c r="G3514">
        <v>5.17</v>
      </c>
      <c r="H3514">
        <v>728.97</v>
      </c>
    </row>
    <row r="3515" spans="1:8" x14ac:dyDescent="0.35">
      <c r="A3515" t="s">
        <v>8</v>
      </c>
      <c r="B3515" t="s">
        <v>12</v>
      </c>
      <c r="C3515" t="s">
        <v>9</v>
      </c>
      <c r="D3515">
        <v>174</v>
      </c>
      <c r="E3515">
        <v>8</v>
      </c>
      <c r="F3515">
        <v>4.5999999999999996</v>
      </c>
      <c r="G3515">
        <v>69.09</v>
      </c>
      <c r="H3515">
        <v>12021.66</v>
      </c>
    </row>
    <row r="3516" spans="1:8" x14ac:dyDescent="0.35">
      <c r="A3516" t="s">
        <v>5</v>
      </c>
      <c r="B3516" t="s">
        <v>12</v>
      </c>
      <c r="C3516" t="s">
        <v>9</v>
      </c>
      <c r="D3516">
        <v>143</v>
      </c>
      <c r="E3516">
        <v>12</v>
      </c>
      <c r="F3516">
        <v>8.39</v>
      </c>
      <c r="G3516">
        <v>49.53</v>
      </c>
      <c r="H3516">
        <v>7082.79</v>
      </c>
    </row>
    <row r="3517" spans="1:8" x14ac:dyDescent="0.35">
      <c r="A3517" t="s">
        <v>6</v>
      </c>
      <c r="B3517" t="s">
        <v>12</v>
      </c>
      <c r="C3517" t="s">
        <v>9</v>
      </c>
      <c r="D3517">
        <v>297</v>
      </c>
      <c r="E3517">
        <v>19</v>
      </c>
      <c r="F3517">
        <v>6.4</v>
      </c>
      <c r="G3517">
        <v>43.8</v>
      </c>
      <c r="H3517">
        <v>13008.6</v>
      </c>
    </row>
    <row r="3518" spans="1:8" x14ac:dyDescent="0.35">
      <c r="A3518" t="s">
        <v>6</v>
      </c>
      <c r="B3518" t="s">
        <v>12</v>
      </c>
      <c r="C3518" t="s">
        <v>9</v>
      </c>
      <c r="D3518">
        <v>64</v>
      </c>
      <c r="E3518">
        <v>5</v>
      </c>
      <c r="F3518">
        <v>7.81</v>
      </c>
      <c r="G3518">
        <v>31.2</v>
      </c>
      <c r="H3518">
        <v>1996.8</v>
      </c>
    </row>
    <row r="3519" spans="1:8" x14ac:dyDescent="0.35">
      <c r="A3519" t="s">
        <v>8</v>
      </c>
      <c r="B3519" t="s">
        <v>12</v>
      </c>
      <c r="C3519" t="s">
        <v>9</v>
      </c>
      <c r="D3519">
        <v>265</v>
      </c>
      <c r="E3519">
        <v>18</v>
      </c>
      <c r="F3519">
        <v>6.79</v>
      </c>
      <c r="G3519">
        <v>67.67</v>
      </c>
      <c r="H3519">
        <v>17932.55</v>
      </c>
    </row>
    <row r="3520" spans="1:8" x14ac:dyDescent="0.35">
      <c r="A3520" t="s">
        <v>7</v>
      </c>
      <c r="B3520" t="s">
        <v>12</v>
      </c>
      <c r="C3520" t="s">
        <v>9</v>
      </c>
      <c r="D3520">
        <v>228</v>
      </c>
      <c r="E3520">
        <v>6</v>
      </c>
      <c r="F3520">
        <v>2.63</v>
      </c>
      <c r="G3520">
        <v>36.79</v>
      </c>
      <c r="H3520">
        <v>8388.1200000000008</v>
      </c>
    </row>
    <row r="3521" spans="1:8" x14ac:dyDescent="0.35">
      <c r="A3521" t="s">
        <v>7</v>
      </c>
      <c r="B3521" t="s">
        <v>12</v>
      </c>
      <c r="C3521" t="s">
        <v>9</v>
      </c>
      <c r="D3521">
        <v>150</v>
      </c>
      <c r="E3521">
        <v>13</v>
      </c>
      <c r="F3521">
        <v>8.67</v>
      </c>
      <c r="G3521">
        <v>57.33</v>
      </c>
      <c r="H3521">
        <v>8599.5</v>
      </c>
    </row>
    <row r="3522" spans="1:8" x14ac:dyDescent="0.35">
      <c r="A3522" t="s">
        <v>8</v>
      </c>
      <c r="B3522" t="s">
        <v>12</v>
      </c>
      <c r="C3522" t="s">
        <v>9</v>
      </c>
      <c r="D3522">
        <v>184</v>
      </c>
      <c r="E3522">
        <v>3</v>
      </c>
      <c r="F3522">
        <v>1.63</v>
      </c>
      <c r="G3522">
        <v>19.46</v>
      </c>
      <c r="H3522">
        <v>3580.64</v>
      </c>
    </row>
    <row r="3523" spans="1:8" x14ac:dyDescent="0.35">
      <c r="A3523" t="s">
        <v>6</v>
      </c>
      <c r="B3523" t="s">
        <v>12</v>
      </c>
      <c r="C3523" t="s">
        <v>11</v>
      </c>
      <c r="D3523">
        <v>206</v>
      </c>
      <c r="E3523">
        <v>19</v>
      </c>
      <c r="F3523">
        <v>9.2200000000000006</v>
      </c>
      <c r="G3523">
        <v>28.39</v>
      </c>
      <c r="H3523">
        <v>5848.34</v>
      </c>
    </row>
    <row r="3524" spans="1:8" x14ac:dyDescent="0.35">
      <c r="A3524" t="s">
        <v>7</v>
      </c>
      <c r="B3524" t="s">
        <v>12</v>
      </c>
      <c r="C3524" t="s">
        <v>10</v>
      </c>
      <c r="D3524">
        <v>66</v>
      </c>
      <c r="E3524">
        <v>3</v>
      </c>
      <c r="F3524">
        <v>4.55</v>
      </c>
      <c r="G3524">
        <v>68.569999999999993</v>
      </c>
      <c r="H3524">
        <v>4525.62</v>
      </c>
    </row>
    <row r="3525" spans="1:8" x14ac:dyDescent="0.35">
      <c r="A3525" t="s">
        <v>5</v>
      </c>
      <c r="B3525" t="s">
        <v>12</v>
      </c>
      <c r="C3525" t="s">
        <v>9</v>
      </c>
      <c r="D3525">
        <v>72</v>
      </c>
      <c r="E3525">
        <v>5</v>
      </c>
      <c r="F3525">
        <v>6.94</v>
      </c>
      <c r="G3525">
        <v>6.76</v>
      </c>
      <c r="H3525">
        <v>486.72</v>
      </c>
    </row>
    <row r="3526" spans="1:8" x14ac:dyDescent="0.35">
      <c r="A3526" t="s">
        <v>7</v>
      </c>
      <c r="B3526" t="s">
        <v>12</v>
      </c>
      <c r="C3526" t="s">
        <v>9</v>
      </c>
      <c r="D3526">
        <v>171</v>
      </c>
      <c r="E3526">
        <v>17</v>
      </c>
      <c r="F3526">
        <v>9.94</v>
      </c>
      <c r="G3526">
        <v>59.73</v>
      </c>
      <c r="H3526">
        <v>10213.83</v>
      </c>
    </row>
    <row r="3527" spans="1:8" x14ac:dyDescent="0.35">
      <c r="A3527" t="s">
        <v>8</v>
      </c>
      <c r="B3527" t="s">
        <v>12</v>
      </c>
      <c r="C3527" t="s">
        <v>9</v>
      </c>
      <c r="D3527">
        <v>291</v>
      </c>
      <c r="E3527">
        <v>26</v>
      </c>
      <c r="F3527">
        <v>8.93</v>
      </c>
      <c r="G3527">
        <v>43.52</v>
      </c>
      <c r="H3527">
        <v>12664.32</v>
      </c>
    </row>
    <row r="3528" spans="1:8" x14ac:dyDescent="0.35">
      <c r="A3528" t="s">
        <v>6</v>
      </c>
      <c r="B3528" t="s">
        <v>12</v>
      </c>
      <c r="C3528" t="s">
        <v>9</v>
      </c>
      <c r="D3528">
        <v>171</v>
      </c>
      <c r="E3528">
        <v>1</v>
      </c>
      <c r="F3528">
        <v>0.57999999999999996</v>
      </c>
      <c r="G3528">
        <v>24.01</v>
      </c>
      <c r="H3528">
        <v>4105.71</v>
      </c>
    </row>
    <row r="3529" spans="1:8" x14ac:dyDescent="0.35">
      <c r="A3529" t="s">
        <v>5</v>
      </c>
      <c r="B3529" t="s">
        <v>12</v>
      </c>
      <c r="C3529" t="s">
        <v>9</v>
      </c>
      <c r="D3529">
        <v>299</v>
      </c>
      <c r="E3529">
        <v>0</v>
      </c>
      <c r="F3529">
        <v>0</v>
      </c>
      <c r="G3529">
        <v>16.989999999999998</v>
      </c>
      <c r="H3529">
        <v>5080.01</v>
      </c>
    </row>
    <row r="3530" spans="1:8" x14ac:dyDescent="0.35">
      <c r="A3530" t="s">
        <v>7</v>
      </c>
      <c r="B3530" t="s">
        <v>12</v>
      </c>
      <c r="C3530" t="s">
        <v>9</v>
      </c>
      <c r="D3530">
        <v>52</v>
      </c>
      <c r="E3530">
        <v>0</v>
      </c>
      <c r="F3530">
        <v>0</v>
      </c>
      <c r="G3530">
        <v>66.260000000000005</v>
      </c>
      <c r="H3530">
        <v>3445.52</v>
      </c>
    </row>
    <row r="3531" spans="1:8" x14ac:dyDescent="0.35">
      <c r="A3531" t="s">
        <v>6</v>
      </c>
      <c r="B3531" t="s">
        <v>12</v>
      </c>
      <c r="C3531" t="s">
        <v>9</v>
      </c>
      <c r="D3531">
        <v>90</v>
      </c>
      <c r="E3531">
        <v>9</v>
      </c>
      <c r="F3531">
        <v>10</v>
      </c>
      <c r="G3531">
        <v>19.440000000000001</v>
      </c>
      <c r="H3531">
        <v>1749.6</v>
      </c>
    </row>
    <row r="3532" spans="1:8" x14ac:dyDescent="0.35">
      <c r="A3532" t="s">
        <v>7</v>
      </c>
      <c r="B3532" t="s">
        <v>12</v>
      </c>
      <c r="C3532" t="s">
        <v>9</v>
      </c>
      <c r="D3532">
        <v>273</v>
      </c>
      <c r="E3532">
        <v>24</v>
      </c>
      <c r="F3532">
        <v>8.7899999999999991</v>
      </c>
      <c r="G3532">
        <v>13.67</v>
      </c>
      <c r="H3532">
        <v>3731.91</v>
      </c>
    </row>
    <row r="3533" spans="1:8" x14ac:dyDescent="0.35">
      <c r="A3533" t="s">
        <v>5</v>
      </c>
      <c r="B3533" t="s">
        <v>12</v>
      </c>
      <c r="C3533" t="s">
        <v>9</v>
      </c>
      <c r="D3533">
        <v>159</v>
      </c>
      <c r="E3533">
        <v>8</v>
      </c>
      <c r="F3533">
        <v>5.03</v>
      </c>
      <c r="G3533">
        <v>11.77</v>
      </c>
      <c r="H3533">
        <v>1871.43</v>
      </c>
    </row>
    <row r="3534" spans="1:8" x14ac:dyDescent="0.35">
      <c r="A3534" t="s">
        <v>6</v>
      </c>
      <c r="B3534" t="s">
        <v>12</v>
      </c>
      <c r="C3534" t="s">
        <v>9</v>
      </c>
      <c r="D3534">
        <v>292</v>
      </c>
      <c r="E3534">
        <v>15</v>
      </c>
      <c r="F3534">
        <v>5.14</v>
      </c>
      <c r="G3534">
        <v>43.62</v>
      </c>
      <c r="H3534">
        <v>12737.04</v>
      </c>
    </row>
    <row r="3535" spans="1:8" x14ac:dyDescent="0.35">
      <c r="A3535" t="s">
        <v>7</v>
      </c>
      <c r="B3535" t="s">
        <v>12</v>
      </c>
      <c r="C3535" t="s">
        <v>9</v>
      </c>
      <c r="D3535">
        <v>224</v>
      </c>
      <c r="E3535">
        <v>0</v>
      </c>
      <c r="F3535">
        <v>0</v>
      </c>
      <c r="G3535">
        <v>26.88</v>
      </c>
      <c r="H3535">
        <v>6021.12</v>
      </c>
    </row>
    <row r="3536" spans="1:8" x14ac:dyDescent="0.35">
      <c r="A3536" t="s">
        <v>7</v>
      </c>
      <c r="B3536" t="s">
        <v>12</v>
      </c>
      <c r="C3536" t="s">
        <v>10</v>
      </c>
      <c r="D3536">
        <v>260</v>
      </c>
      <c r="E3536">
        <v>2</v>
      </c>
      <c r="F3536">
        <v>0.77</v>
      </c>
      <c r="G3536">
        <v>18.93</v>
      </c>
      <c r="H3536">
        <v>4921.8</v>
      </c>
    </row>
    <row r="3537" spans="1:8" x14ac:dyDescent="0.35">
      <c r="A3537" t="s">
        <v>5</v>
      </c>
      <c r="B3537" t="s">
        <v>12</v>
      </c>
      <c r="C3537" t="s">
        <v>9</v>
      </c>
      <c r="D3537">
        <v>234</v>
      </c>
      <c r="E3537">
        <v>15</v>
      </c>
      <c r="F3537">
        <v>6.41</v>
      </c>
      <c r="G3537">
        <v>45.78</v>
      </c>
      <c r="H3537">
        <v>10712.52</v>
      </c>
    </row>
    <row r="3538" spans="1:8" x14ac:dyDescent="0.35">
      <c r="A3538" t="s">
        <v>7</v>
      </c>
      <c r="B3538" t="s">
        <v>12</v>
      </c>
      <c r="C3538" t="s">
        <v>9</v>
      </c>
      <c r="D3538">
        <v>293</v>
      </c>
      <c r="E3538">
        <v>0</v>
      </c>
      <c r="F3538">
        <v>0</v>
      </c>
      <c r="G3538">
        <v>19.71</v>
      </c>
      <c r="H3538">
        <v>5775.03</v>
      </c>
    </row>
    <row r="3539" spans="1:8" x14ac:dyDescent="0.35">
      <c r="A3539" t="s">
        <v>8</v>
      </c>
      <c r="B3539" t="s">
        <v>12</v>
      </c>
      <c r="C3539" t="s">
        <v>9</v>
      </c>
      <c r="D3539">
        <v>72</v>
      </c>
      <c r="E3539">
        <v>5</v>
      </c>
      <c r="F3539">
        <v>6.94</v>
      </c>
      <c r="G3539">
        <v>40.69</v>
      </c>
      <c r="H3539">
        <v>2929.68</v>
      </c>
    </row>
    <row r="3540" spans="1:8" x14ac:dyDescent="0.35">
      <c r="A3540" t="s">
        <v>6</v>
      </c>
      <c r="B3540" t="s">
        <v>12</v>
      </c>
      <c r="C3540" t="s">
        <v>9</v>
      </c>
      <c r="D3540">
        <v>289</v>
      </c>
      <c r="E3540">
        <v>9</v>
      </c>
      <c r="F3540">
        <v>3.11</v>
      </c>
      <c r="G3540">
        <v>40.72</v>
      </c>
      <c r="H3540">
        <v>11768.08</v>
      </c>
    </row>
    <row r="3541" spans="1:8" x14ac:dyDescent="0.35">
      <c r="A3541" t="s">
        <v>7</v>
      </c>
      <c r="B3541" t="s">
        <v>12</v>
      </c>
      <c r="C3541" t="s">
        <v>10</v>
      </c>
      <c r="D3541">
        <v>283</v>
      </c>
      <c r="E3541">
        <v>5</v>
      </c>
      <c r="F3541">
        <v>1.77</v>
      </c>
      <c r="G3541">
        <v>49.25</v>
      </c>
      <c r="H3541">
        <v>13937.75</v>
      </c>
    </row>
    <row r="3542" spans="1:8" x14ac:dyDescent="0.35">
      <c r="A3542" t="s">
        <v>5</v>
      </c>
      <c r="B3542" t="s">
        <v>12</v>
      </c>
      <c r="C3542" t="s">
        <v>9</v>
      </c>
      <c r="D3542">
        <v>77</v>
      </c>
      <c r="E3542">
        <v>0</v>
      </c>
      <c r="F3542">
        <v>0</v>
      </c>
      <c r="G3542">
        <v>11.15</v>
      </c>
      <c r="H3542">
        <v>858.55</v>
      </c>
    </row>
    <row r="3543" spans="1:8" x14ac:dyDescent="0.35">
      <c r="A3543" t="s">
        <v>7</v>
      </c>
      <c r="B3543" t="s">
        <v>12</v>
      </c>
      <c r="C3543" t="s">
        <v>10</v>
      </c>
      <c r="D3543">
        <v>298</v>
      </c>
      <c r="E3543">
        <v>29</v>
      </c>
      <c r="F3543">
        <v>9.73</v>
      </c>
      <c r="G3543">
        <v>49.65</v>
      </c>
      <c r="H3543">
        <v>14795.7</v>
      </c>
    </row>
    <row r="3544" spans="1:8" x14ac:dyDescent="0.35">
      <c r="A3544" t="s">
        <v>5</v>
      </c>
      <c r="B3544" t="s">
        <v>12</v>
      </c>
      <c r="C3544" t="s">
        <v>9</v>
      </c>
      <c r="D3544">
        <v>57</v>
      </c>
      <c r="E3544">
        <v>0</v>
      </c>
      <c r="F3544">
        <v>0</v>
      </c>
      <c r="G3544">
        <v>9.24</v>
      </c>
      <c r="H3544">
        <v>526.67999999999995</v>
      </c>
    </row>
    <row r="3545" spans="1:8" x14ac:dyDescent="0.35">
      <c r="A3545" t="s">
        <v>5</v>
      </c>
      <c r="B3545" t="s">
        <v>12</v>
      </c>
      <c r="C3545" t="s">
        <v>9</v>
      </c>
      <c r="D3545">
        <v>53</v>
      </c>
      <c r="E3545">
        <v>5</v>
      </c>
      <c r="F3545">
        <v>9.43</v>
      </c>
      <c r="G3545">
        <v>64.86</v>
      </c>
      <c r="H3545">
        <v>3437.58</v>
      </c>
    </row>
    <row r="3546" spans="1:8" x14ac:dyDescent="0.35">
      <c r="A3546" t="s">
        <v>8</v>
      </c>
      <c r="B3546" t="s">
        <v>12</v>
      </c>
      <c r="C3546" t="s">
        <v>9</v>
      </c>
      <c r="D3546">
        <v>80</v>
      </c>
      <c r="E3546">
        <v>1</v>
      </c>
      <c r="F3546">
        <v>1.25</v>
      </c>
      <c r="G3546">
        <v>44.38</v>
      </c>
      <c r="H3546">
        <v>3550.4</v>
      </c>
    </row>
    <row r="3547" spans="1:8" x14ac:dyDescent="0.35">
      <c r="A3547" t="s">
        <v>6</v>
      </c>
      <c r="B3547" t="s">
        <v>12</v>
      </c>
      <c r="C3547" t="s">
        <v>11</v>
      </c>
      <c r="D3547">
        <v>178</v>
      </c>
      <c r="E3547">
        <v>12</v>
      </c>
      <c r="F3547">
        <v>6.74</v>
      </c>
      <c r="G3547">
        <v>69.47</v>
      </c>
      <c r="H3547">
        <v>12365.66</v>
      </c>
    </row>
    <row r="3548" spans="1:8" x14ac:dyDescent="0.35">
      <c r="A3548" t="s">
        <v>8</v>
      </c>
      <c r="B3548" t="s">
        <v>12</v>
      </c>
      <c r="C3548" t="s">
        <v>9</v>
      </c>
      <c r="D3548">
        <v>177</v>
      </c>
      <c r="E3548">
        <v>17</v>
      </c>
      <c r="F3548">
        <v>9.6</v>
      </c>
      <c r="G3548">
        <v>67.569999999999993</v>
      </c>
      <c r="H3548">
        <v>11959.89</v>
      </c>
    </row>
    <row r="3549" spans="1:8" x14ac:dyDescent="0.35">
      <c r="A3549" t="s">
        <v>7</v>
      </c>
      <c r="B3549" t="s">
        <v>12</v>
      </c>
      <c r="C3549" t="s">
        <v>10</v>
      </c>
      <c r="D3549">
        <v>124</v>
      </c>
      <c r="E3549">
        <v>6</v>
      </c>
      <c r="F3549">
        <v>4.84</v>
      </c>
      <c r="G3549">
        <v>66.2</v>
      </c>
      <c r="H3549">
        <v>8208.7999999999993</v>
      </c>
    </row>
    <row r="3550" spans="1:8" x14ac:dyDescent="0.35">
      <c r="A3550" t="s">
        <v>6</v>
      </c>
      <c r="B3550" t="s">
        <v>12</v>
      </c>
      <c r="C3550" t="s">
        <v>11</v>
      </c>
      <c r="D3550">
        <v>181</v>
      </c>
      <c r="E3550">
        <v>13</v>
      </c>
      <c r="F3550">
        <v>7.18</v>
      </c>
      <c r="G3550">
        <v>10.64</v>
      </c>
      <c r="H3550">
        <v>1925.84</v>
      </c>
    </row>
    <row r="3551" spans="1:8" x14ac:dyDescent="0.35">
      <c r="A3551" t="s">
        <v>7</v>
      </c>
      <c r="B3551" t="s">
        <v>12</v>
      </c>
      <c r="C3551" t="s">
        <v>10</v>
      </c>
      <c r="D3551">
        <v>55</v>
      </c>
      <c r="E3551">
        <v>0</v>
      </c>
      <c r="F3551">
        <v>0</v>
      </c>
      <c r="G3551">
        <v>8.5</v>
      </c>
      <c r="H3551">
        <v>467.5</v>
      </c>
    </row>
    <row r="3552" spans="1:8" x14ac:dyDescent="0.35">
      <c r="A3552" t="s">
        <v>7</v>
      </c>
      <c r="B3552" t="s">
        <v>12</v>
      </c>
      <c r="C3552" t="s">
        <v>9</v>
      </c>
      <c r="D3552">
        <v>88</v>
      </c>
      <c r="E3552">
        <v>6</v>
      </c>
      <c r="F3552">
        <v>6.82</v>
      </c>
      <c r="G3552">
        <v>42.44</v>
      </c>
      <c r="H3552">
        <v>3734.72</v>
      </c>
    </row>
    <row r="3553" spans="1:8" x14ac:dyDescent="0.35">
      <c r="A3553" t="s">
        <v>6</v>
      </c>
      <c r="B3553" t="s">
        <v>12</v>
      </c>
      <c r="C3553" t="s">
        <v>11</v>
      </c>
      <c r="D3553">
        <v>101</v>
      </c>
      <c r="E3553">
        <v>1</v>
      </c>
      <c r="F3553">
        <v>0.99</v>
      </c>
      <c r="G3553">
        <v>32.29</v>
      </c>
      <c r="H3553">
        <v>3261.29</v>
      </c>
    </row>
    <row r="3554" spans="1:8" x14ac:dyDescent="0.35">
      <c r="A3554" t="s">
        <v>7</v>
      </c>
      <c r="B3554" t="s">
        <v>12</v>
      </c>
      <c r="C3554" t="s">
        <v>10</v>
      </c>
      <c r="D3554">
        <v>53</v>
      </c>
      <c r="E3554">
        <v>4</v>
      </c>
      <c r="F3554">
        <v>7.55</v>
      </c>
      <c r="G3554">
        <v>62.88</v>
      </c>
      <c r="H3554">
        <v>3332.64</v>
      </c>
    </row>
    <row r="3555" spans="1:8" x14ac:dyDescent="0.35">
      <c r="A3555" t="s">
        <v>7</v>
      </c>
      <c r="B3555" t="s">
        <v>12</v>
      </c>
      <c r="C3555" t="s">
        <v>10</v>
      </c>
      <c r="D3555">
        <v>252</v>
      </c>
      <c r="E3555">
        <v>22</v>
      </c>
      <c r="F3555">
        <v>8.73</v>
      </c>
      <c r="G3555">
        <v>17.12</v>
      </c>
      <c r="H3555">
        <v>4314.24</v>
      </c>
    </row>
    <row r="3556" spans="1:8" x14ac:dyDescent="0.35">
      <c r="A3556" t="s">
        <v>5</v>
      </c>
      <c r="B3556" t="s">
        <v>12</v>
      </c>
      <c r="C3556" t="s">
        <v>9</v>
      </c>
      <c r="D3556">
        <v>135</v>
      </c>
      <c r="E3556">
        <v>8</v>
      </c>
      <c r="F3556">
        <v>5.93</v>
      </c>
      <c r="G3556">
        <v>41.69</v>
      </c>
      <c r="H3556">
        <v>5628.15</v>
      </c>
    </row>
    <row r="3557" spans="1:8" x14ac:dyDescent="0.35">
      <c r="A3557" t="s">
        <v>5</v>
      </c>
      <c r="B3557" t="s">
        <v>12</v>
      </c>
      <c r="C3557" t="s">
        <v>9</v>
      </c>
      <c r="D3557">
        <v>81</v>
      </c>
      <c r="E3557">
        <v>2</v>
      </c>
      <c r="F3557">
        <v>2.4700000000000002</v>
      </c>
      <c r="G3557">
        <v>31.38</v>
      </c>
      <c r="H3557">
        <v>2541.7800000000002</v>
      </c>
    </row>
    <row r="3558" spans="1:8" x14ac:dyDescent="0.35">
      <c r="A3558" t="s">
        <v>6</v>
      </c>
      <c r="B3558" t="s">
        <v>12</v>
      </c>
      <c r="C3558" t="s">
        <v>11</v>
      </c>
      <c r="D3558">
        <v>144</v>
      </c>
      <c r="E3558">
        <v>7</v>
      </c>
      <c r="F3558">
        <v>4.8600000000000003</v>
      </c>
      <c r="G3558">
        <v>38.29</v>
      </c>
      <c r="H3558">
        <v>5513.76</v>
      </c>
    </row>
    <row r="3559" spans="1:8" x14ac:dyDescent="0.35">
      <c r="A3559" t="s">
        <v>7</v>
      </c>
      <c r="B3559" t="s">
        <v>12</v>
      </c>
      <c r="C3559" t="s">
        <v>9</v>
      </c>
      <c r="D3559">
        <v>255</v>
      </c>
      <c r="E3559">
        <v>12</v>
      </c>
      <c r="F3559">
        <v>4.71</v>
      </c>
      <c r="G3559">
        <v>58.02</v>
      </c>
      <c r="H3559">
        <v>14795.1</v>
      </c>
    </row>
    <row r="3560" spans="1:8" x14ac:dyDescent="0.35">
      <c r="A3560" t="s">
        <v>8</v>
      </c>
      <c r="B3560" t="s">
        <v>12</v>
      </c>
      <c r="C3560" t="s">
        <v>9</v>
      </c>
      <c r="D3560">
        <v>179</v>
      </c>
      <c r="E3560">
        <v>12</v>
      </c>
      <c r="F3560">
        <v>6.7</v>
      </c>
      <c r="G3560">
        <v>52.17</v>
      </c>
      <c r="H3560">
        <v>9338.43</v>
      </c>
    </row>
    <row r="3561" spans="1:8" x14ac:dyDescent="0.35">
      <c r="A3561" t="s">
        <v>6</v>
      </c>
      <c r="B3561" t="s">
        <v>12</v>
      </c>
      <c r="C3561" t="s">
        <v>9</v>
      </c>
      <c r="D3561">
        <v>187</v>
      </c>
      <c r="E3561">
        <v>15</v>
      </c>
      <c r="F3561">
        <v>8.02</v>
      </c>
      <c r="G3561">
        <v>28.34</v>
      </c>
      <c r="H3561">
        <v>5299.58</v>
      </c>
    </row>
    <row r="3562" spans="1:8" x14ac:dyDescent="0.35">
      <c r="A3562" t="s">
        <v>6</v>
      </c>
      <c r="B3562" t="s">
        <v>12</v>
      </c>
      <c r="C3562" t="s">
        <v>11</v>
      </c>
      <c r="D3562">
        <v>90</v>
      </c>
      <c r="E3562">
        <v>7</v>
      </c>
      <c r="F3562">
        <v>7.78</v>
      </c>
      <c r="G3562">
        <v>19.829999999999998</v>
      </c>
      <c r="H3562">
        <v>1784.7</v>
      </c>
    </row>
    <row r="3563" spans="1:8" x14ac:dyDescent="0.35">
      <c r="A3563" t="s">
        <v>8</v>
      </c>
      <c r="B3563" t="s">
        <v>12</v>
      </c>
      <c r="C3563" t="s">
        <v>9</v>
      </c>
      <c r="D3563">
        <v>212</v>
      </c>
      <c r="E3563">
        <v>2</v>
      </c>
      <c r="F3563">
        <v>0.94</v>
      </c>
      <c r="G3563">
        <v>46.06</v>
      </c>
      <c r="H3563">
        <v>9764.7199999999993</v>
      </c>
    </row>
    <row r="3564" spans="1:8" x14ac:dyDescent="0.35">
      <c r="A3564" t="s">
        <v>6</v>
      </c>
      <c r="B3564" t="s">
        <v>12</v>
      </c>
      <c r="C3564" t="s">
        <v>11</v>
      </c>
      <c r="D3564">
        <v>91</v>
      </c>
      <c r="E3564">
        <v>3</v>
      </c>
      <c r="F3564">
        <v>3.3</v>
      </c>
      <c r="G3564">
        <v>40.18</v>
      </c>
      <c r="H3564">
        <v>3656.38</v>
      </c>
    </row>
    <row r="3565" spans="1:8" x14ac:dyDescent="0.35">
      <c r="A3565" t="s">
        <v>8</v>
      </c>
      <c r="B3565" t="s">
        <v>12</v>
      </c>
      <c r="C3565" t="s">
        <v>9</v>
      </c>
      <c r="D3565">
        <v>260</v>
      </c>
      <c r="E3565">
        <v>23</v>
      </c>
      <c r="F3565">
        <v>8.85</v>
      </c>
      <c r="G3565">
        <v>13.57</v>
      </c>
      <c r="H3565">
        <v>3528.2</v>
      </c>
    </row>
    <row r="3566" spans="1:8" x14ac:dyDescent="0.35">
      <c r="A3566" t="s">
        <v>8</v>
      </c>
      <c r="B3566" t="s">
        <v>12</v>
      </c>
      <c r="C3566" t="s">
        <v>9</v>
      </c>
      <c r="D3566">
        <v>65</v>
      </c>
      <c r="E3566">
        <v>3</v>
      </c>
      <c r="F3566">
        <v>4.62</v>
      </c>
      <c r="G3566">
        <v>22.06</v>
      </c>
      <c r="H3566">
        <v>1433.9</v>
      </c>
    </row>
    <row r="3567" spans="1:8" x14ac:dyDescent="0.35">
      <c r="A3567" t="s">
        <v>8</v>
      </c>
      <c r="B3567" t="s">
        <v>12</v>
      </c>
      <c r="C3567" t="s">
        <v>9</v>
      </c>
      <c r="D3567">
        <v>201</v>
      </c>
      <c r="E3567">
        <v>5</v>
      </c>
      <c r="F3567">
        <v>2.4900000000000002</v>
      </c>
      <c r="G3567">
        <v>14.61</v>
      </c>
      <c r="H3567">
        <v>2936.61</v>
      </c>
    </row>
    <row r="3568" spans="1:8" x14ac:dyDescent="0.35">
      <c r="A3568" t="s">
        <v>6</v>
      </c>
      <c r="B3568" t="s">
        <v>12</v>
      </c>
      <c r="C3568" t="s">
        <v>9</v>
      </c>
      <c r="D3568">
        <v>111</v>
      </c>
      <c r="E3568">
        <v>2</v>
      </c>
      <c r="F3568">
        <v>1.8</v>
      </c>
      <c r="G3568">
        <v>34.85</v>
      </c>
      <c r="H3568">
        <v>3868.35</v>
      </c>
    </row>
    <row r="3569" spans="1:8" x14ac:dyDescent="0.35">
      <c r="A3569" t="s">
        <v>6</v>
      </c>
      <c r="B3569" t="s">
        <v>12</v>
      </c>
      <c r="C3569" t="s">
        <v>11</v>
      </c>
      <c r="D3569">
        <v>66</v>
      </c>
      <c r="E3569">
        <v>3</v>
      </c>
      <c r="F3569">
        <v>4.55</v>
      </c>
      <c r="G3569">
        <v>25.71</v>
      </c>
      <c r="H3569">
        <v>1696.86</v>
      </c>
    </row>
    <row r="3570" spans="1:8" x14ac:dyDescent="0.35">
      <c r="A3570" t="s">
        <v>8</v>
      </c>
      <c r="B3570" t="s">
        <v>12</v>
      </c>
      <c r="C3570" t="s">
        <v>9</v>
      </c>
      <c r="D3570">
        <v>163</v>
      </c>
      <c r="E3570">
        <v>15</v>
      </c>
      <c r="F3570">
        <v>9.1999999999999993</v>
      </c>
      <c r="G3570">
        <v>65.400000000000006</v>
      </c>
      <c r="H3570">
        <v>10660.2</v>
      </c>
    </row>
    <row r="3571" spans="1:8" x14ac:dyDescent="0.35">
      <c r="A3571" t="s">
        <v>7</v>
      </c>
      <c r="B3571" t="s">
        <v>12</v>
      </c>
      <c r="C3571" t="s">
        <v>9</v>
      </c>
      <c r="D3571">
        <v>121</v>
      </c>
      <c r="E3571">
        <v>12</v>
      </c>
      <c r="F3571">
        <v>9.92</v>
      </c>
      <c r="G3571">
        <v>63.81</v>
      </c>
      <c r="H3571">
        <v>7721.01</v>
      </c>
    </row>
    <row r="3572" spans="1:8" x14ac:dyDescent="0.35">
      <c r="A3572" t="s">
        <v>6</v>
      </c>
      <c r="B3572" t="s">
        <v>12</v>
      </c>
      <c r="C3572" t="s">
        <v>9</v>
      </c>
      <c r="D3572">
        <v>82</v>
      </c>
      <c r="E3572">
        <v>1</v>
      </c>
      <c r="F3572">
        <v>1.22</v>
      </c>
      <c r="G3572">
        <v>59.67</v>
      </c>
      <c r="H3572">
        <v>4892.9399999999996</v>
      </c>
    </row>
    <row r="3573" spans="1:8" x14ac:dyDescent="0.35">
      <c r="A3573" t="s">
        <v>5</v>
      </c>
      <c r="B3573" t="s">
        <v>12</v>
      </c>
      <c r="C3573" t="s">
        <v>9</v>
      </c>
      <c r="D3573">
        <v>263</v>
      </c>
      <c r="E3573">
        <v>7</v>
      </c>
      <c r="F3573">
        <v>2.66</v>
      </c>
      <c r="G3573">
        <v>55.3</v>
      </c>
      <c r="H3573">
        <v>14543.9</v>
      </c>
    </row>
    <row r="3574" spans="1:8" x14ac:dyDescent="0.35">
      <c r="A3574" t="s">
        <v>7</v>
      </c>
      <c r="B3574" t="s">
        <v>12</v>
      </c>
      <c r="C3574" t="s">
        <v>10</v>
      </c>
      <c r="D3574">
        <v>77</v>
      </c>
      <c r="E3574">
        <v>3</v>
      </c>
      <c r="F3574">
        <v>3.9</v>
      </c>
      <c r="G3574">
        <v>50.94</v>
      </c>
      <c r="H3574">
        <v>3922.38</v>
      </c>
    </row>
    <row r="3575" spans="1:8" x14ac:dyDescent="0.35">
      <c r="A3575" t="s">
        <v>6</v>
      </c>
      <c r="B3575" t="s">
        <v>12</v>
      </c>
      <c r="C3575" t="s">
        <v>11</v>
      </c>
      <c r="D3575">
        <v>159</v>
      </c>
      <c r="E3575">
        <v>4</v>
      </c>
      <c r="F3575">
        <v>2.52</v>
      </c>
      <c r="G3575">
        <v>9.82</v>
      </c>
      <c r="H3575">
        <v>1561.38</v>
      </c>
    </row>
    <row r="3576" spans="1:8" x14ac:dyDescent="0.35">
      <c r="A3576" t="s">
        <v>7</v>
      </c>
      <c r="B3576" t="s">
        <v>12</v>
      </c>
      <c r="C3576" t="s">
        <v>10</v>
      </c>
      <c r="D3576">
        <v>190</v>
      </c>
      <c r="E3576">
        <v>3</v>
      </c>
      <c r="F3576">
        <v>1.58</v>
      </c>
      <c r="G3576">
        <v>11.46</v>
      </c>
      <c r="H3576">
        <v>2177.4</v>
      </c>
    </row>
    <row r="3577" spans="1:8" x14ac:dyDescent="0.35">
      <c r="A3577" t="s">
        <v>7</v>
      </c>
      <c r="B3577" t="s">
        <v>12</v>
      </c>
      <c r="C3577" t="s">
        <v>10</v>
      </c>
      <c r="D3577">
        <v>183</v>
      </c>
      <c r="E3577">
        <v>6</v>
      </c>
      <c r="F3577">
        <v>3.28</v>
      </c>
      <c r="G3577">
        <v>28.97</v>
      </c>
      <c r="H3577">
        <v>5301.51</v>
      </c>
    </row>
    <row r="3578" spans="1:8" x14ac:dyDescent="0.35">
      <c r="A3578" t="s">
        <v>7</v>
      </c>
      <c r="B3578" t="s">
        <v>12</v>
      </c>
      <c r="C3578" t="s">
        <v>10</v>
      </c>
      <c r="D3578">
        <v>199</v>
      </c>
      <c r="E3578">
        <v>11</v>
      </c>
      <c r="F3578">
        <v>5.53</v>
      </c>
      <c r="G3578">
        <v>69.849999999999994</v>
      </c>
      <c r="H3578">
        <v>13900.15</v>
      </c>
    </row>
    <row r="3579" spans="1:8" x14ac:dyDescent="0.35">
      <c r="A3579" t="s">
        <v>7</v>
      </c>
      <c r="B3579" t="s">
        <v>12</v>
      </c>
      <c r="C3579" t="s">
        <v>10</v>
      </c>
      <c r="D3579">
        <v>124</v>
      </c>
      <c r="E3579">
        <v>5</v>
      </c>
      <c r="F3579">
        <v>4.03</v>
      </c>
      <c r="G3579">
        <v>54.52</v>
      </c>
      <c r="H3579">
        <v>6760.48</v>
      </c>
    </row>
    <row r="3580" spans="1:8" x14ac:dyDescent="0.35">
      <c r="A3580" t="s">
        <v>6</v>
      </c>
      <c r="B3580" t="s">
        <v>12</v>
      </c>
      <c r="C3580" t="s">
        <v>11</v>
      </c>
      <c r="D3580">
        <v>164</v>
      </c>
      <c r="E3580">
        <v>7</v>
      </c>
      <c r="F3580">
        <v>4.2699999999999996</v>
      </c>
      <c r="G3580">
        <v>28.66</v>
      </c>
      <c r="H3580">
        <v>4700.24</v>
      </c>
    </row>
    <row r="3581" spans="1:8" x14ac:dyDescent="0.35">
      <c r="A3581" t="s">
        <v>6</v>
      </c>
      <c r="B3581" t="s">
        <v>12</v>
      </c>
      <c r="C3581" t="s">
        <v>11</v>
      </c>
      <c r="D3581">
        <v>86</v>
      </c>
      <c r="E3581">
        <v>1</v>
      </c>
      <c r="F3581">
        <v>1.1599999999999999</v>
      </c>
      <c r="G3581">
        <v>53.49</v>
      </c>
      <c r="H3581">
        <v>4600.1400000000003</v>
      </c>
    </row>
    <row r="3582" spans="1:8" x14ac:dyDescent="0.35">
      <c r="A3582" t="s">
        <v>6</v>
      </c>
      <c r="B3582" t="s">
        <v>12</v>
      </c>
      <c r="C3582" t="s">
        <v>9</v>
      </c>
      <c r="D3582">
        <v>172</v>
      </c>
      <c r="E3582">
        <v>17</v>
      </c>
      <c r="F3582">
        <v>9.8800000000000008</v>
      </c>
      <c r="G3582">
        <v>31.59</v>
      </c>
      <c r="H3582">
        <v>5433.48</v>
      </c>
    </row>
    <row r="3583" spans="1:8" x14ac:dyDescent="0.35">
      <c r="A3583" t="s">
        <v>7</v>
      </c>
      <c r="B3583" t="s">
        <v>12</v>
      </c>
      <c r="C3583" t="s">
        <v>9</v>
      </c>
      <c r="D3583">
        <v>264</v>
      </c>
      <c r="E3583">
        <v>11</v>
      </c>
      <c r="F3583">
        <v>4.17</v>
      </c>
      <c r="G3583">
        <v>50.31</v>
      </c>
      <c r="H3583">
        <v>13281.84</v>
      </c>
    </row>
    <row r="3584" spans="1:8" x14ac:dyDescent="0.35">
      <c r="A3584" t="s">
        <v>5</v>
      </c>
      <c r="B3584" t="s">
        <v>12</v>
      </c>
      <c r="C3584" t="s">
        <v>9</v>
      </c>
      <c r="D3584">
        <v>123</v>
      </c>
      <c r="E3584">
        <v>1</v>
      </c>
      <c r="F3584">
        <v>0.81</v>
      </c>
      <c r="G3584">
        <v>68.53</v>
      </c>
      <c r="H3584">
        <v>8429.19</v>
      </c>
    </row>
    <row r="3585" spans="1:8" x14ac:dyDescent="0.35">
      <c r="A3585" t="s">
        <v>8</v>
      </c>
      <c r="B3585" t="s">
        <v>12</v>
      </c>
      <c r="C3585" t="s">
        <v>9</v>
      </c>
      <c r="D3585">
        <v>77</v>
      </c>
      <c r="E3585">
        <v>4</v>
      </c>
      <c r="F3585">
        <v>5.19</v>
      </c>
      <c r="G3585">
        <v>40.520000000000003</v>
      </c>
      <c r="H3585">
        <v>3120.04</v>
      </c>
    </row>
    <row r="3586" spans="1:8" x14ac:dyDescent="0.35">
      <c r="A3586" t="s">
        <v>6</v>
      </c>
      <c r="B3586" t="s">
        <v>12</v>
      </c>
      <c r="C3586" t="s">
        <v>11</v>
      </c>
      <c r="D3586">
        <v>297</v>
      </c>
      <c r="E3586">
        <v>28</v>
      </c>
      <c r="F3586">
        <v>9.43</v>
      </c>
      <c r="G3586">
        <v>55.17</v>
      </c>
      <c r="H3586">
        <v>16385.490000000002</v>
      </c>
    </row>
    <row r="3587" spans="1:8" x14ac:dyDescent="0.35">
      <c r="A3587" t="s">
        <v>8</v>
      </c>
      <c r="B3587" t="s">
        <v>12</v>
      </c>
      <c r="C3587" t="s">
        <v>9</v>
      </c>
      <c r="D3587">
        <v>271</v>
      </c>
      <c r="E3587">
        <v>19</v>
      </c>
      <c r="F3587">
        <v>7.01</v>
      </c>
      <c r="G3587">
        <v>48.42</v>
      </c>
      <c r="H3587">
        <v>13121.82</v>
      </c>
    </row>
    <row r="3588" spans="1:8" x14ac:dyDescent="0.35">
      <c r="A3588" t="s">
        <v>7</v>
      </c>
      <c r="B3588" t="s">
        <v>12</v>
      </c>
      <c r="C3588" t="s">
        <v>10</v>
      </c>
      <c r="D3588">
        <v>179</v>
      </c>
      <c r="E3588">
        <v>17</v>
      </c>
      <c r="F3588">
        <v>9.5</v>
      </c>
      <c r="G3588">
        <v>9.16</v>
      </c>
      <c r="H3588">
        <v>1639.64</v>
      </c>
    </row>
    <row r="3589" spans="1:8" x14ac:dyDescent="0.35">
      <c r="A3589" t="s">
        <v>5</v>
      </c>
      <c r="B3589" t="s">
        <v>12</v>
      </c>
      <c r="C3589" t="s">
        <v>9</v>
      </c>
      <c r="D3589">
        <v>177</v>
      </c>
      <c r="E3589">
        <v>2</v>
      </c>
      <c r="F3589">
        <v>1.1299999999999999</v>
      </c>
      <c r="G3589">
        <v>36.729999999999997</v>
      </c>
      <c r="H3589">
        <v>6501.21</v>
      </c>
    </row>
    <row r="3590" spans="1:8" x14ac:dyDescent="0.35">
      <c r="A3590" t="s">
        <v>6</v>
      </c>
      <c r="B3590" t="s">
        <v>12</v>
      </c>
      <c r="C3590" t="s">
        <v>11</v>
      </c>
      <c r="D3590">
        <v>292</v>
      </c>
      <c r="E3590">
        <v>21</v>
      </c>
      <c r="F3590">
        <v>7.19</v>
      </c>
      <c r="G3590">
        <v>31.16</v>
      </c>
      <c r="H3590">
        <v>9098.7199999999993</v>
      </c>
    </row>
    <row r="3591" spans="1:8" x14ac:dyDescent="0.35">
      <c r="A3591" t="s">
        <v>7</v>
      </c>
      <c r="B3591" t="s">
        <v>12</v>
      </c>
      <c r="C3591" t="s">
        <v>10</v>
      </c>
      <c r="D3591">
        <v>230</v>
      </c>
      <c r="E3591">
        <v>17</v>
      </c>
      <c r="F3591">
        <v>7.39</v>
      </c>
      <c r="G3591">
        <v>14.49</v>
      </c>
      <c r="H3591">
        <v>3332.7</v>
      </c>
    </row>
    <row r="3592" spans="1:8" x14ac:dyDescent="0.35">
      <c r="A3592" t="s">
        <v>5</v>
      </c>
      <c r="B3592" t="s">
        <v>12</v>
      </c>
      <c r="C3592" t="s">
        <v>9</v>
      </c>
      <c r="D3592">
        <v>105</v>
      </c>
      <c r="E3592">
        <v>2</v>
      </c>
      <c r="F3592">
        <v>1.9</v>
      </c>
      <c r="G3592">
        <v>52.29</v>
      </c>
      <c r="H3592">
        <v>5490.45</v>
      </c>
    </row>
    <row r="3593" spans="1:8" x14ac:dyDescent="0.35">
      <c r="A3593" t="s">
        <v>6</v>
      </c>
      <c r="B3593" t="s">
        <v>12</v>
      </c>
      <c r="C3593" t="s">
        <v>9</v>
      </c>
      <c r="D3593">
        <v>50</v>
      </c>
      <c r="E3593">
        <v>5</v>
      </c>
      <c r="F3593">
        <v>10</v>
      </c>
      <c r="G3593">
        <v>54.72</v>
      </c>
      <c r="H3593">
        <v>2736</v>
      </c>
    </row>
    <row r="3594" spans="1:8" x14ac:dyDescent="0.35">
      <c r="A3594" t="s">
        <v>5</v>
      </c>
      <c r="B3594" t="s">
        <v>12</v>
      </c>
      <c r="C3594" t="s">
        <v>9</v>
      </c>
      <c r="D3594">
        <v>298</v>
      </c>
      <c r="E3594">
        <v>28</v>
      </c>
      <c r="F3594">
        <v>9.4</v>
      </c>
      <c r="G3594">
        <v>69.319999999999993</v>
      </c>
      <c r="H3594">
        <v>20657.36</v>
      </c>
    </row>
    <row r="3595" spans="1:8" x14ac:dyDescent="0.35">
      <c r="A3595" t="s">
        <v>7</v>
      </c>
      <c r="B3595" t="s">
        <v>12</v>
      </c>
      <c r="C3595" t="s">
        <v>10</v>
      </c>
      <c r="D3595">
        <v>232</v>
      </c>
      <c r="E3595">
        <v>21</v>
      </c>
      <c r="F3595">
        <v>9.0500000000000007</v>
      </c>
      <c r="G3595">
        <v>8.6199999999999992</v>
      </c>
      <c r="H3595">
        <v>1999.84</v>
      </c>
    </row>
    <row r="3596" spans="1:8" x14ac:dyDescent="0.35">
      <c r="A3596" t="s">
        <v>6</v>
      </c>
      <c r="B3596" t="s">
        <v>12</v>
      </c>
      <c r="C3596" t="s">
        <v>11</v>
      </c>
      <c r="D3596">
        <v>244</v>
      </c>
      <c r="E3596">
        <v>5</v>
      </c>
      <c r="F3596">
        <v>2.0499999999999998</v>
      </c>
      <c r="G3596">
        <v>26</v>
      </c>
      <c r="H3596">
        <v>6344</v>
      </c>
    </row>
    <row r="3597" spans="1:8" x14ac:dyDescent="0.35">
      <c r="A3597" t="s">
        <v>7</v>
      </c>
      <c r="B3597" t="s">
        <v>12</v>
      </c>
      <c r="C3597" t="s">
        <v>10</v>
      </c>
      <c r="D3597">
        <v>267</v>
      </c>
      <c r="E3597">
        <v>10</v>
      </c>
      <c r="F3597">
        <v>3.75</v>
      </c>
      <c r="G3597">
        <v>64.73</v>
      </c>
      <c r="H3597">
        <v>17282.91</v>
      </c>
    </row>
    <row r="3598" spans="1:8" x14ac:dyDescent="0.35">
      <c r="A3598" t="s">
        <v>6</v>
      </c>
      <c r="B3598" t="s">
        <v>12</v>
      </c>
      <c r="C3598" t="s">
        <v>11</v>
      </c>
      <c r="D3598">
        <v>244</v>
      </c>
      <c r="E3598">
        <v>13</v>
      </c>
      <c r="F3598">
        <v>5.33</v>
      </c>
      <c r="G3598">
        <v>9.3699999999999992</v>
      </c>
      <c r="H3598">
        <v>2286.2800000000002</v>
      </c>
    </row>
    <row r="3599" spans="1:8" x14ac:dyDescent="0.35">
      <c r="A3599" t="s">
        <v>8</v>
      </c>
      <c r="B3599" t="s">
        <v>12</v>
      </c>
      <c r="C3599" t="s">
        <v>9</v>
      </c>
      <c r="D3599">
        <v>142</v>
      </c>
      <c r="E3599">
        <v>0</v>
      </c>
      <c r="F3599">
        <v>0</v>
      </c>
      <c r="G3599">
        <v>65.25</v>
      </c>
      <c r="H3599">
        <v>9265.5</v>
      </c>
    </row>
    <row r="3600" spans="1:8" x14ac:dyDescent="0.35">
      <c r="A3600" t="s">
        <v>7</v>
      </c>
      <c r="B3600" t="s">
        <v>12</v>
      </c>
      <c r="C3600" t="s">
        <v>10</v>
      </c>
      <c r="D3600">
        <v>77</v>
      </c>
      <c r="E3600">
        <v>0</v>
      </c>
      <c r="F3600">
        <v>0</v>
      </c>
      <c r="G3600">
        <v>58.91</v>
      </c>
      <c r="H3600">
        <v>4536.07</v>
      </c>
    </row>
    <row r="3601" spans="1:8" x14ac:dyDescent="0.35">
      <c r="A3601" t="s">
        <v>6</v>
      </c>
      <c r="B3601" t="s">
        <v>12</v>
      </c>
      <c r="C3601" t="s">
        <v>9</v>
      </c>
      <c r="D3601">
        <v>295</v>
      </c>
      <c r="E3601">
        <v>3</v>
      </c>
      <c r="F3601">
        <v>1.02</v>
      </c>
      <c r="G3601">
        <v>57.74</v>
      </c>
      <c r="H3601">
        <v>17033.3</v>
      </c>
    </row>
    <row r="3602" spans="1:8" x14ac:dyDescent="0.35">
      <c r="A3602" t="s">
        <v>7</v>
      </c>
      <c r="B3602" t="s">
        <v>12</v>
      </c>
      <c r="C3602" t="s">
        <v>9</v>
      </c>
      <c r="D3602">
        <v>81</v>
      </c>
      <c r="E3602">
        <v>4</v>
      </c>
      <c r="F3602">
        <v>4.9400000000000004</v>
      </c>
      <c r="G3602">
        <v>38.21</v>
      </c>
      <c r="H3602">
        <v>3095.01</v>
      </c>
    </row>
    <row r="3603" spans="1:8" x14ac:dyDescent="0.35">
      <c r="A3603" t="s">
        <v>6</v>
      </c>
      <c r="B3603" t="s">
        <v>12</v>
      </c>
      <c r="C3603" t="s">
        <v>9</v>
      </c>
      <c r="D3603">
        <v>273</v>
      </c>
      <c r="E3603">
        <v>26</v>
      </c>
      <c r="F3603">
        <v>9.52</v>
      </c>
      <c r="G3603">
        <v>34.22</v>
      </c>
      <c r="H3603">
        <v>9342.06</v>
      </c>
    </row>
    <row r="3604" spans="1:8" x14ac:dyDescent="0.35">
      <c r="A3604" t="s">
        <v>7</v>
      </c>
      <c r="B3604" t="s">
        <v>12</v>
      </c>
      <c r="C3604" t="s">
        <v>10</v>
      </c>
      <c r="D3604">
        <v>100</v>
      </c>
      <c r="E3604">
        <v>10</v>
      </c>
      <c r="F3604">
        <v>10</v>
      </c>
      <c r="G3604">
        <v>52.42</v>
      </c>
      <c r="H3604">
        <v>5242</v>
      </c>
    </row>
    <row r="3605" spans="1:8" x14ac:dyDescent="0.35">
      <c r="A3605" t="s">
        <v>6</v>
      </c>
      <c r="B3605" t="s">
        <v>12</v>
      </c>
      <c r="C3605" t="s">
        <v>9</v>
      </c>
      <c r="D3605">
        <v>120</v>
      </c>
      <c r="E3605">
        <v>4</v>
      </c>
      <c r="F3605">
        <v>3.33</v>
      </c>
      <c r="G3605">
        <v>48.56</v>
      </c>
      <c r="H3605">
        <v>5827.2</v>
      </c>
    </row>
    <row r="3606" spans="1:8" x14ac:dyDescent="0.35">
      <c r="A3606" t="s">
        <v>5</v>
      </c>
      <c r="B3606" t="s">
        <v>12</v>
      </c>
      <c r="C3606" t="s">
        <v>9</v>
      </c>
      <c r="D3606">
        <v>196</v>
      </c>
      <c r="E3606">
        <v>2</v>
      </c>
      <c r="F3606">
        <v>1.02</v>
      </c>
      <c r="G3606">
        <v>26.24</v>
      </c>
      <c r="H3606">
        <v>5143.04</v>
      </c>
    </row>
    <row r="3607" spans="1:8" x14ac:dyDescent="0.35">
      <c r="A3607" t="s">
        <v>5</v>
      </c>
      <c r="B3607" t="s">
        <v>12</v>
      </c>
      <c r="C3607" t="s">
        <v>9</v>
      </c>
      <c r="D3607">
        <v>147</v>
      </c>
      <c r="E3607">
        <v>13</v>
      </c>
      <c r="F3607">
        <v>8.84</v>
      </c>
      <c r="G3607">
        <v>33.06</v>
      </c>
      <c r="H3607">
        <v>4859.82</v>
      </c>
    </row>
    <row r="3608" spans="1:8" x14ac:dyDescent="0.35">
      <c r="A3608" t="s">
        <v>5</v>
      </c>
      <c r="B3608" t="s">
        <v>12</v>
      </c>
      <c r="C3608" t="s">
        <v>9</v>
      </c>
      <c r="D3608">
        <v>298</v>
      </c>
      <c r="E3608">
        <v>17</v>
      </c>
      <c r="F3608">
        <v>5.7</v>
      </c>
      <c r="G3608">
        <v>23.03</v>
      </c>
      <c r="H3608">
        <v>6862.94</v>
      </c>
    </row>
    <row r="3609" spans="1:8" x14ac:dyDescent="0.35">
      <c r="A3609" t="s">
        <v>7</v>
      </c>
      <c r="B3609" t="s">
        <v>12</v>
      </c>
      <c r="C3609" t="s">
        <v>10</v>
      </c>
      <c r="D3609">
        <v>256</v>
      </c>
      <c r="E3609">
        <v>24</v>
      </c>
      <c r="F3609">
        <v>9.3800000000000008</v>
      </c>
      <c r="G3609">
        <v>30.4</v>
      </c>
      <c r="H3609">
        <v>7782.4</v>
      </c>
    </row>
    <row r="3610" spans="1:8" x14ac:dyDescent="0.35">
      <c r="A3610" t="s">
        <v>8</v>
      </c>
      <c r="B3610" t="s">
        <v>12</v>
      </c>
      <c r="C3610" t="s">
        <v>9</v>
      </c>
      <c r="D3610">
        <v>213</v>
      </c>
      <c r="E3610">
        <v>11</v>
      </c>
      <c r="F3610">
        <v>5.16</v>
      </c>
      <c r="G3610">
        <v>50.12</v>
      </c>
      <c r="H3610">
        <v>10675.56</v>
      </c>
    </row>
    <row r="3611" spans="1:8" x14ac:dyDescent="0.35">
      <c r="A3611" t="s">
        <v>6</v>
      </c>
      <c r="B3611" t="s">
        <v>12</v>
      </c>
      <c r="C3611" t="s">
        <v>9</v>
      </c>
      <c r="D3611">
        <v>234</v>
      </c>
      <c r="E3611">
        <v>12</v>
      </c>
      <c r="F3611">
        <v>5.13</v>
      </c>
      <c r="G3611">
        <v>19.64</v>
      </c>
      <c r="H3611">
        <v>4595.76</v>
      </c>
    </row>
    <row r="3612" spans="1:8" x14ac:dyDescent="0.35">
      <c r="A3612" t="s">
        <v>5</v>
      </c>
      <c r="B3612" t="s">
        <v>12</v>
      </c>
      <c r="C3612" t="s">
        <v>9</v>
      </c>
      <c r="D3612">
        <v>298</v>
      </c>
      <c r="E3612">
        <v>3</v>
      </c>
      <c r="F3612">
        <v>1.01</v>
      </c>
      <c r="G3612">
        <v>61.57</v>
      </c>
      <c r="H3612">
        <v>18347.86</v>
      </c>
    </row>
    <row r="3613" spans="1:8" x14ac:dyDescent="0.35">
      <c r="A3613" t="s">
        <v>6</v>
      </c>
      <c r="B3613" t="s">
        <v>12</v>
      </c>
      <c r="C3613" t="s">
        <v>11</v>
      </c>
      <c r="D3613">
        <v>188</v>
      </c>
      <c r="E3613">
        <v>8</v>
      </c>
      <c r="F3613">
        <v>4.26</v>
      </c>
      <c r="G3613">
        <v>43.56</v>
      </c>
      <c r="H3613">
        <v>8189.28</v>
      </c>
    </row>
    <row r="3614" spans="1:8" x14ac:dyDescent="0.35">
      <c r="A3614" t="s">
        <v>7</v>
      </c>
      <c r="B3614" t="s">
        <v>12</v>
      </c>
      <c r="C3614" t="s">
        <v>9</v>
      </c>
      <c r="D3614">
        <v>127</v>
      </c>
      <c r="E3614">
        <v>12</v>
      </c>
      <c r="F3614">
        <v>9.4499999999999993</v>
      </c>
      <c r="G3614">
        <v>43.19</v>
      </c>
      <c r="H3614">
        <v>5485.13</v>
      </c>
    </row>
    <row r="3615" spans="1:8" x14ac:dyDescent="0.35">
      <c r="A3615" t="s">
        <v>7</v>
      </c>
      <c r="B3615" t="s">
        <v>12</v>
      </c>
      <c r="C3615" t="s">
        <v>10</v>
      </c>
      <c r="D3615">
        <v>146</v>
      </c>
      <c r="E3615">
        <v>0</v>
      </c>
      <c r="F3615">
        <v>0</v>
      </c>
      <c r="G3615">
        <v>27.41</v>
      </c>
      <c r="H3615">
        <v>4001.86</v>
      </c>
    </row>
    <row r="3616" spans="1:8" x14ac:dyDescent="0.35">
      <c r="A3616" t="s">
        <v>8</v>
      </c>
      <c r="B3616" t="s">
        <v>12</v>
      </c>
      <c r="C3616" t="s">
        <v>9</v>
      </c>
      <c r="D3616">
        <v>230</v>
      </c>
      <c r="E3616">
        <v>11</v>
      </c>
      <c r="F3616">
        <v>4.78</v>
      </c>
      <c r="G3616">
        <v>61.97</v>
      </c>
      <c r="H3616">
        <v>14253.1</v>
      </c>
    </row>
    <row r="3617" spans="1:8" x14ac:dyDescent="0.35">
      <c r="A3617" t="s">
        <v>5</v>
      </c>
      <c r="B3617" t="s">
        <v>12</v>
      </c>
      <c r="C3617" t="s">
        <v>9</v>
      </c>
      <c r="D3617">
        <v>168</v>
      </c>
      <c r="E3617">
        <v>2</v>
      </c>
      <c r="F3617">
        <v>1.19</v>
      </c>
      <c r="G3617">
        <v>55.19</v>
      </c>
      <c r="H3617">
        <v>9271.92</v>
      </c>
    </row>
    <row r="3618" spans="1:8" x14ac:dyDescent="0.35">
      <c r="A3618" t="s">
        <v>7</v>
      </c>
      <c r="B3618" t="s">
        <v>12</v>
      </c>
      <c r="C3618" t="s">
        <v>9</v>
      </c>
      <c r="D3618">
        <v>87</v>
      </c>
      <c r="E3618">
        <v>5</v>
      </c>
      <c r="F3618">
        <v>5.75</v>
      </c>
      <c r="G3618">
        <v>15.28</v>
      </c>
      <c r="H3618">
        <v>1329.36</v>
      </c>
    </row>
    <row r="3619" spans="1:8" x14ac:dyDescent="0.35">
      <c r="A3619" t="s">
        <v>6</v>
      </c>
      <c r="B3619" t="s">
        <v>12</v>
      </c>
      <c r="C3619" t="s">
        <v>9</v>
      </c>
      <c r="D3619">
        <v>150</v>
      </c>
      <c r="E3619">
        <v>15</v>
      </c>
      <c r="F3619">
        <v>10</v>
      </c>
      <c r="G3619">
        <v>17.52</v>
      </c>
      <c r="H3619">
        <v>2628</v>
      </c>
    </row>
    <row r="3620" spans="1:8" x14ac:dyDescent="0.35">
      <c r="A3620" t="s">
        <v>5</v>
      </c>
      <c r="B3620" t="s">
        <v>12</v>
      </c>
      <c r="C3620" t="s">
        <v>9</v>
      </c>
      <c r="D3620">
        <v>73</v>
      </c>
      <c r="E3620">
        <v>3</v>
      </c>
      <c r="F3620">
        <v>4.1100000000000003</v>
      </c>
      <c r="G3620">
        <v>12.44</v>
      </c>
      <c r="H3620">
        <v>908.12</v>
      </c>
    </row>
    <row r="3621" spans="1:8" x14ac:dyDescent="0.35">
      <c r="A3621" t="s">
        <v>7</v>
      </c>
      <c r="B3621" t="s">
        <v>12</v>
      </c>
      <c r="C3621" t="s">
        <v>10</v>
      </c>
      <c r="D3621">
        <v>236</v>
      </c>
      <c r="E3621">
        <v>8</v>
      </c>
      <c r="F3621">
        <v>3.39</v>
      </c>
      <c r="G3621">
        <v>60.69</v>
      </c>
      <c r="H3621">
        <v>14322.84</v>
      </c>
    </row>
    <row r="3622" spans="1:8" x14ac:dyDescent="0.35">
      <c r="A3622" t="s">
        <v>5</v>
      </c>
      <c r="B3622" t="s">
        <v>12</v>
      </c>
      <c r="C3622" t="s">
        <v>9</v>
      </c>
      <c r="D3622">
        <v>198</v>
      </c>
      <c r="E3622">
        <v>19</v>
      </c>
      <c r="F3622">
        <v>9.6</v>
      </c>
      <c r="G3622">
        <v>20.58</v>
      </c>
      <c r="H3622">
        <v>4074.84</v>
      </c>
    </row>
    <row r="3623" spans="1:8" x14ac:dyDescent="0.35">
      <c r="A3623" t="s">
        <v>7</v>
      </c>
      <c r="B3623" t="s">
        <v>12</v>
      </c>
      <c r="C3623" t="s">
        <v>10</v>
      </c>
      <c r="D3623">
        <v>131</v>
      </c>
      <c r="E3623">
        <v>9</v>
      </c>
      <c r="F3623">
        <v>6.87</v>
      </c>
      <c r="G3623">
        <v>24.64</v>
      </c>
      <c r="H3623">
        <v>3227.84</v>
      </c>
    </row>
    <row r="3624" spans="1:8" x14ac:dyDescent="0.35">
      <c r="A3624" t="s">
        <v>7</v>
      </c>
      <c r="B3624" t="s">
        <v>12</v>
      </c>
      <c r="C3624" t="s">
        <v>9</v>
      </c>
      <c r="D3624">
        <v>283</v>
      </c>
      <c r="E3624">
        <v>8</v>
      </c>
      <c r="F3624">
        <v>2.83</v>
      </c>
      <c r="G3624">
        <v>9.1</v>
      </c>
      <c r="H3624">
        <v>2575.3000000000002</v>
      </c>
    </row>
    <row r="3625" spans="1:8" x14ac:dyDescent="0.35">
      <c r="A3625" t="s">
        <v>8</v>
      </c>
      <c r="B3625" t="s">
        <v>12</v>
      </c>
      <c r="C3625" t="s">
        <v>9</v>
      </c>
      <c r="D3625">
        <v>95</v>
      </c>
      <c r="E3625">
        <v>1</v>
      </c>
      <c r="F3625">
        <v>1.05</v>
      </c>
      <c r="G3625">
        <v>39.43</v>
      </c>
      <c r="H3625">
        <v>3745.85</v>
      </c>
    </row>
    <row r="3626" spans="1:8" x14ac:dyDescent="0.35">
      <c r="A3626" t="s">
        <v>6</v>
      </c>
      <c r="B3626" t="s">
        <v>12</v>
      </c>
      <c r="C3626" t="s">
        <v>9</v>
      </c>
      <c r="D3626">
        <v>259</v>
      </c>
      <c r="E3626">
        <v>3</v>
      </c>
      <c r="F3626">
        <v>1.1599999999999999</v>
      </c>
      <c r="G3626">
        <v>49.21</v>
      </c>
      <c r="H3626">
        <v>12745.39</v>
      </c>
    </row>
    <row r="3627" spans="1:8" x14ac:dyDescent="0.35">
      <c r="A3627" t="s">
        <v>6</v>
      </c>
      <c r="B3627" t="s">
        <v>12</v>
      </c>
      <c r="C3627" t="s">
        <v>9</v>
      </c>
      <c r="D3627">
        <v>126</v>
      </c>
      <c r="E3627">
        <v>0</v>
      </c>
      <c r="F3627">
        <v>0</v>
      </c>
      <c r="G3627">
        <v>60.41</v>
      </c>
      <c r="H3627">
        <v>7611.66</v>
      </c>
    </row>
    <row r="3628" spans="1:8" x14ac:dyDescent="0.35">
      <c r="A3628" t="s">
        <v>7</v>
      </c>
      <c r="B3628" t="s">
        <v>12</v>
      </c>
      <c r="C3628" t="s">
        <v>9</v>
      </c>
      <c r="D3628">
        <v>150</v>
      </c>
      <c r="E3628">
        <v>14</v>
      </c>
      <c r="F3628">
        <v>9.33</v>
      </c>
      <c r="G3628">
        <v>49.54</v>
      </c>
      <c r="H3628">
        <v>7431</v>
      </c>
    </row>
    <row r="3629" spans="1:8" x14ac:dyDescent="0.35">
      <c r="A3629" t="s">
        <v>8</v>
      </c>
      <c r="B3629" t="s">
        <v>12</v>
      </c>
      <c r="C3629" t="s">
        <v>9</v>
      </c>
      <c r="D3629">
        <v>148</v>
      </c>
      <c r="E3629">
        <v>0</v>
      </c>
      <c r="F3629">
        <v>0</v>
      </c>
      <c r="G3629">
        <v>51.42</v>
      </c>
      <c r="H3629">
        <v>7610.16</v>
      </c>
    </row>
    <row r="3630" spans="1:8" x14ac:dyDescent="0.35">
      <c r="A3630" t="s">
        <v>6</v>
      </c>
      <c r="B3630" t="s">
        <v>12</v>
      </c>
      <c r="C3630" t="s">
        <v>11</v>
      </c>
      <c r="D3630">
        <v>206</v>
      </c>
      <c r="E3630">
        <v>7</v>
      </c>
      <c r="F3630">
        <v>3.4</v>
      </c>
      <c r="G3630">
        <v>15.63</v>
      </c>
      <c r="H3630">
        <v>3219.78</v>
      </c>
    </row>
    <row r="3631" spans="1:8" x14ac:dyDescent="0.35">
      <c r="A3631" t="s">
        <v>7</v>
      </c>
      <c r="B3631" t="s">
        <v>12</v>
      </c>
      <c r="C3631" t="s">
        <v>10</v>
      </c>
      <c r="D3631">
        <v>292</v>
      </c>
      <c r="E3631">
        <v>7</v>
      </c>
      <c r="F3631">
        <v>2.4</v>
      </c>
      <c r="G3631">
        <v>68.02</v>
      </c>
      <c r="H3631">
        <v>19861.84</v>
      </c>
    </row>
    <row r="3632" spans="1:8" x14ac:dyDescent="0.35">
      <c r="A3632" t="s">
        <v>6</v>
      </c>
      <c r="B3632" t="s">
        <v>12</v>
      </c>
      <c r="C3632" t="s">
        <v>9</v>
      </c>
      <c r="D3632">
        <v>251</v>
      </c>
      <c r="E3632">
        <v>24</v>
      </c>
      <c r="F3632">
        <v>9.56</v>
      </c>
      <c r="G3632">
        <v>58.65</v>
      </c>
      <c r="H3632">
        <v>14721.15</v>
      </c>
    </row>
    <row r="3633" spans="1:8" x14ac:dyDescent="0.35">
      <c r="A3633" t="s">
        <v>7</v>
      </c>
      <c r="B3633" t="s">
        <v>12</v>
      </c>
      <c r="C3633" t="s">
        <v>9</v>
      </c>
      <c r="D3633">
        <v>113</v>
      </c>
      <c r="E3633">
        <v>2</v>
      </c>
      <c r="F3633">
        <v>1.77</v>
      </c>
      <c r="G3633">
        <v>31.43</v>
      </c>
      <c r="H3633">
        <v>3551.59</v>
      </c>
    </row>
    <row r="3634" spans="1:8" x14ac:dyDescent="0.35">
      <c r="A3634" t="s">
        <v>7</v>
      </c>
      <c r="B3634" t="s">
        <v>12</v>
      </c>
      <c r="C3634" t="s">
        <v>10</v>
      </c>
      <c r="D3634">
        <v>241</v>
      </c>
      <c r="E3634">
        <v>3</v>
      </c>
      <c r="F3634">
        <v>1.24</v>
      </c>
      <c r="G3634">
        <v>22.12</v>
      </c>
      <c r="H3634">
        <v>5330.92</v>
      </c>
    </row>
    <row r="3635" spans="1:8" x14ac:dyDescent="0.35">
      <c r="A3635" t="s">
        <v>8</v>
      </c>
      <c r="B3635" t="s">
        <v>12</v>
      </c>
      <c r="C3635" t="s">
        <v>9</v>
      </c>
      <c r="D3635">
        <v>171</v>
      </c>
      <c r="E3635">
        <v>10</v>
      </c>
      <c r="F3635">
        <v>5.85</v>
      </c>
      <c r="G3635">
        <v>53.68</v>
      </c>
      <c r="H3635">
        <v>9179.2800000000007</v>
      </c>
    </row>
    <row r="3636" spans="1:8" x14ac:dyDescent="0.35">
      <c r="A3636" t="s">
        <v>5</v>
      </c>
      <c r="B3636" t="s">
        <v>12</v>
      </c>
      <c r="C3636" t="s">
        <v>9</v>
      </c>
      <c r="D3636">
        <v>110</v>
      </c>
      <c r="E3636">
        <v>2</v>
      </c>
      <c r="F3636">
        <v>1.82</v>
      </c>
      <c r="G3636">
        <v>54.25</v>
      </c>
      <c r="H3636">
        <v>5967.5</v>
      </c>
    </row>
    <row r="3637" spans="1:8" x14ac:dyDescent="0.35">
      <c r="A3637" t="s">
        <v>7</v>
      </c>
      <c r="B3637" t="s">
        <v>12</v>
      </c>
      <c r="C3637" t="s">
        <v>10</v>
      </c>
      <c r="D3637">
        <v>105</v>
      </c>
      <c r="E3637">
        <v>4</v>
      </c>
      <c r="F3637">
        <v>3.81</v>
      </c>
      <c r="G3637">
        <v>31.25</v>
      </c>
      <c r="H3637">
        <v>3281.25</v>
      </c>
    </row>
    <row r="3638" spans="1:8" x14ac:dyDescent="0.35">
      <c r="A3638" t="s">
        <v>6</v>
      </c>
      <c r="B3638" t="s">
        <v>12</v>
      </c>
      <c r="C3638" t="s">
        <v>9</v>
      </c>
      <c r="D3638">
        <v>83</v>
      </c>
      <c r="E3638">
        <v>0</v>
      </c>
      <c r="F3638">
        <v>0</v>
      </c>
      <c r="G3638">
        <v>16.41</v>
      </c>
      <c r="H3638">
        <v>1362.03</v>
      </c>
    </row>
    <row r="3639" spans="1:8" x14ac:dyDescent="0.35">
      <c r="A3639" t="s">
        <v>6</v>
      </c>
      <c r="B3639" t="s">
        <v>12</v>
      </c>
      <c r="C3639" t="s">
        <v>11</v>
      </c>
      <c r="D3639">
        <v>92</v>
      </c>
      <c r="E3639">
        <v>6</v>
      </c>
      <c r="F3639">
        <v>6.52</v>
      </c>
      <c r="G3639">
        <v>35.76</v>
      </c>
      <c r="H3639">
        <v>3289.92</v>
      </c>
    </row>
    <row r="3640" spans="1:8" x14ac:dyDescent="0.35">
      <c r="A3640" t="s">
        <v>6</v>
      </c>
      <c r="B3640" t="s">
        <v>12</v>
      </c>
      <c r="C3640" t="s">
        <v>11</v>
      </c>
      <c r="D3640">
        <v>289</v>
      </c>
      <c r="E3640">
        <v>4</v>
      </c>
      <c r="F3640">
        <v>1.38</v>
      </c>
      <c r="G3640">
        <v>69.239999999999995</v>
      </c>
      <c r="H3640">
        <v>20010.36</v>
      </c>
    </row>
    <row r="3641" spans="1:8" x14ac:dyDescent="0.35">
      <c r="A3641" t="s">
        <v>7</v>
      </c>
      <c r="B3641" t="s">
        <v>12</v>
      </c>
      <c r="C3641" t="s">
        <v>9</v>
      </c>
      <c r="D3641">
        <v>95</v>
      </c>
      <c r="E3641">
        <v>2</v>
      </c>
      <c r="F3641">
        <v>2.11</v>
      </c>
      <c r="G3641">
        <v>35.31</v>
      </c>
      <c r="H3641">
        <v>3354.45</v>
      </c>
    </row>
    <row r="3642" spans="1:8" x14ac:dyDescent="0.35">
      <c r="A3642" t="s">
        <v>8</v>
      </c>
      <c r="B3642" t="s">
        <v>12</v>
      </c>
      <c r="C3642" t="s">
        <v>9</v>
      </c>
      <c r="D3642">
        <v>62</v>
      </c>
      <c r="E3642">
        <v>3</v>
      </c>
      <c r="F3642">
        <v>4.84</v>
      </c>
      <c r="G3642">
        <v>49.54</v>
      </c>
      <c r="H3642">
        <v>3071.48</v>
      </c>
    </row>
    <row r="3643" spans="1:8" x14ac:dyDescent="0.35">
      <c r="A3643" t="s">
        <v>6</v>
      </c>
      <c r="B3643" t="s">
        <v>12</v>
      </c>
      <c r="C3643" t="s">
        <v>9</v>
      </c>
      <c r="D3643">
        <v>227</v>
      </c>
      <c r="E3643">
        <v>6</v>
      </c>
      <c r="F3643">
        <v>2.64</v>
      </c>
      <c r="G3643">
        <v>69.88</v>
      </c>
      <c r="H3643">
        <v>15862.76</v>
      </c>
    </row>
    <row r="3644" spans="1:8" x14ac:dyDescent="0.35">
      <c r="A3644" t="s">
        <v>7</v>
      </c>
      <c r="B3644" t="s">
        <v>12</v>
      </c>
      <c r="C3644" t="s">
        <v>9</v>
      </c>
      <c r="D3644">
        <v>204</v>
      </c>
      <c r="E3644">
        <v>6</v>
      </c>
      <c r="F3644">
        <v>2.94</v>
      </c>
      <c r="G3644">
        <v>37.79</v>
      </c>
      <c r="H3644">
        <v>7709.16</v>
      </c>
    </row>
    <row r="3645" spans="1:8" x14ac:dyDescent="0.35">
      <c r="A3645" t="s">
        <v>7</v>
      </c>
      <c r="B3645" t="s">
        <v>12</v>
      </c>
      <c r="C3645" t="s">
        <v>10</v>
      </c>
      <c r="D3645">
        <v>93</v>
      </c>
      <c r="E3645">
        <v>5</v>
      </c>
      <c r="F3645">
        <v>5.38</v>
      </c>
      <c r="G3645">
        <v>39.39</v>
      </c>
      <c r="H3645">
        <v>3663.27</v>
      </c>
    </row>
    <row r="3646" spans="1:8" x14ac:dyDescent="0.35">
      <c r="A3646" t="s">
        <v>7</v>
      </c>
      <c r="B3646" t="s">
        <v>12</v>
      </c>
      <c r="C3646" t="s">
        <v>9</v>
      </c>
      <c r="D3646">
        <v>275</v>
      </c>
      <c r="E3646">
        <v>24</v>
      </c>
      <c r="F3646">
        <v>8.73</v>
      </c>
      <c r="G3646">
        <v>8.25</v>
      </c>
      <c r="H3646">
        <v>2268.75</v>
      </c>
    </row>
    <row r="3647" spans="1:8" x14ac:dyDescent="0.35">
      <c r="A3647" t="s">
        <v>8</v>
      </c>
      <c r="B3647" t="s">
        <v>12</v>
      </c>
      <c r="C3647" t="s">
        <v>9</v>
      </c>
      <c r="D3647">
        <v>154</v>
      </c>
      <c r="E3647">
        <v>15</v>
      </c>
      <c r="F3647">
        <v>9.74</v>
      </c>
      <c r="G3647">
        <v>27</v>
      </c>
      <c r="H3647">
        <v>4158</v>
      </c>
    </row>
    <row r="3648" spans="1:8" x14ac:dyDescent="0.35">
      <c r="A3648" t="s">
        <v>7</v>
      </c>
      <c r="B3648" t="s">
        <v>12</v>
      </c>
      <c r="C3648" t="s">
        <v>10</v>
      </c>
      <c r="D3648">
        <v>168</v>
      </c>
      <c r="E3648">
        <v>12</v>
      </c>
      <c r="F3648">
        <v>7.14</v>
      </c>
      <c r="G3648">
        <v>25.28</v>
      </c>
      <c r="H3648">
        <v>4247.04</v>
      </c>
    </row>
    <row r="3649" spans="1:8" x14ac:dyDescent="0.35">
      <c r="A3649" t="s">
        <v>7</v>
      </c>
      <c r="B3649" t="s">
        <v>12</v>
      </c>
      <c r="C3649" t="s">
        <v>9</v>
      </c>
      <c r="D3649">
        <v>167</v>
      </c>
      <c r="E3649">
        <v>16</v>
      </c>
      <c r="F3649">
        <v>9.58</v>
      </c>
      <c r="G3649">
        <v>60.84</v>
      </c>
      <c r="H3649">
        <v>10160.280000000001</v>
      </c>
    </row>
    <row r="3650" spans="1:8" x14ac:dyDescent="0.35">
      <c r="A3650" t="s">
        <v>8</v>
      </c>
      <c r="B3650" t="s">
        <v>12</v>
      </c>
      <c r="C3650" t="s">
        <v>9</v>
      </c>
      <c r="D3650">
        <v>70</v>
      </c>
      <c r="E3650">
        <v>1</v>
      </c>
      <c r="F3650">
        <v>1.43</v>
      </c>
      <c r="G3650">
        <v>24.24</v>
      </c>
      <c r="H3650">
        <v>1696.8</v>
      </c>
    </row>
    <row r="3651" spans="1:8" x14ac:dyDescent="0.35">
      <c r="A3651" t="s">
        <v>8</v>
      </c>
      <c r="B3651" t="s">
        <v>12</v>
      </c>
      <c r="C3651" t="s">
        <v>9</v>
      </c>
      <c r="D3651">
        <v>175</v>
      </c>
      <c r="E3651">
        <v>14</v>
      </c>
      <c r="F3651">
        <v>8</v>
      </c>
      <c r="G3651">
        <v>26.52</v>
      </c>
      <c r="H3651">
        <v>4641</v>
      </c>
    </row>
    <row r="3652" spans="1:8" x14ac:dyDescent="0.35">
      <c r="A3652" t="s">
        <v>7</v>
      </c>
      <c r="B3652" t="s">
        <v>12</v>
      </c>
      <c r="C3652" t="s">
        <v>10</v>
      </c>
      <c r="D3652">
        <v>209</v>
      </c>
      <c r="E3652">
        <v>4</v>
      </c>
      <c r="F3652">
        <v>1.91</v>
      </c>
      <c r="G3652">
        <v>58.54</v>
      </c>
      <c r="H3652">
        <v>12234.86</v>
      </c>
    </row>
    <row r="3653" spans="1:8" x14ac:dyDescent="0.35">
      <c r="A3653" t="s">
        <v>7</v>
      </c>
      <c r="B3653" t="s">
        <v>12</v>
      </c>
      <c r="C3653" t="s">
        <v>10</v>
      </c>
      <c r="D3653">
        <v>194</v>
      </c>
      <c r="E3653">
        <v>8</v>
      </c>
      <c r="F3653">
        <v>4.12</v>
      </c>
      <c r="G3653">
        <v>5.69</v>
      </c>
      <c r="H3653">
        <v>1103.8599999999999</v>
      </c>
    </row>
    <row r="3654" spans="1:8" x14ac:dyDescent="0.35">
      <c r="A3654" t="s">
        <v>6</v>
      </c>
      <c r="B3654" t="s">
        <v>12</v>
      </c>
      <c r="C3654" t="s">
        <v>9</v>
      </c>
      <c r="D3654">
        <v>276</v>
      </c>
      <c r="E3654">
        <v>21</v>
      </c>
      <c r="F3654">
        <v>7.61</v>
      </c>
      <c r="G3654">
        <v>21.4</v>
      </c>
      <c r="H3654">
        <v>5906.4</v>
      </c>
    </row>
    <row r="3655" spans="1:8" x14ac:dyDescent="0.35">
      <c r="A3655" t="s">
        <v>5</v>
      </c>
      <c r="B3655" t="s">
        <v>12</v>
      </c>
      <c r="C3655" t="s">
        <v>9</v>
      </c>
      <c r="D3655">
        <v>86</v>
      </c>
      <c r="E3655">
        <v>7</v>
      </c>
      <c r="F3655">
        <v>8.14</v>
      </c>
      <c r="G3655">
        <v>33.15</v>
      </c>
      <c r="H3655">
        <v>2850.9</v>
      </c>
    </row>
    <row r="3656" spans="1:8" x14ac:dyDescent="0.35">
      <c r="A3656" t="s">
        <v>7</v>
      </c>
      <c r="B3656" t="s">
        <v>12</v>
      </c>
      <c r="C3656" t="s">
        <v>10</v>
      </c>
      <c r="D3656">
        <v>138</v>
      </c>
      <c r="E3656">
        <v>8</v>
      </c>
      <c r="F3656">
        <v>5.8</v>
      </c>
      <c r="G3656">
        <v>20</v>
      </c>
      <c r="H3656">
        <v>2760</v>
      </c>
    </row>
    <row r="3657" spans="1:8" x14ac:dyDescent="0.35">
      <c r="A3657" t="s">
        <v>5</v>
      </c>
      <c r="B3657" t="s">
        <v>12</v>
      </c>
      <c r="C3657" t="s">
        <v>9</v>
      </c>
      <c r="D3657">
        <v>210</v>
      </c>
      <c r="E3657">
        <v>5</v>
      </c>
      <c r="F3657">
        <v>2.38</v>
      </c>
      <c r="G3657">
        <v>7.13</v>
      </c>
      <c r="H3657">
        <v>1497.3</v>
      </c>
    </row>
    <row r="3658" spans="1:8" x14ac:dyDescent="0.35">
      <c r="A3658" t="s">
        <v>7</v>
      </c>
      <c r="B3658" t="s">
        <v>12</v>
      </c>
      <c r="C3658" t="s">
        <v>9</v>
      </c>
      <c r="D3658">
        <v>277</v>
      </c>
      <c r="E3658">
        <v>26</v>
      </c>
      <c r="F3658">
        <v>9.39</v>
      </c>
      <c r="G3658">
        <v>67.8</v>
      </c>
      <c r="H3658">
        <v>18780.599999999999</v>
      </c>
    </row>
    <row r="3659" spans="1:8" x14ac:dyDescent="0.35">
      <c r="A3659" t="s">
        <v>7</v>
      </c>
      <c r="B3659" t="s">
        <v>12</v>
      </c>
      <c r="C3659" t="s">
        <v>10</v>
      </c>
      <c r="D3659">
        <v>281</v>
      </c>
      <c r="E3659">
        <v>14</v>
      </c>
      <c r="F3659">
        <v>4.9800000000000004</v>
      </c>
      <c r="G3659">
        <v>13.64</v>
      </c>
      <c r="H3659">
        <v>3832.84</v>
      </c>
    </row>
    <row r="3660" spans="1:8" x14ac:dyDescent="0.35">
      <c r="A3660" t="s">
        <v>6</v>
      </c>
      <c r="B3660" t="s">
        <v>12</v>
      </c>
      <c r="C3660" t="s">
        <v>9</v>
      </c>
      <c r="D3660">
        <v>116</v>
      </c>
      <c r="E3660">
        <v>6</v>
      </c>
      <c r="F3660">
        <v>5.17</v>
      </c>
      <c r="G3660">
        <v>37.56</v>
      </c>
      <c r="H3660">
        <v>4356.96</v>
      </c>
    </row>
    <row r="3661" spans="1:8" x14ac:dyDescent="0.35">
      <c r="A3661" t="s">
        <v>5</v>
      </c>
      <c r="B3661" t="s">
        <v>12</v>
      </c>
      <c r="C3661" t="s">
        <v>9</v>
      </c>
      <c r="D3661">
        <v>94</v>
      </c>
      <c r="E3661">
        <v>5</v>
      </c>
      <c r="F3661">
        <v>5.32</v>
      </c>
      <c r="G3661">
        <v>52.86</v>
      </c>
      <c r="H3661">
        <v>4968.84</v>
      </c>
    </row>
    <row r="3662" spans="1:8" x14ac:dyDescent="0.35">
      <c r="A3662" t="s">
        <v>8</v>
      </c>
      <c r="B3662" t="s">
        <v>12</v>
      </c>
      <c r="C3662" t="s">
        <v>9</v>
      </c>
      <c r="D3662">
        <v>155</v>
      </c>
      <c r="E3662">
        <v>4</v>
      </c>
      <c r="F3662">
        <v>2.58</v>
      </c>
      <c r="G3662">
        <v>33.020000000000003</v>
      </c>
      <c r="H3662">
        <v>5118.1000000000004</v>
      </c>
    </row>
    <row r="3663" spans="1:8" x14ac:dyDescent="0.35">
      <c r="A3663" t="s">
        <v>7</v>
      </c>
      <c r="B3663" t="s">
        <v>12</v>
      </c>
      <c r="C3663" t="s">
        <v>9</v>
      </c>
      <c r="D3663">
        <v>237</v>
      </c>
      <c r="E3663">
        <v>18</v>
      </c>
      <c r="F3663">
        <v>7.59</v>
      </c>
      <c r="G3663">
        <v>58.83</v>
      </c>
      <c r="H3663">
        <v>13942.71</v>
      </c>
    </row>
    <row r="3664" spans="1:8" x14ac:dyDescent="0.35">
      <c r="A3664" t="s">
        <v>7</v>
      </c>
      <c r="B3664" t="s">
        <v>12</v>
      </c>
      <c r="C3664" t="s">
        <v>10</v>
      </c>
      <c r="D3664">
        <v>266</v>
      </c>
      <c r="E3664">
        <v>18</v>
      </c>
      <c r="F3664">
        <v>6.77</v>
      </c>
      <c r="G3664">
        <v>22.63</v>
      </c>
      <c r="H3664">
        <v>6019.58</v>
      </c>
    </row>
    <row r="3665" spans="1:8" x14ac:dyDescent="0.35">
      <c r="A3665" t="s">
        <v>6</v>
      </c>
      <c r="B3665" t="s">
        <v>12</v>
      </c>
      <c r="C3665" t="s">
        <v>9</v>
      </c>
      <c r="D3665">
        <v>226</v>
      </c>
      <c r="E3665">
        <v>8</v>
      </c>
      <c r="F3665">
        <v>3.54</v>
      </c>
      <c r="G3665">
        <v>68.540000000000006</v>
      </c>
      <c r="H3665">
        <v>15490.04</v>
      </c>
    </row>
    <row r="3666" spans="1:8" x14ac:dyDescent="0.35">
      <c r="A3666" t="s">
        <v>6</v>
      </c>
      <c r="B3666" t="s">
        <v>12</v>
      </c>
      <c r="C3666" t="s">
        <v>11</v>
      </c>
      <c r="D3666">
        <v>50</v>
      </c>
      <c r="E3666">
        <v>1</v>
      </c>
      <c r="F3666">
        <v>2</v>
      </c>
      <c r="G3666">
        <v>41.8</v>
      </c>
      <c r="H3666">
        <v>2090</v>
      </c>
    </row>
    <row r="3667" spans="1:8" x14ac:dyDescent="0.35">
      <c r="A3667" t="s">
        <v>8</v>
      </c>
      <c r="B3667" t="s">
        <v>12</v>
      </c>
      <c r="C3667" t="s">
        <v>9</v>
      </c>
      <c r="D3667">
        <v>62</v>
      </c>
      <c r="E3667">
        <v>0</v>
      </c>
      <c r="F3667">
        <v>0</v>
      </c>
      <c r="G3667">
        <v>58.03</v>
      </c>
      <c r="H3667">
        <v>3597.86</v>
      </c>
    </row>
    <row r="3668" spans="1:8" x14ac:dyDescent="0.35">
      <c r="A3668" t="s">
        <v>7</v>
      </c>
      <c r="B3668" t="s">
        <v>12</v>
      </c>
      <c r="C3668" t="s">
        <v>10</v>
      </c>
      <c r="D3668">
        <v>298</v>
      </c>
      <c r="E3668">
        <v>19</v>
      </c>
      <c r="F3668">
        <v>6.38</v>
      </c>
      <c r="G3668">
        <v>61.38</v>
      </c>
      <c r="H3668">
        <v>18291.240000000002</v>
      </c>
    </row>
    <row r="3669" spans="1:8" x14ac:dyDescent="0.35">
      <c r="A3669" t="s">
        <v>6</v>
      </c>
      <c r="B3669" t="s">
        <v>12</v>
      </c>
      <c r="C3669" t="s">
        <v>9</v>
      </c>
      <c r="D3669">
        <v>209</v>
      </c>
      <c r="E3669">
        <v>17</v>
      </c>
      <c r="F3669">
        <v>8.1300000000000008</v>
      </c>
      <c r="G3669">
        <v>68.33</v>
      </c>
      <c r="H3669">
        <v>14280.97</v>
      </c>
    </row>
    <row r="3670" spans="1:8" x14ac:dyDescent="0.35">
      <c r="A3670" t="s">
        <v>7</v>
      </c>
      <c r="B3670" t="s">
        <v>12</v>
      </c>
      <c r="C3670" t="s">
        <v>9</v>
      </c>
      <c r="D3670">
        <v>92</v>
      </c>
      <c r="E3670">
        <v>1</v>
      </c>
      <c r="F3670">
        <v>1.0900000000000001</v>
      </c>
      <c r="G3670">
        <v>51.45</v>
      </c>
      <c r="H3670">
        <v>4733.3999999999996</v>
      </c>
    </row>
    <row r="3671" spans="1:8" x14ac:dyDescent="0.35">
      <c r="A3671" t="s">
        <v>7</v>
      </c>
      <c r="B3671" t="s">
        <v>12</v>
      </c>
      <c r="C3671" t="s">
        <v>9</v>
      </c>
      <c r="D3671">
        <v>51</v>
      </c>
      <c r="E3671">
        <v>5</v>
      </c>
      <c r="F3671">
        <v>9.8000000000000007</v>
      </c>
      <c r="G3671">
        <v>36.72</v>
      </c>
      <c r="H3671">
        <v>1872.72</v>
      </c>
    </row>
    <row r="3672" spans="1:8" x14ac:dyDescent="0.35">
      <c r="A3672" t="s">
        <v>5</v>
      </c>
      <c r="B3672" t="s">
        <v>12</v>
      </c>
      <c r="C3672" t="s">
        <v>9</v>
      </c>
      <c r="D3672">
        <v>69</v>
      </c>
      <c r="E3672">
        <v>4</v>
      </c>
      <c r="F3672">
        <v>5.8</v>
      </c>
      <c r="G3672">
        <v>8.2200000000000006</v>
      </c>
      <c r="H3672">
        <v>567.17999999999995</v>
      </c>
    </row>
    <row r="3673" spans="1:8" x14ac:dyDescent="0.35">
      <c r="A3673" t="s">
        <v>6</v>
      </c>
      <c r="B3673" t="s">
        <v>12</v>
      </c>
      <c r="C3673" t="s">
        <v>11</v>
      </c>
      <c r="D3673">
        <v>172</v>
      </c>
      <c r="E3673">
        <v>14</v>
      </c>
      <c r="F3673">
        <v>8.14</v>
      </c>
      <c r="G3673">
        <v>62.77</v>
      </c>
      <c r="H3673">
        <v>10796.44</v>
      </c>
    </row>
    <row r="3674" spans="1:8" x14ac:dyDescent="0.35">
      <c r="A3674" t="s">
        <v>8</v>
      </c>
      <c r="B3674" t="s">
        <v>12</v>
      </c>
      <c r="C3674" t="s">
        <v>9</v>
      </c>
      <c r="D3674">
        <v>246</v>
      </c>
      <c r="E3674">
        <v>11</v>
      </c>
      <c r="F3674">
        <v>4.47</v>
      </c>
      <c r="G3674">
        <v>5.53</v>
      </c>
      <c r="H3674">
        <v>1360.38</v>
      </c>
    </row>
    <row r="3675" spans="1:8" x14ac:dyDescent="0.35">
      <c r="A3675" t="s">
        <v>6</v>
      </c>
      <c r="B3675" t="s">
        <v>12</v>
      </c>
      <c r="C3675" t="s">
        <v>9</v>
      </c>
      <c r="D3675">
        <v>114</v>
      </c>
      <c r="E3675">
        <v>8</v>
      </c>
      <c r="F3675">
        <v>7.02</v>
      </c>
      <c r="G3675">
        <v>64.86</v>
      </c>
      <c r="H3675">
        <v>7394.04</v>
      </c>
    </row>
    <row r="3676" spans="1:8" x14ac:dyDescent="0.35">
      <c r="A3676" t="s">
        <v>5</v>
      </c>
      <c r="B3676" t="s">
        <v>12</v>
      </c>
      <c r="C3676" t="s">
        <v>9</v>
      </c>
      <c r="D3676">
        <v>248</v>
      </c>
      <c r="E3676">
        <v>3</v>
      </c>
      <c r="F3676">
        <v>1.21</v>
      </c>
      <c r="G3676">
        <v>29.43</v>
      </c>
      <c r="H3676">
        <v>7298.64</v>
      </c>
    </row>
    <row r="3677" spans="1:8" x14ac:dyDescent="0.35">
      <c r="A3677" t="s">
        <v>6</v>
      </c>
      <c r="B3677" t="s">
        <v>12</v>
      </c>
      <c r="C3677" t="s">
        <v>9</v>
      </c>
      <c r="D3677">
        <v>147</v>
      </c>
      <c r="E3677">
        <v>5</v>
      </c>
      <c r="F3677">
        <v>3.4</v>
      </c>
      <c r="G3677">
        <v>43.08</v>
      </c>
      <c r="H3677">
        <v>6332.76</v>
      </c>
    </row>
    <row r="3678" spans="1:8" x14ac:dyDescent="0.35">
      <c r="A3678" t="s">
        <v>6</v>
      </c>
      <c r="B3678" t="s">
        <v>12</v>
      </c>
      <c r="C3678" t="s">
        <v>11</v>
      </c>
      <c r="D3678">
        <v>162</v>
      </c>
      <c r="E3678">
        <v>13</v>
      </c>
      <c r="F3678">
        <v>8.02</v>
      </c>
      <c r="G3678">
        <v>57.42</v>
      </c>
      <c r="H3678">
        <v>9302.0400000000009</v>
      </c>
    </row>
    <row r="3679" spans="1:8" x14ac:dyDescent="0.35">
      <c r="A3679" t="s">
        <v>7</v>
      </c>
      <c r="B3679" t="s">
        <v>12</v>
      </c>
      <c r="C3679" t="s">
        <v>9</v>
      </c>
      <c r="D3679">
        <v>113</v>
      </c>
      <c r="E3679">
        <v>11</v>
      </c>
      <c r="F3679">
        <v>9.73</v>
      </c>
      <c r="G3679">
        <v>53.57</v>
      </c>
      <c r="H3679">
        <v>6053.41</v>
      </c>
    </row>
    <row r="3680" spans="1:8" x14ac:dyDescent="0.35">
      <c r="A3680" t="s">
        <v>6</v>
      </c>
      <c r="B3680" t="s">
        <v>12</v>
      </c>
      <c r="C3680" t="s">
        <v>9</v>
      </c>
      <c r="D3680">
        <v>258</v>
      </c>
      <c r="E3680">
        <v>15</v>
      </c>
      <c r="F3680">
        <v>5.81</v>
      </c>
      <c r="G3680">
        <v>47.53</v>
      </c>
      <c r="H3680">
        <v>12262.74</v>
      </c>
    </row>
    <row r="3681" spans="1:8" x14ac:dyDescent="0.35">
      <c r="A3681" t="s">
        <v>6</v>
      </c>
      <c r="B3681" t="s">
        <v>12</v>
      </c>
      <c r="C3681" t="s">
        <v>9</v>
      </c>
      <c r="D3681">
        <v>215</v>
      </c>
      <c r="E3681">
        <v>9</v>
      </c>
      <c r="F3681">
        <v>4.1900000000000004</v>
      </c>
      <c r="G3681">
        <v>53.35</v>
      </c>
      <c r="H3681">
        <v>11470.25</v>
      </c>
    </row>
    <row r="3682" spans="1:8" x14ac:dyDescent="0.35">
      <c r="A3682" t="s">
        <v>5</v>
      </c>
      <c r="B3682" t="s">
        <v>12</v>
      </c>
      <c r="C3682" t="s">
        <v>9</v>
      </c>
      <c r="D3682">
        <v>263</v>
      </c>
      <c r="E3682">
        <v>1</v>
      </c>
      <c r="F3682">
        <v>0.38</v>
      </c>
      <c r="G3682">
        <v>29.94</v>
      </c>
      <c r="H3682">
        <v>7874.22</v>
      </c>
    </row>
    <row r="3683" spans="1:8" x14ac:dyDescent="0.35">
      <c r="A3683" t="s">
        <v>6</v>
      </c>
      <c r="B3683" t="s">
        <v>12</v>
      </c>
      <c r="C3683" t="s">
        <v>9</v>
      </c>
      <c r="D3683">
        <v>237</v>
      </c>
      <c r="E3683">
        <v>9</v>
      </c>
      <c r="F3683">
        <v>3.8</v>
      </c>
      <c r="G3683">
        <v>30.17</v>
      </c>
      <c r="H3683">
        <v>7150.29</v>
      </c>
    </row>
    <row r="3684" spans="1:8" x14ac:dyDescent="0.35">
      <c r="A3684" t="s">
        <v>7</v>
      </c>
      <c r="B3684" t="s">
        <v>12</v>
      </c>
      <c r="C3684" t="s">
        <v>9</v>
      </c>
      <c r="D3684">
        <v>181</v>
      </c>
      <c r="E3684">
        <v>2</v>
      </c>
      <c r="F3684">
        <v>1.1000000000000001</v>
      </c>
      <c r="G3684">
        <v>49.14</v>
      </c>
      <c r="H3684">
        <v>8894.34</v>
      </c>
    </row>
    <row r="3685" spans="1:8" x14ac:dyDescent="0.35">
      <c r="A3685" t="s">
        <v>6</v>
      </c>
      <c r="B3685" t="s">
        <v>12</v>
      </c>
      <c r="C3685" t="s">
        <v>11</v>
      </c>
      <c r="D3685">
        <v>296</v>
      </c>
      <c r="E3685">
        <v>23</v>
      </c>
      <c r="F3685">
        <v>7.77</v>
      </c>
      <c r="G3685">
        <v>37.71</v>
      </c>
      <c r="H3685">
        <v>11162.16</v>
      </c>
    </row>
    <row r="3686" spans="1:8" x14ac:dyDescent="0.35">
      <c r="A3686" t="s">
        <v>7</v>
      </c>
      <c r="B3686" t="s">
        <v>12</v>
      </c>
      <c r="C3686" t="s">
        <v>9</v>
      </c>
      <c r="D3686">
        <v>189</v>
      </c>
      <c r="E3686">
        <v>17</v>
      </c>
      <c r="F3686">
        <v>8.99</v>
      </c>
      <c r="G3686">
        <v>69.569999999999993</v>
      </c>
      <c r="H3686">
        <v>13148.73</v>
      </c>
    </row>
    <row r="3687" spans="1:8" x14ac:dyDescent="0.35">
      <c r="A3687" t="s">
        <v>6</v>
      </c>
      <c r="B3687" t="s">
        <v>12</v>
      </c>
      <c r="C3687" t="s">
        <v>9</v>
      </c>
      <c r="D3687">
        <v>106</v>
      </c>
      <c r="E3687">
        <v>0</v>
      </c>
      <c r="F3687">
        <v>0</v>
      </c>
      <c r="G3687">
        <v>21.91</v>
      </c>
      <c r="H3687">
        <v>2322.46</v>
      </c>
    </row>
    <row r="3688" spans="1:8" x14ac:dyDescent="0.35">
      <c r="A3688" t="s">
        <v>5</v>
      </c>
      <c r="B3688" t="s">
        <v>12</v>
      </c>
      <c r="C3688" t="s">
        <v>9</v>
      </c>
      <c r="D3688">
        <v>146</v>
      </c>
      <c r="E3688">
        <v>3</v>
      </c>
      <c r="F3688">
        <v>2.0499999999999998</v>
      </c>
      <c r="G3688">
        <v>68.489999999999995</v>
      </c>
      <c r="H3688">
        <v>9999.5400000000009</v>
      </c>
    </row>
    <row r="3689" spans="1:8" x14ac:dyDescent="0.35">
      <c r="A3689" t="s">
        <v>6</v>
      </c>
      <c r="B3689" t="s">
        <v>12</v>
      </c>
      <c r="C3689" t="s">
        <v>11</v>
      </c>
      <c r="D3689">
        <v>231</v>
      </c>
      <c r="E3689">
        <v>1</v>
      </c>
      <c r="F3689">
        <v>0.43</v>
      </c>
      <c r="G3689">
        <v>41.13</v>
      </c>
      <c r="H3689">
        <v>9501.0300000000007</v>
      </c>
    </row>
    <row r="3690" spans="1:8" x14ac:dyDescent="0.35">
      <c r="A3690" t="s">
        <v>8</v>
      </c>
      <c r="B3690" t="s">
        <v>12</v>
      </c>
      <c r="C3690" t="s">
        <v>9</v>
      </c>
      <c r="D3690">
        <v>55</v>
      </c>
      <c r="E3690">
        <v>4</v>
      </c>
      <c r="F3690">
        <v>7.27</v>
      </c>
      <c r="G3690">
        <v>58.34</v>
      </c>
      <c r="H3690">
        <v>3208.7</v>
      </c>
    </row>
    <row r="3691" spans="1:8" x14ac:dyDescent="0.35">
      <c r="A3691" t="s">
        <v>7</v>
      </c>
      <c r="B3691" t="s">
        <v>12</v>
      </c>
      <c r="C3691" t="s">
        <v>9</v>
      </c>
      <c r="D3691">
        <v>173</v>
      </c>
      <c r="E3691">
        <v>3</v>
      </c>
      <c r="F3691">
        <v>1.73</v>
      </c>
      <c r="G3691">
        <v>65.62</v>
      </c>
      <c r="H3691">
        <v>11352.26</v>
      </c>
    </row>
    <row r="3692" spans="1:8" x14ac:dyDescent="0.35">
      <c r="A3692" t="s">
        <v>5</v>
      </c>
      <c r="B3692" t="s">
        <v>12</v>
      </c>
      <c r="C3692" t="s">
        <v>9</v>
      </c>
      <c r="D3692">
        <v>238</v>
      </c>
      <c r="E3692">
        <v>3</v>
      </c>
      <c r="F3692">
        <v>1.26</v>
      </c>
      <c r="G3692">
        <v>38.75</v>
      </c>
      <c r="H3692">
        <v>9222.5</v>
      </c>
    </row>
    <row r="3693" spans="1:8" x14ac:dyDescent="0.35">
      <c r="A3693" t="s">
        <v>8</v>
      </c>
      <c r="B3693" t="s">
        <v>12</v>
      </c>
      <c r="C3693" t="s">
        <v>9</v>
      </c>
      <c r="D3693">
        <v>162</v>
      </c>
      <c r="E3693">
        <v>0</v>
      </c>
      <c r="F3693">
        <v>0</v>
      </c>
      <c r="G3693">
        <v>23.54</v>
      </c>
      <c r="H3693">
        <v>3813.48</v>
      </c>
    </row>
    <row r="3694" spans="1:8" x14ac:dyDescent="0.35">
      <c r="A3694" t="s">
        <v>5</v>
      </c>
      <c r="B3694" t="s">
        <v>12</v>
      </c>
      <c r="C3694" t="s">
        <v>9</v>
      </c>
      <c r="D3694">
        <v>246</v>
      </c>
      <c r="E3694">
        <v>20</v>
      </c>
      <c r="F3694">
        <v>8.1300000000000008</v>
      </c>
      <c r="G3694">
        <v>42.28</v>
      </c>
      <c r="H3694">
        <v>10400.879999999999</v>
      </c>
    </row>
    <row r="3695" spans="1:8" x14ac:dyDescent="0.35">
      <c r="A3695" t="s">
        <v>6</v>
      </c>
      <c r="B3695" t="s">
        <v>12</v>
      </c>
      <c r="C3695" t="s">
        <v>9</v>
      </c>
      <c r="D3695">
        <v>230</v>
      </c>
      <c r="E3695">
        <v>19</v>
      </c>
      <c r="F3695">
        <v>8.26</v>
      </c>
      <c r="G3695">
        <v>28.76</v>
      </c>
      <c r="H3695">
        <v>6614.8</v>
      </c>
    </row>
    <row r="3696" spans="1:8" x14ac:dyDescent="0.35">
      <c r="A3696" t="s">
        <v>6</v>
      </c>
      <c r="B3696" t="s">
        <v>12</v>
      </c>
      <c r="C3696" t="s">
        <v>11</v>
      </c>
      <c r="D3696">
        <v>129</v>
      </c>
      <c r="E3696">
        <v>6</v>
      </c>
      <c r="F3696">
        <v>4.6500000000000004</v>
      </c>
      <c r="G3696">
        <v>31.78</v>
      </c>
      <c r="H3696">
        <v>4099.62</v>
      </c>
    </row>
    <row r="3697" spans="1:8" x14ac:dyDescent="0.35">
      <c r="A3697" t="s">
        <v>7</v>
      </c>
      <c r="B3697" t="s">
        <v>12</v>
      </c>
      <c r="C3697" t="s">
        <v>9</v>
      </c>
      <c r="D3697">
        <v>148</v>
      </c>
      <c r="E3697">
        <v>6</v>
      </c>
      <c r="F3697">
        <v>4.05</v>
      </c>
      <c r="G3697">
        <v>11.86</v>
      </c>
      <c r="H3697">
        <v>1755.28</v>
      </c>
    </row>
    <row r="3698" spans="1:8" x14ac:dyDescent="0.35">
      <c r="A3698" t="s">
        <v>8</v>
      </c>
      <c r="B3698" t="s">
        <v>12</v>
      </c>
      <c r="C3698" t="s">
        <v>9</v>
      </c>
      <c r="D3698">
        <v>124</v>
      </c>
      <c r="E3698">
        <v>4</v>
      </c>
      <c r="F3698">
        <v>3.23</v>
      </c>
      <c r="G3698">
        <v>16.420000000000002</v>
      </c>
      <c r="H3698">
        <v>2036.08</v>
      </c>
    </row>
    <row r="3699" spans="1:8" x14ac:dyDescent="0.35">
      <c r="A3699" t="s">
        <v>8</v>
      </c>
      <c r="B3699" t="s">
        <v>12</v>
      </c>
      <c r="C3699" t="s">
        <v>9</v>
      </c>
      <c r="D3699">
        <v>113</v>
      </c>
      <c r="E3699">
        <v>5</v>
      </c>
      <c r="F3699">
        <v>4.42</v>
      </c>
      <c r="G3699">
        <v>35.46</v>
      </c>
      <c r="H3699">
        <v>4006.98</v>
      </c>
    </row>
    <row r="3700" spans="1:8" x14ac:dyDescent="0.35">
      <c r="A3700" t="s">
        <v>7</v>
      </c>
      <c r="B3700" t="s">
        <v>12</v>
      </c>
      <c r="C3700" t="s">
        <v>9</v>
      </c>
      <c r="D3700">
        <v>269</v>
      </c>
      <c r="E3700">
        <v>12</v>
      </c>
      <c r="F3700">
        <v>4.46</v>
      </c>
      <c r="G3700">
        <v>9.23</v>
      </c>
      <c r="H3700">
        <v>2482.87</v>
      </c>
    </row>
    <row r="3701" spans="1:8" x14ac:dyDescent="0.35">
      <c r="A3701" t="s">
        <v>7</v>
      </c>
      <c r="B3701" t="s">
        <v>12</v>
      </c>
      <c r="C3701" t="s">
        <v>10</v>
      </c>
      <c r="D3701">
        <v>175</v>
      </c>
      <c r="E3701">
        <v>9</v>
      </c>
      <c r="F3701">
        <v>5.14</v>
      </c>
      <c r="G3701">
        <v>63.46</v>
      </c>
      <c r="H3701">
        <v>11105.5</v>
      </c>
    </row>
    <row r="3702" spans="1:8" x14ac:dyDescent="0.35">
      <c r="A3702" t="s">
        <v>8</v>
      </c>
      <c r="B3702" t="s">
        <v>12</v>
      </c>
      <c r="C3702" t="s">
        <v>9</v>
      </c>
      <c r="D3702">
        <v>87</v>
      </c>
      <c r="E3702">
        <v>8</v>
      </c>
      <c r="F3702">
        <v>9.1999999999999993</v>
      </c>
      <c r="G3702">
        <v>64.78</v>
      </c>
      <c r="H3702">
        <v>5635.86</v>
      </c>
    </row>
    <row r="3703" spans="1:8" x14ac:dyDescent="0.35">
      <c r="A3703" t="s">
        <v>5</v>
      </c>
      <c r="B3703" t="s">
        <v>12</v>
      </c>
      <c r="C3703" t="s">
        <v>9</v>
      </c>
      <c r="D3703">
        <v>226</v>
      </c>
      <c r="E3703">
        <v>3</v>
      </c>
      <c r="F3703">
        <v>1.33</v>
      </c>
      <c r="G3703">
        <v>9.42</v>
      </c>
      <c r="H3703">
        <v>2128.92</v>
      </c>
    </row>
    <row r="3704" spans="1:8" x14ac:dyDescent="0.35">
      <c r="A3704" t="s">
        <v>6</v>
      </c>
      <c r="B3704" t="s">
        <v>12</v>
      </c>
      <c r="C3704" t="s">
        <v>9</v>
      </c>
      <c r="D3704">
        <v>228</v>
      </c>
      <c r="E3704">
        <v>17</v>
      </c>
      <c r="F3704">
        <v>7.46</v>
      </c>
      <c r="G3704">
        <v>26.9</v>
      </c>
      <c r="H3704">
        <v>6133.2</v>
      </c>
    </row>
    <row r="3705" spans="1:8" x14ac:dyDescent="0.35">
      <c r="A3705" t="s">
        <v>6</v>
      </c>
      <c r="B3705" t="s">
        <v>12</v>
      </c>
      <c r="C3705" t="s">
        <v>9</v>
      </c>
      <c r="D3705">
        <v>106</v>
      </c>
      <c r="E3705">
        <v>0</v>
      </c>
      <c r="F3705">
        <v>0</v>
      </c>
      <c r="G3705">
        <v>54.61</v>
      </c>
      <c r="H3705">
        <v>5788.66</v>
      </c>
    </row>
    <row r="3706" spans="1:8" x14ac:dyDescent="0.35">
      <c r="A3706" t="s">
        <v>7</v>
      </c>
      <c r="B3706" t="s">
        <v>12</v>
      </c>
      <c r="C3706" t="s">
        <v>10</v>
      </c>
      <c r="D3706">
        <v>211</v>
      </c>
      <c r="E3706">
        <v>14</v>
      </c>
      <c r="F3706">
        <v>6.64</v>
      </c>
      <c r="G3706">
        <v>45.82</v>
      </c>
      <c r="H3706">
        <v>9668.02</v>
      </c>
    </row>
    <row r="3707" spans="1:8" x14ac:dyDescent="0.35">
      <c r="A3707" t="s">
        <v>7</v>
      </c>
      <c r="B3707" t="s">
        <v>12</v>
      </c>
      <c r="C3707" t="s">
        <v>10</v>
      </c>
      <c r="D3707">
        <v>122</v>
      </c>
      <c r="E3707">
        <v>5</v>
      </c>
      <c r="F3707">
        <v>4.0999999999999996</v>
      </c>
      <c r="G3707">
        <v>13.31</v>
      </c>
      <c r="H3707">
        <v>1623.82</v>
      </c>
    </row>
    <row r="3708" spans="1:8" x14ac:dyDescent="0.35">
      <c r="A3708" t="s">
        <v>5</v>
      </c>
      <c r="B3708" t="s">
        <v>12</v>
      </c>
      <c r="C3708" t="s">
        <v>9</v>
      </c>
      <c r="D3708">
        <v>211</v>
      </c>
      <c r="E3708">
        <v>13</v>
      </c>
      <c r="F3708">
        <v>6.16</v>
      </c>
      <c r="G3708">
        <v>6.54</v>
      </c>
      <c r="H3708">
        <v>1379.94</v>
      </c>
    </row>
    <row r="3709" spans="1:8" x14ac:dyDescent="0.35">
      <c r="A3709" t="s">
        <v>6</v>
      </c>
      <c r="B3709" t="s">
        <v>12</v>
      </c>
      <c r="C3709" t="s">
        <v>11</v>
      </c>
      <c r="D3709">
        <v>212</v>
      </c>
      <c r="E3709">
        <v>11</v>
      </c>
      <c r="F3709">
        <v>5.19</v>
      </c>
      <c r="G3709">
        <v>63.5</v>
      </c>
      <c r="H3709">
        <v>13462</v>
      </c>
    </row>
    <row r="3710" spans="1:8" x14ac:dyDescent="0.35">
      <c r="A3710" t="s">
        <v>8</v>
      </c>
      <c r="B3710" t="s">
        <v>12</v>
      </c>
      <c r="C3710" t="s">
        <v>9</v>
      </c>
      <c r="D3710">
        <v>118</v>
      </c>
      <c r="E3710">
        <v>2</v>
      </c>
      <c r="F3710">
        <v>1.69</v>
      </c>
      <c r="G3710">
        <v>26.94</v>
      </c>
      <c r="H3710">
        <v>3178.92</v>
      </c>
    </row>
    <row r="3711" spans="1:8" x14ac:dyDescent="0.35">
      <c r="A3711" t="s">
        <v>7</v>
      </c>
      <c r="B3711" t="s">
        <v>12</v>
      </c>
      <c r="C3711" t="s">
        <v>9</v>
      </c>
      <c r="D3711">
        <v>139</v>
      </c>
      <c r="E3711">
        <v>9</v>
      </c>
      <c r="F3711">
        <v>6.47</v>
      </c>
      <c r="G3711">
        <v>65.3</v>
      </c>
      <c r="H3711">
        <v>9076.7000000000007</v>
      </c>
    </row>
    <row r="3712" spans="1:8" x14ac:dyDescent="0.35">
      <c r="A3712" t="s">
        <v>6</v>
      </c>
      <c r="B3712" t="s">
        <v>12</v>
      </c>
      <c r="C3712" t="s">
        <v>9</v>
      </c>
      <c r="D3712">
        <v>269</v>
      </c>
      <c r="E3712">
        <v>1</v>
      </c>
      <c r="F3712">
        <v>0.37</v>
      </c>
      <c r="G3712">
        <v>10.46</v>
      </c>
      <c r="H3712">
        <v>2813.74</v>
      </c>
    </row>
    <row r="3713" spans="1:8" x14ac:dyDescent="0.35">
      <c r="A3713" t="s">
        <v>8</v>
      </c>
      <c r="B3713" t="s">
        <v>12</v>
      </c>
      <c r="C3713" t="s">
        <v>9</v>
      </c>
      <c r="D3713">
        <v>271</v>
      </c>
      <c r="E3713">
        <v>23</v>
      </c>
      <c r="F3713">
        <v>8.49</v>
      </c>
      <c r="G3713">
        <v>65.599999999999994</v>
      </c>
      <c r="H3713">
        <v>17777.599999999999</v>
      </c>
    </row>
    <row r="3714" spans="1:8" x14ac:dyDescent="0.35">
      <c r="A3714" t="s">
        <v>5</v>
      </c>
      <c r="B3714" t="s">
        <v>12</v>
      </c>
      <c r="C3714" t="s">
        <v>9</v>
      </c>
      <c r="D3714">
        <v>132</v>
      </c>
      <c r="E3714">
        <v>10</v>
      </c>
      <c r="F3714">
        <v>7.58</v>
      </c>
      <c r="G3714">
        <v>10.85</v>
      </c>
      <c r="H3714">
        <v>1432.2</v>
      </c>
    </row>
    <row r="3715" spans="1:8" x14ac:dyDescent="0.35">
      <c r="A3715" t="s">
        <v>6</v>
      </c>
      <c r="B3715" t="s">
        <v>12</v>
      </c>
      <c r="C3715" t="s">
        <v>11</v>
      </c>
      <c r="D3715">
        <v>217</v>
      </c>
      <c r="E3715">
        <v>21</v>
      </c>
      <c r="F3715">
        <v>9.68</v>
      </c>
      <c r="G3715">
        <v>10.119999999999999</v>
      </c>
      <c r="H3715">
        <v>2196.04</v>
      </c>
    </row>
    <row r="3716" spans="1:8" x14ac:dyDescent="0.35">
      <c r="A3716" t="s">
        <v>6</v>
      </c>
      <c r="B3716" t="s">
        <v>12</v>
      </c>
      <c r="C3716" t="s">
        <v>9</v>
      </c>
      <c r="D3716">
        <v>121</v>
      </c>
      <c r="E3716">
        <v>0</v>
      </c>
      <c r="F3716">
        <v>0</v>
      </c>
      <c r="G3716">
        <v>65.53</v>
      </c>
      <c r="H3716">
        <v>7929.13</v>
      </c>
    </row>
    <row r="3717" spans="1:8" x14ac:dyDescent="0.35">
      <c r="A3717" t="s">
        <v>5</v>
      </c>
      <c r="B3717" t="s">
        <v>12</v>
      </c>
      <c r="C3717" t="s">
        <v>9</v>
      </c>
      <c r="D3717">
        <v>185</v>
      </c>
      <c r="E3717">
        <v>12</v>
      </c>
      <c r="F3717">
        <v>6.49</v>
      </c>
      <c r="G3717">
        <v>58.05</v>
      </c>
      <c r="H3717">
        <v>10739.25</v>
      </c>
    </row>
    <row r="3718" spans="1:8" x14ac:dyDescent="0.35">
      <c r="A3718" t="s">
        <v>6</v>
      </c>
      <c r="B3718" t="s">
        <v>12</v>
      </c>
      <c r="C3718" t="s">
        <v>9</v>
      </c>
      <c r="D3718">
        <v>280</v>
      </c>
      <c r="E3718">
        <v>28</v>
      </c>
      <c r="F3718">
        <v>10</v>
      </c>
      <c r="G3718">
        <v>20.5</v>
      </c>
      <c r="H3718">
        <v>5740</v>
      </c>
    </row>
    <row r="3719" spans="1:8" x14ac:dyDescent="0.35">
      <c r="A3719" t="s">
        <v>7</v>
      </c>
      <c r="B3719" t="s">
        <v>12</v>
      </c>
      <c r="C3719" t="s">
        <v>10</v>
      </c>
      <c r="D3719">
        <v>175</v>
      </c>
      <c r="E3719">
        <v>17</v>
      </c>
      <c r="F3719">
        <v>9.7100000000000009</v>
      </c>
      <c r="G3719">
        <v>21.13</v>
      </c>
      <c r="H3719">
        <v>3697.75</v>
      </c>
    </row>
    <row r="3720" spans="1:8" x14ac:dyDescent="0.35">
      <c r="A3720" t="s">
        <v>6</v>
      </c>
      <c r="B3720" t="s">
        <v>12</v>
      </c>
      <c r="C3720" t="s">
        <v>9</v>
      </c>
      <c r="D3720">
        <v>124</v>
      </c>
      <c r="E3720">
        <v>7</v>
      </c>
      <c r="F3720">
        <v>5.65</v>
      </c>
      <c r="G3720">
        <v>42.58</v>
      </c>
      <c r="H3720">
        <v>5279.92</v>
      </c>
    </row>
    <row r="3721" spans="1:8" x14ac:dyDescent="0.35">
      <c r="A3721" t="s">
        <v>7</v>
      </c>
      <c r="B3721" t="s">
        <v>12</v>
      </c>
      <c r="C3721" t="s">
        <v>10</v>
      </c>
      <c r="D3721">
        <v>93</v>
      </c>
      <c r="E3721">
        <v>5</v>
      </c>
      <c r="F3721">
        <v>5.38</v>
      </c>
      <c r="G3721">
        <v>34.76</v>
      </c>
      <c r="H3721">
        <v>3232.68</v>
      </c>
    </row>
    <row r="3722" spans="1:8" x14ac:dyDescent="0.35">
      <c r="A3722" t="s">
        <v>7</v>
      </c>
      <c r="B3722" t="s">
        <v>12</v>
      </c>
      <c r="C3722" t="s">
        <v>10</v>
      </c>
      <c r="D3722">
        <v>259</v>
      </c>
      <c r="E3722">
        <v>6</v>
      </c>
      <c r="F3722">
        <v>2.3199999999999998</v>
      </c>
      <c r="G3722">
        <v>20.07</v>
      </c>
      <c r="H3722">
        <v>5198.13</v>
      </c>
    </row>
    <row r="3723" spans="1:8" x14ac:dyDescent="0.35">
      <c r="A3723" t="s">
        <v>6</v>
      </c>
      <c r="B3723" t="s">
        <v>12</v>
      </c>
      <c r="C3723" t="s">
        <v>11</v>
      </c>
      <c r="D3723">
        <v>244</v>
      </c>
      <c r="E3723">
        <v>3</v>
      </c>
      <c r="F3723">
        <v>1.23</v>
      </c>
      <c r="G3723">
        <v>30.11</v>
      </c>
      <c r="H3723">
        <v>7346.84</v>
      </c>
    </row>
    <row r="3724" spans="1:8" x14ac:dyDescent="0.35">
      <c r="A3724" t="s">
        <v>6</v>
      </c>
      <c r="B3724" t="s">
        <v>12</v>
      </c>
      <c r="C3724" t="s">
        <v>9</v>
      </c>
      <c r="D3724">
        <v>288</v>
      </c>
      <c r="E3724">
        <v>21</v>
      </c>
      <c r="F3724">
        <v>7.29</v>
      </c>
      <c r="G3724">
        <v>59.24</v>
      </c>
      <c r="H3724">
        <v>17061.12</v>
      </c>
    </row>
    <row r="3725" spans="1:8" x14ac:dyDescent="0.35">
      <c r="A3725" t="s">
        <v>8</v>
      </c>
      <c r="B3725" t="s">
        <v>12</v>
      </c>
      <c r="C3725" t="s">
        <v>9</v>
      </c>
      <c r="D3725">
        <v>137</v>
      </c>
      <c r="E3725">
        <v>3</v>
      </c>
      <c r="F3725">
        <v>2.19</v>
      </c>
      <c r="G3725">
        <v>42.81</v>
      </c>
      <c r="H3725">
        <v>5864.97</v>
      </c>
    </row>
    <row r="3726" spans="1:8" x14ac:dyDescent="0.35">
      <c r="A3726" t="s">
        <v>6</v>
      </c>
      <c r="B3726" t="s">
        <v>12</v>
      </c>
      <c r="C3726" t="s">
        <v>9</v>
      </c>
      <c r="D3726">
        <v>236</v>
      </c>
      <c r="E3726">
        <v>18</v>
      </c>
      <c r="F3726">
        <v>7.63</v>
      </c>
      <c r="G3726">
        <v>41.05</v>
      </c>
      <c r="H3726">
        <v>9687.7999999999993</v>
      </c>
    </row>
    <row r="3727" spans="1:8" x14ac:dyDescent="0.35">
      <c r="A3727" t="s">
        <v>6</v>
      </c>
      <c r="B3727" t="s">
        <v>12</v>
      </c>
      <c r="C3727" t="s">
        <v>9</v>
      </c>
      <c r="D3727">
        <v>133</v>
      </c>
      <c r="E3727">
        <v>9</v>
      </c>
      <c r="F3727">
        <v>6.77</v>
      </c>
      <c r="G3727">
        <v>39.770000000000003</v>
      </c>
      <c r="H3727">
        <v>5289.41</v>
      </c>
    </row>
    <row r="3728" spans="1:8" x14ac:dyDescent="0.35">
      <c r="A3728" t="s">
        <v>7</v>
      </c>
      <c r="B3728" t="s">
        <v>12</v>
      </c>
      <c r="C3728" t="s">
        <v>9</v>
      </c>
      <c r="D3728">
        <v>202</v>
      </c>
      <c r="E3728">
        <v>8</v>
      </c>
      <c r="F3728">
        <v>3.96</v>
      </c>
      <c r="G3728">
        <v>51.56</v>
      </c>
      <c r="H3728">
        <v>10415.120000000001</v>
      </c>
    </row>
    <row r="3729" spans="1:8" x14ac:dyDescent="0.35">
      <c r="A3729" t="s">
        <v>7</v>
      </c>
      <c r="B3729" t="s">
        <v>12</v>
      </c>
      <c r="C3729" t="s">
        <v>10</v>
      </c>
      <c r="D3729">
        <v>283</v>
      </c>
      <c r="E3729">
        <v>0</v>
      </c>
      <c r="F3729">
        <v>0</v>
      </c>
      <c r="G3729">
        <v>32.950000000000003</v>
      </c>
      <c r="H3729">
        <v>9324.85</v>
      </c>
    </row>
    <row r="3730" spans="1:8" x14ac:dyDescent="0.35">
      <c r="A3730" t="s">
        <v>8</v>
      </c>
      <c r="B3730" t="s">
        <v>12</v>
      </c>
      <c r="C3730" t="s">
        <v>9</v>
      </c>
      <c r="D3730">
        <v>290</v>
      </c>
      <c r="E3730">
        <v>7</v>
      </c>
      <c r="F3730">
        <v>2.41</v>
      </c>
      <c r="G3730">
        <v>35.89</v>
      </c>
      <c r="H3730">
        <v>10408.1</v>
      </c>
    </row>
    <row r="3731" spans="1:8" x14ac:dyDescent="0.35">
      <c r="A3731" t="s">
        <v>8</v>
      </c>
      <c r="B3731" t="s">
        <v>12</v>
      </c>
      <c r="C3731" t="s">
        <v>9</v>
      </c>
      <c r="D3731">
        <v>260</v>
      </c>
      <c r="E3731">
        <v>10</v>
      </c>
      <c r="F3731">
        <v>3.85</v>
      </c>
      <c r="G3731">
        <v>17.399999999999999</v>
      </c>
      <c r="H3731">
        <v>4524</v>
      </c>
    </row>
    <row r="3732" spans="1:8" x14ac:dyDescent="0.35">
      <c r="A3732" t="s">
        <v>8</v>
      </c>
      <c r="B3732" t="s">
        <v>12</v>
      </c>
      <c r="C3732" t="s">
        <v>9</v>
      </c>
      <c r="D3732">
        <v>210</v>
      </c>
      <c r="E3732">
        <v>13</v>
      </c>
      <c r="F3732">
        <v>6.19</v>
      </c>
      <c r="G3732">
        <v>27.36</v>
      </c>
      <c r="H3732">
        <v>5745.6</v>
      </c>
    </row>
    <row r="3733" spans="1:8" x14ac:dyDescent="0.35">
      <c r="A3733" t="s">
        <v>8</v>
      </c>
      <c r="B3733" t="s">
        <v>12</v>
      </c>
      <c r="C3733" t="s">
        <v>9</v>
      </c>
      <c r="D3733">
        <v>193</v>
      </c>
      <c r="E3733">
        <v>1</v>
      </c>
      <c r="F3733">
        <v>0.52</v>
      </c>
      <c r="G3733">
        <v>25.09</v>
      </c>
      <c r="H3733">
        <v>4842.37</v>
      </c>
    </row>
    <row r="3734" spans="1:8" x14ac:dyDescent="0.35">
      <c r="A3734" t="s">
        <v>7</v>
      </c>
      <c r="B3734" t="s">
        <v>12</v>
      </c>
      <c r="C3734" t="s">
        <v>9</v>
      </c>
      <c r="D3734">
        <v>285</v>
      </c>
      <c r="E3734">
        <v>26</v>
      </c>
      <c r="F3734">
        <v>9.1199999999999992</v>
      </c>
      <c r="G3734">
        <v>28.97</v>
      </c>
      <c r="H3734">
        <v>8256.4500000000007</v>
      </c>
    </row>
    <row r="3735" spans="1:8" x14ac:dyDescent="0.35">
      <c r="A3735" t="s">
        <v>5</v>
      </c>
      <c r="B3735" t="s">
        <v>12</v>
      </c>
      <c r="C3735" t="s">
        <v>9</v>
      </c>
      <c r="D3735">
        <v>54</v>
      </c>
      <c r="E3735">
        <v>4</v>
      </c>
      <c r="F3735">
        <v>7.41</v>
      </c>
      <c r="G3735">
        <v>51</v>
      </c>
      <c r="H3735">
        <v>2754</v>
      </c>
    </row>
    <row r="3736" spans="1:8" x14ac:dyDescent="0.35">
      <c r="A3736" t="s">
        <v>7</v>
      </c>
      <c r="B3736" t="s">
        <v>12</v>
      </c>
      <c r="C3736" t="s">
        <v>10</v>
      </c>
      <c r="D3736">
        <v>66</v>
      </c>
      <c r="E3736">
        <v>3</v>
      </c>
      <c r="F3736">
        <v>4.55</v>
      </c>
      <c r="G3736">
        <v>67.099999999999994</v>
      </c>
      <c r="H3736">
        <v>4428.6000000000004</v>
      </c>
    </row>
    <row r="3737" spans="1:8" x14ac:dyDescent="0.35">
      <c r="A3737" t="s">
        <v>7</v>
      </c>
      <c r="B3737" t="s">
        <v>12</v>
      </c>
      <c r="C3737" t="s">
        <v>10</v>
      </c>
      <c r="D3737">
        <v>157</v>
      </c>
      <c r="E3737">
        <v>14</v>
      </c>
      <c r="F3737">
        <v>8.92</v>
      </c>
      <c r="G3737">
        <v>6.38</v>
      </c>
      <c r="H3737">
        <v>1001.66</v>
      </c>
    </row>
    <row r="3738" spans="1:8" x14ac:dyDescent="0.35">
      <c r="A3738" t="s">
        <v>7</v>
      </c>
      <c r="B3738" t="s">
        <v>12</v>
      </c>
      <c r="C3738" t="s">
        <v>9</v>
      </c>
      <c r="D3738">
        <v>281</v>
      </c>
      <c r="E3738">
        <v>20</v>
      </c>
      <c r="F3738">
        <v>7.12</v>
      </c>
      <c r="G3738">
        <v>14.23</v>
      </c>
      <c r="H3738">
        <v>3998.63</v>
      </c>
    </row>
    <row r="3739" spans="1:8" x14ac:dyDescent="0.35">
      <c r="A3739" t="s">
        <v>8</v>
      </c>
      <c r="B3739" t="s">
        <v>12</v>
      </c>
      <c r="C3739" t="s">
        <v>9</v>
      </c>
      <c r="D3739">
        <v>128</v>
      </c>
      <c r="E3739">
        <v>11</v>
      </c>
      <c r="F3739">
        <v>8.59</v>
      </c>
      <c r="G3739">
        <v>51.37</v>
      </c>
      <c r="H3739">
        <v>6575.36</v>
      </c>
    </row>
    <row r="3740" spans="1:8" x14ac:dyDescent="0.35">
      <c r="A3740" t="s">
        <v>6</v>
      </c>
      <c r="B3740" t="s">
        <v>12</v>
      </c>
      <c r="C3740" t="s">
        <v>9</v>
      </c>
      <c r="D3740">
        <v>283</v>
      </c>
      <c r="E3740">
        <v>2</v>
      </c>
      <c r="F3740">
        <v>0.71</v>
      </c>
      <c r="G3740">
        <v>58.43</v>
      </c>
      <c r="H3740">
        <v>16535.689999999999</v>
      </c>
    </row>
    <row r="3741" spans="1:8" x14ac:dyDescent="0.35">
      <c r="A3741" t="s">
        <v>6</v>
      </c>
      <c r="B3741" t="s">
        <v>12</v>
      </c>
      <c r="C3741" t="s">
        <v>11</v>
      </c>
      <c r="D3741">
        <v>105</v>
      </c>
      <c r="E3741">
        <v>9</v>
      </c>
      <c r="F3741">
        <v>8.57</v>
      </c>
      <c r="G3741">
        <v>27.85</v>
      </c>
      <c r="H3741">
        <v>2924.25</v>
      </c>
    </row>
    <row r="3742" spans="1:8" x14ac:dyDescent="0.35">
      <c r="A3742" t="s">
        <v>7</v>
      </c>
      <c r="B3742" t="s">
        <v>12</v>
      </c>
      <c r="C3742" t="s">
        <v>9</v>
      </c>
      <c r="D3742">
        <v>269</v>
      </c>
      <c r="E3742">
        <v>1</v>
      </c>
      <c r="F3742">
        <v>0.37</v>
      </c>
      <c r="G3742">
        <v>9.68</v>
      </c>
      <c r="H3742">
        <v>2603.92</v>
      </c>
    </row>
    <row r="3743" spans="1:8" x14ac:dyDescent="0.35">
      <c r="A3743" t="s">
        <v>5</v>
      </c>
      <c r="B3743" t="s">
        <v>12</v>
      </c>
      <c r="C3743" t="s">
        <v>9</v>
      </c>
      <c r="D3743">
        <v>120</v>
      </c>
      <c r="E3743">
        <v>6</v>
      </c>
      <c r="F3743">
        <v>5</v>
      </c>
      <c r="G3743">
        <v>16.07</v>
      </c>
      <c r="H3743">
        <v>1928.4</v>
      </c>
    </row>
    <row r="3744" spans="1:8" x14ac:dyDescent="0.35">
      <c r="A3744" t="s">
        <v>7</v>
      </c>
      <c r="B3744" t="s">
        <v>12</v>
      </c>
      <c r="C3744" t="s">
        <v>9</v>
      </c>
      <c r="D3744">
        <v>269</v>
      </c>
      <c r="E3744">
        <v>14</v>
      </c>
      <c r="F3744">
        <v>5.2</v>
      </c>
      <c r="G3744">
        <v>68.69</v>
      </c>
      <c r="H3744">
        <v>18477.61</v>
      </c>
    </row>
    <row r="3745" spans="1:8" x14ac:dyDescent="0.35">
      <c r="A3745" t="s">
        <v>7</v>
      </c>
      <c r="B3745" t="s">
        <v>12</v>
      </c>
      <c r="C3745" t="s">
        <v>10</v>
      </c>
      <c r="D3745">
        <v>65</v>
      </c>
      <c r="E3745">
        <v>5</v>
      </c>
      <c r="F3745">
        <v>7.69</v>
      </c>
      <c r="G3745">
        <v>13.04</v>
      </c>
      <c r="H3745">
        <v>847.6</v>
      </c>
    </row>
    <row r="3746" spans="1:8" x14ac:dyDescent="0.35">
      <c r="A3746" t="s">
        <v>8</v>
      </c>
      <c r="B3746" t="s">
        <v>12</v>
      </c>
      <c r="C3746" t="s">
        <v>9</v>
      </c>
      <c r="D3746">
        <v>60</v>
      </c>
      <c r="E3746">
        <v>5</v>
      </c>
      <c r="F3746">
        <v>8.33</v>
      </c>
      <c r="G3746">
        <v>55.19</v>
      </c>
      <c r="H3746">
        <v>3311.4</v>
      </c>
    </row>
    <row r="3747" spans="1:8" x14ac:dyDescent="0.35">
      <c r="A3747" t="s">
        <v>5</v>
      </c>
      <c r="B3747" t="s">
        <v>12</v>
      </c>
      <c r="C3747" t="s">
        <v>9</v>
      </c>
      <c r="D3747">
        <v>80</v>
      </c>
      <c r="E3747">
        <v>5</v>
      </c>
      <c r="F3747">
        <v>6.25</v>
      </c>
      <c r="G3747">
        <v>47.59</v>
      </c>
      <c r="H3747">
        <v>3807.2</v>
      </c>
    </row>
    <row r="3748" spans="1:8" x14ac:dyDescent="0.35">
      <c r="A3748" t="s">
        <v>6</v>
      </c>
      <c r="B3748" t="s">
        <v>12</v>
      </c>
      <c r="C3748" t="s">
        <v>9</v>
      </c>
      <c r="D3748">
        <v>184</v>
      </c>
      <c r="E3748">
        <v>13</v>
      </c>
      <c r="F3748">
        <v>7.07</v>
      </c>
      <c r="G3748">
        <v>68.959999999999994</v>
      </c>
      <c r="H3748">
        <v>12688.64</v>
      </c>
    </row>
    <row r="3749" spans="1:8" x14ac:dyDescent="0.35">
      <c r="A3749" t="s">
        <v>8</v>
      </c>
      <c r="B3749" t="s">
        <v>12</v>
      </c>
      <c r="C3749" t="s">
        <v>9</v>
      </c>
      <c r="D3749">
        <v>172</v>
      </c>
      <c r="E3749">
        <v>10</v>
      </c>
      <c r="F3749">
        <v>5.81</v>
      </c>
      <c r="G3749">
        <v>63.5</v>
      </c>
      <c r="H3749">
        <v>10922</v>
      </c>
    </row>
    <row r="3750" spans="1:8" x14ac:dyDescent="0.35">
      <c r="A3750" t="s">
        <v>7</v>
      </c>
      <c r="B3750" t="s">
        <v>12</v>
      </c>
      <c r="C3750" t="s">
        <v>10</v>
      </c>
      <c r="D3750">
        <v>254</v>
      </c>
      <c r="E3750">
        <v>23</v>
      </c>
      <c r="F3750">
        <v>9.06</v>
      </c>
      <c r="G3750">
        <v>11.15</v>
      </c>
      <c r="H3750">
        <v>2832.1</v>
      </c>
    </row>
    <row r="3751" spans="1:8" x14ac:dyDescent="0.35">
      <c r="A3751" t="s">
        <v>8</v>
      </c>
      <c r="B3751" t="s">
        <v>12</v>
      </c>
      <c r="C3751" t="s">
        <v>9</v>
      </c>
      <c r="D3751">
        <v>261</v>
      </c>
      <c r="E3751">
        <v>26</v>
      </c>
      <c r="F3751">
        <v>9.9600000000000009</v>
      </c>
      <c r="G3751">
        <v>23.03</v>
      </c>
      <c r="H3751">
        <v>6010.83</v>
      </c>
    </row>
    <row r="3752" spans="1:8" x14ac:dyDescent="0.35">
      <c r="A3752" t="s">
        <v>5</v>
      </c>
      <c r="B3752" t="s">
        <v>12</v>
      </c>
      <c r="C3752" t="s">
        <v>9</v>
      </c>
      <c r="D3752">
        <v>271</v>
      </c>
      <c r="E3752">
        <v>23</v>
      </c>
      <c r="F3752">
        <v>8.49</v>
      </c>
      <c r="G3752">
        <v>18.89</v>
      </c>
      <c r="H3752">
        <v>5119.1899999999996</v>
      </c>
    </row>
    <row r="3753" spans="1:8" x14ac:dyDescent="0.35">
      <c r="A3753" t="s">
        <v>6</v>
      </c>
      <c r="B3753" t="s">
        <v>12</v>
      </c>
      <c r="C3753" t="s">
        <v>11</v>
      </c>
      <c r="D3753">
        <v>69</v>
      </c>
      <c r="E3753">
        <v>4</v>
      </c>
      <c r="F3753">
        <v>5.8</v>
      </c>
      <c r="G3753">
        <v>28.1</v>
      </c>
      <c r="H3753">
        <v>1938.9</v>
      </c>
    </row>
    <row r="3754" spans="1:8" x14ac:dyDescent="0.35">
      <c r="A3754" t="s">
        <v>8</v>
      </c>
      <c r="B3754" t="s">
        <v>12</v>
      </c>
      <c r="C3754" t="s">
        <v>9</v>
      </c>
      <c r="D3754">
        <v>212</v>
      </c>
      <c r="E3754">
        <v>18</v>
      </c>
      <c r="F3754">
        <v>8.49</v>
      </c>
      <c r="G3754">
        <v>40.659999999999997</v>
      </c>
      <c r="H3754">
        <v>8619.92</v>
      </c>
    </row>
    <row r="3755" spans="1:8" x14ac:dyDescent="0.35">
      <c r="A3755" t="s">
        <v>6</v>
      </c>
      <c r="B3755" t="s">
        <v>12</v>
      </c>
      <c r="C3755" t="s">
        <v>9</v>
      </c>
      <c r="D3755">
        <v>196</v>
      </c>
      <c r="E3755">
        <v>19</v>
      </c>
      <c r="F3755">
        <v>9.69</v>
      </c>
      <c r="G3755">
        <v>42.7</v>
      </c>
      <c r="H3755">
        <v>8369.2000000000007</v>
      </c>
    </row>
    <row r="3756" spans="1:8" x14ac:dyDescent="0.35">
      <c r="A3756" t="s">
        <v>5</v>
      </c>
      <c r="B3756" t="s">
        <v>12</v>
      </c>
      <c r="C3756" t="s">
        <v>9</v>
      </c>
      <c r="D3756">
        <v>228</v>
      </c>
      <c r="E3756">
        <v>10</v>
      </c>
      <c r="F3756">
        <v>4.3899999999999997</v>
      </c>
      <c r="G3756">
        <v>68.84</v>
      </c>
      <c r="H3756">
        <v>15695.52</v>
      </c>
    </row>
    <row r="3757" spans="1:8" x14ac:dyDescent="0.35">
      <c r="A3757" t="s">
        <v>7</v>
      </c>
      <c r="B3757" t="s">
        <v>12</v>
      </c>
      <c r="C3757" t="s">
        <v>10</v>
      </c>
      <c r="D3757">
        <v>176</v>
      </c>
      <c r="E3757">
        <v>4</v>
      </c>
      <c r="F3757">
        <v>2.27</v>
      </c>
      <c r="G3757">
        <v>64.489999999999995</v>
      </c>
      <c r="H3757">
        <v>11350.24</v>
      </c>
    </row>
    <row r="3758" spans="1:8" x14ac:dyDescent="0.35">
      <c r="A3758" t="s">
        <v>5</v>
      </c>
      <c r="B3758" t="s">
        <v>12</v>
      </c>
      <c r="C3758" t="s">
        <v>9</v>
      </c>
      <c r="D3758">
        <v>80</v>
      </c>
      <c r="E3758">
        <v>8</v>
      </c>
      <c r="F3758">
        <v>10</v>
      </c>
      <c r="G3758">
        <v>9.58</v>
      </c>
      <c r="H3758">
        <v>766.4</v>
      </c>
    </row>
    <row r="3759" spans="1:8" x14ac:dyDescent="0.35">
      <c r="A3759" t="s">
        <v>6</v>
      </c>
      <c r="B3759" t="s">
        <v>12</v>
      </c>
      <c r="C3759" t="s">
        <v>9</v>
      </c>
      <c r="D3759">
        <v>212</v>
      </c>
      <c r="E3759">
        <v>16</v>
      </c>
      <c r="F3759">
        <v>7.55</v>
      </c>
      <c r="G3759">
        <v>24.96</v>
      </c>
      <c r="H3759">
        <v>5291.52</v>
      </c>
    </row>
    <row r="3760" spans="1:8" x14ac:dyDescent="0.35">
      <c r="A3760" t="s">
        <v>6</v>
      </c>
      <c r="B3760" t="s">
        <v>12</v>
      </c>
      <c r="C3760" t="s">
        <v>9</v>
      </c>
      <c r="D3760">
        <v>246</v>
      </c>
      <c r="E3760">
        <v>19</v>
      </c>
      <c r="F3760">
        <v>7.72</v>
      </c>
      <c r="G3760">
        <v>53.56</v>
      </c>
      <c r="H3760">
        <v>13175.76</v>
      </c>
    </row>
    <row r="3761" spans="1:8" x14ac:dyDescent="0.35">
      <c r="A3761" t="s">
        <v>6</v>
      </c>
      <c r="B3761" t="s">
        <v>12</v>
      </c>
      <c r="C3761" t="s">
        <v>11</v>
      </c>
      <c r="D3761">
        <v>74</v>
      </c>
      <c r="E3761">
        <v>6</v>
      </c>
      <c r="F3761">
        <v>8.11</v>
      </c>
      <c r="G3761">
        <v>9.24</v>
      </c>
      <c r="H3761">
        <v>683.76</v>
      </c>
    </row>
    <row r="3762" spans="1:8" x14ac:dyDescent="0.35">
      <c r="A3762" t="s">
        <v>7</v>
      </c>
      <c r="B3762" t="s">
        <v>12</v>
      </c>
      <c r="C3762" t="s">
        <v>10</v>
      </c>
      <c r="D3762">
        <v>122</v>
      </c>
      <c r="E3762">
        <v>4</v>
      </c>
      <c r="F3762">
        <v>3.28</v>
      </c>
      <c r="G3762">
        <v>68.510000000000005</v>
      </c>
      <c r="H3762">
        <v>8358.2199999999993</v>
      </c>
    </row>
    <row r="3763" spans="1:8" x14ac:dyDescent="0.35">
      <c r="A3763" t="s">
        <v>6</v>
      </c>
      <c r="B3763" t="s">
        <v>12</v>
      </c>
      <c r="C3763" t="s">
        <v>11</v>
      </c>
      <c r="D3763">
        <v>253</v>
      </c>
      <c r="E3763">
        <v>3</v>
      </c>
      <c r="F3763">
        <v>1.19</v>
      </c>
      <c r="G3763">
        <v>68.790000000000006</v>
      </c>
      <c r="H3763">
        <v>17403.87</v>
      </c>
    </row>
    <row r="3764" spans="1:8" x14ac:dyDescent="0.35">
      <c r="A3764" t="s">
        <v>8</v>
      </c>
      <c r="B3764" t="s">
        <v>12</v>
      </c>
      <c r="C3764" t="s">
        <v>9</v>
      </c>
      <c r="D3764">
        <v>170</v>
      </c>
      <c r="E3764">
        <v>1</v>
      </c>
      <c r="F3764">
        <v>0.59</v>
      </c>
      <c r="G3764">
        <v>8.32</v>
      </c>
      <c r="H3764">
        <v>1414.4</v>
      </c>
    </row>
    <row r="3765" spans="1:8" x14ac:dyDescent="0.35">
      <c r="A3765" t="s">
        <v>7</v>
      </c>
      <c r="B3765" t="s">
        <v>12</v>
      </c>
      <c r="C3765" t="s">
        <v>10</v>
      </c>
      <c r="D3765">
        <v>83</v>
      </c>
      <c r="E3765">
        <v>5</v>
      </c>
      <c r="F3765">
        <v>6.02</v>
      </c>
      <c r="G3765">
        <v>6.68</v>
      </c>
      <c r="H3765">
        <v>554.44000000000005</v>
      </c>
    </row>
    <row r="3766" spans="1:8" x14ac:dyDescent="0.35">
      <c r="A3766" t="s">
        <v>7</v>
      </c>
      <c r="B3766" t="s">
        <v>12</v>
      </c>
      <c r="C3766" t="s">
        <v>9</v>
      </c>
      <c r="D3766">
        <v>81</v>
      </c>
      <c r="E3766">
        <v>5</v>
      </c>
      <c r="F3766">
        <v>6.17</v>
      </c>
      <c r="G3766">
        <v>60.77</v>
      </c>
      <c r="H3766">
        <v>4922.37</v>
      </c>
    </row>
    <row r="3767" spans="1:8" x14ac:dyDescent="0.35">
      <c r="A3767" t="s">
        <v>6</v>
      </c>
      <c r="B3767" t="s">
        <v>12</v>
      </c>
      <c r="C3767" t="s">
        <v>9</v>
      </c>
      <c r="D3767">
        <v>260</v>
      </c>
      <c r="E3767">
        <v>19</v>
      </c>
      <c r="F3767">
        <v>7.31</v>
      </c>
      <c r="G3767">
        <v>23.67</v>
      </c>
      <c r="H3767">
        <v>6154.2</v>
      </c>
    </row>
    <row r="3768" spans="1:8" x14ac:dyDescent="0.35">
      <c r="A3768" t="s">
        <v>8</v>
      </c>
      <c r="B3768" t="s">
        <v>12</v>
      </c>
      <c r="C3768" t="s">
        <v>9</v>
      </c>
      <c r="D3768">
        <v>255</v>
      </c>
      <c r="E3768">
        <v>8</v>
      </c>
      <c r="F3768">
        <v>3.14</v>
      </c>
      <c r="G3768">
        <v>21.91</v>
      </c>
      <c r="H3768">
        <v>5587.05</v>
      </c>
    </row>
    <row r="3769" spans="1:8" x14ac:dyDescent="0.35">
      <c r="A3769" t="s">
        <v>7</v>
      </c>
      <c r="B3769" t="s">
        <v>12</v>
      </c>
      <c r="C3769" t="s">
        <v>9</v>
      </c>
      <c r="D3769">
        <v>181</v>
      </c>
      <c r="E3769">
        <v>9</v>
      </c>
      <c r="F3769">
        <v>4.97</v>
      </c>
      <c r="G3769">
        <v>35.03</v>
      </c>
      <c r="H3769">
        <v>6340.43</v>
      </c>
    </row>
    <row r="3770" spans="1:8" x14ac:dyDescent="0.35">
      <c r="A3770" t="s">
        <v>7</v>
      </c>
      <c r="B3770" t="s">
        <v>12</v>
      </c>
      <c r="C3770" t="s">
        <v>10</v>
      </c>
      <c r="D3770">
        <v>124</v>
      </c>
      <c r="E3770">
        <v>6</v>
      </c>
      <c r="F3770">
        <v>4.84</v>
      </c>
      <c r="G3770">
        <v>27.71</v>
      </c>
      <c r="H3770">
        <v>3436.04</v>
      </c>
    </row>
    <row r="3771" spans="1:8" x14ac:dyDescent="0.35">
      <c r="A3771" t="s">
        <v>8</v>
      </c>
      <c r="B3771" t="s">
        <v>12</v>
      </c>
      <c r="C3771" t="s">
        <v>9</v>
      </c>
      <c r="D3771">
        <v>160</v>
      </c>
      <c r="E3771">
        <v>8</v>
      </c>
      <c r="F3771">
        <v>5</v>
      </c>
      <c r="G3771">
        <v>22.47</v>
      </c>
      <c r="H3771">
        <v>3595.2</v>
      </c>
    </row>
    <row r="3772" spans="1:8" x14ac:dyDescent="0.35">
      <c r="A3772" t="s">
        <v>6</v>
      </c>
      <c r="B3772" t="s">
        <v>12</v>
      </c>
      <c r="C3772" t="s">
        <v>11</v>
      </c>
      <c r="D3772">
        <v>78</v>
      </c>
      <c r="E3772">
        <v>1</v>
      </c>
      <c r="F3772">
        <v>1.28</v>
      </c>
      <c r="G3772">
        <v>14.18</v>
      </c>
      <c r="H3772">
        <v>1106.04</v>
      </c>
    </row>
    <row r="3773" spans="1:8" x14ac:dyDescent="0.35">
      <c r="A3773" t="s">
        <v>7</v>
      </c>
      <c r="B3773" t="s">
        <v>12</v>
      </c>
      <c r="C3773" t="s">
        <v>10</v>
      </c>
      <c r="D3773">
        <v>50</v>
      </c>
      <c r="E3773">
        <v>0</v>
      </c>
      <c r="F3773">
        <v>0</v>
      </c>
      <c r="G3773">
        <v>41.06</v>
      </c>
      <c r="H3773">
        <v>2053</v>
      </c>
    </row>
    <row r="3774" spans="1:8" x14ac:dyDescent="0.35">
      <c r="A3774" t="s">
        <v>5</v>
      </c>
      <c r="B3774" t="s">
        <v>12</v>
      </c>
      <c r="C3774" t="s">
        <v>9</v>
      </c>
      <c r="D3774">
        <v>167</v>
      </c>
      <c r="E3774">
        <v>14</v>
      </c>
      <c r="F3774">
        <v>8.3800000000000008</v>
      </c>
      <c r="G3774">
        <v>26.57</v>
      </c>
      <c r="H3774">
        <v>4437.1899999999996</v>
      </c>
    </row>
    <row r="3775" spans="1:8" x14ac:dyDescent="0.35">
      <c r="A3775" t="s">
        <v>7</v>
      </c>
      <c r="B3775" t="s">
        <v>12</v>
      </c>
      <c r="C3775" t="s">
        <v>9</v>
      </c>
      <c r="D3775">
        <v>170</v>
      </c>
      <c r="E3775">
        <v>2</v>
      </c>
      <c r="F3775">
        <v>1.18</v>
      </c>
      <c r="G3775">
        <v>36.57</v>
      </c>
      <c r="H3775">
        <v>6216.9</v>
      </c>
    </row>
    <row r="3776" spans="1:8" x14ac:dyDescent="0.35">
      <c r="A3776" t="s">
        <v>6</v>
      </c>
      <c r="B3776" t="s">
        <v>12</v>
      </c>
      <c r="C3776" t="s">
        <v>11</v>
      </c>
      <c r="D3776">
        <v>294</v>
      </c>
      <c r="E3776">
        <v>19</v>
      </c>
      <c r="F3776">
        <v>6.46</v>
      </c>
      <c r="G3776">
        <v>50.46</v>
      </c>
      <c r="H3776">
        <v>14835.24</v>
      </c>
    </row>
    <row r="3777" spans="1:8" x14ac:dyDescent="0.35">
      <c r="A3777" t="s">
        <v>6</v>
      </c>
      <c r="B3777" t="s">
        <v>12</v>
      </c>
      <c r="C3777" t="s">
        <v>9</v>
      </c>
      <c r="D3777">
        <v>149</v>
      </c>
      <c r="E3777">
        <v>6</v>
      </c>
      <c r="F3777">
        <v>4.03</v>
      </c>
      <c r="G3777">
        <v>48.82</v>
      </c>
      <c r="H3777">
        <v>7274.18</v>
      </c>
    </row>
    <row r="3778" spans="1:8" x14ac:dyDescent="0.35">
      <c r="A3778" t="s">
        <v>5</v>
      </c>
      <c r="B3778" t="s">
        <v>12</v>
      </c>
      <c r="C3778" t="s">
        <v>9</v>
      </c>
      <c r="D3778">
        <v>235</v>
      </c>
      <c r="E3778">
        <v>18</v>
      </c>
      <c r="F3778">
        <v>7.66</v>
      </c>
      <c r="G3778">
        <v>61.58</v>
      </c>
      <c r="H3778">
        <v>14471.3</v>
      </c>
    </row>
    <row r="3779" spans="1:8" x14ac:dyDescent="0.35">
      <c r="A3779" t="s">
        <v>6</v>
      </c>
      <c r="B3779" t="s">
        <v>12</v>
      </c>
      <c r="C3779" t="s">
        <v>11</v>
      </c>
      <c r="D3779">
        <v>108</v>
      </c>
      <c r="E3779">
        <v>9</v>
      </c>
      <c r="F3779">
        <v>8.33</v>
      </c>
      <c r="G3779">
        <v>66.48</v>
      </c>
      <c r="H3779">
        <v>7179.84</v>
      </c>
    </row>
    <row r="3780" spans="1:8" x14ac:dyDescent="0.35">
      <c r="A3780" t="s">
        <v>7</v>
      </c>
      <c r="B3780" t="s">
        <v>12</v>
      </c>
      <c r="C3780" t="s">
        <v>9</v>
      </c>
      <c r="D3780">
        <v>209</v>
      </c>
      <c r="E3780">
        <v>7</v>
      </c>
      <c r="F3780">
        <v>3.35</v>
      </c>
      <c r="G3780">
        <v>24.66</v>
      </c>
      <c r="H3780">
        <v>5153.9399999999996</v>
      </c>
    </row>
    <row r="3781" spans="1:8" x14ac:dyDescent="0.35">
      <c r="A3781" t="s">
        <v>6</v>
      </c>
      <c r="B3781" t="s">
        <v>12</v>
      </c>
      <c r="C3781" t="s">
        <v>9</v>
      </c>
      <c r="D3781">
        <v>214</v>
      </c>
      <c r="E3781">
        <v>18</v>
      </c>
      <c r="F3781">
        <v>8.41</v>
      </c>
      <c r="G3781">
        <v>46.02</v>
      </c>
      <c r="H3781">
        <v>9848.2800000000007</v>
      </c>
    </row>
    <row r="3782" spans="1:8" x14ac:dyDescent="0.35">
      <c r="A3782" t="s">
        <v>8</v>
      </c>
      <c r="B3782" t="s">
        <v>12</v>
      </c>
      <c r="C3782" t="s">
        <v>9</v>
      </c>
      <c r="D3782">
        <v>164</v>
      </c>
      <c r="E3782">
        <v>12</v>
      </c>
      <c r="F3782">
        <v>7.32</v>
      </c>
      <c r="G3782">
        <v>49.79</v>
      </c>
      <c r="H3782">
        <v>8165.56</v>
      </c>
    </row>
    <row r="3783" spans="1:8" x14ac:dyDescent="0.35">
      <c r="A3783" t="s">
        <v>6</v>
      </c>
      <c r="B3783" t="s">
        <v>12</v>
      </c>
      <c r="C3783" t="s">
        <v>9</v>
      </c>
      <c r="D3783">
        <v>167</v>
      </c>
      <c r="E3783">
        <v>0</v>
      </c>
      <c r="F3783">
        <v>0</v>
      </c>
      <c r="G3783">
        <v>17.53</v>
      </c>
      <c r="H3783">
        <v>2927.51</v>
      </c>
    </row>
    <row r="3784" spans="1:8" x14ac:dyDescent="0.35">
      <c r="A3784" t="s">
        <v>8</v>
      </c>
      <c r="B3784" t="s">
        <v>12</v>
      </c>
      <c r="C3784" t="s">
        <v>9</v>
      </c>
      <c r="D3784">
        <v>222</v>
      </c>
      <c r="E3784">
        <v>7</v>
      </c>
      <c r="F3784">
        <v>3.15</v>
      </c>
      <c r="G3784">
        <v>10.85</v>
      </c>
      <c r="H3784">
        <v>2408.6999999999998</v>
      </c>
    </row>
    <row r="3785" spans="1:8" x14ac:dyDescent="0.35">
      <c r="A3785" t="s">
        <v>6</v>
      </c>
      <c r="B3785" t="s">
        <v>12</v>
      </c>
      <c r="C3785" t="s">
        <v>9</v>
      </c>
      <c r="D3785">
        <v>215</v>
      </c>
      <c r="E3785">
        <v>7</v>
      </c>
      <c r="F3785">
        <v>3.26</v>
      </c>
      <c r="G3785">
        <v>25.19</v>
      </c>
      <c r="H3785">
        <v>5415.85</v>
      </c>
    </row>
    <row r="3786" spans="1:8" x14ac:dyDescent="0.35">
      <c r="A3786" t="s">
        <v>6</v>
      </c>
      <c r="B3786" t="s">
        <v>12</v>
      </c>
      <c r="C3786" t="s">
        <v>11</v>
      </c>
      <c r="D3786">
        <v>274</v>
      </c>
      <c r="E3786">
        <v>8</v>
      </c>
      <c r="F3786">
        <v>2.92</v>
      </c>
      <c r="G3786">
        <v>40.299999999999997</v>
      </c>
      <c r="H3786">
        <v>11042.2</v>
      </c>
    </row>
    <row r="3787" spans="1:8" x14ac:dyDescent="0.35">
      <c r="A3787" t="s">
        <v>8</v>
      </c>
      <c r="B3787" t="s">
        <v>12</v>
      </c>
      <c r="C3787" t="s">
        <v>9</v>
      </c>
      <c r="D3787">
        <v>93</v>
      </c>
      <c r="E3787">
        <v>9</v>
      </c>
      <c r="F3787">
        <v>9.68</v>
      </c>
      <c r="G3787">
        <v>37.75</v>
      </c>
      <c r="H3787">
        <v>3510.75</v>
      </c>
    </row>
    <row r="3788" spans="1:8" x14ac:dyDescent="0.35">
      <c r="A3788" t="s">
        <v>7</v>
      </c>
      <c r="B3788" t="s">
        <v>12</v>
      </c>
      <c r="C3788" t="s">
        <v>10</v>
      </c>
      <c r="D3788">
        <v>96</v>
      </c>
      <c r="E3788">
        <v>1</v>
      </c>
      <c r="F3788">
        <v>1.04</v>
      </c>
      <c r="G3788">
        <v>39.89</v>
      </c>
      <c r="H3788">
        <v>3829.44</v>
      </c>
    </row>
    <row r="3789" spans="1:8" x14ac:dyDescent="0.35">
      <c r="A3789" t="s">
        <v>7</v>
      </c>
      <c r="B3789" t="s">
        <v>12</v>
      </c>
      <c r="C3789" t="s">
        <v>10</v>
      </c>
      <c r="D3789">
        <v>247</v>
      </c>
      <c r="E3789">
        <v>13</v>
      </c>
      <c r="F3789">
        <v>5.26</v>
      </c>
      <c r="G3789">
        <v>43.81</v>
      </c>
      <c r="H3789">
        <v>10821.07</v>
      </c>
    </row>
    <row r="3790" spans="1:8" x14ac:dyDescent="0.35">
      <c r="A3790" t="s">
        <v>7</v>
      </c>
      <c r="B3790" t="s">
        <v>12</v>
      </c>
      <c r="C3790" t="s">
        <v>10</v>
      </c>
      <c r="D3790">
        <v>226</v>
      </c>
      <c r="E3790">
        <v>3</v>
      </c>
      <c r="F3790">
        <v>1.33</v>
      </c>
      <c r="G3790">
        <v>13.54</v>
      </c>
      <c r="H3790">
        <v>3060.04</v>
      </c>
    </row>
    <row r="3791" spans="1:8" x14ac:dyDescent="0.35">
      <c r="A3791" t="s">
        <v>7</v>
      </c>
      <c r="B3791" t="s">
        <v>12</v>
      </c>
      <c r="C3791" t="s">
        <v>9</v>
      </c>
      <c r="D3791">
        <v>67</v>
      </c>
      <c r="E3791">
        <v>6</v>
      </c>
      <c r="F3791">
        <v>8.9600000000000009</v>
      </c>
      <c r="G3791">
        <v>42.17</v>
      </c>
      <c r="H3791">
        <v>2825.39</v>
      </c>
    </row>
    <row r="3792" spans="1:8" x14ac:dyDescent="0.35">
      <c r="A3792" t="s">
        <v>6</v>
      </c>
      <c r="B3792" t="s">
        <v>12</v>
      </c>
      <c r="C3792" t="s">
        <v>11</v>
      </c>
      <c r="D3792">
        <v>57</v>
      </c>
      <c r="E3792">
        <v>2</v>
      </c>
      <c r="F3792">
        <v>3.51</v>
      </c>
      <c r="G3792">
        <v>13.36</v>
      </c>
      <c r="H3792">
        <v>761.52</v>
      </c>
    </row>
    <row r="3793" spans="1:8" x14ac:dyDescent="0.35">
      <c r="A3793" t="s">
        <v>7</v>
      </c>
      <c r="B3793" t="s">
        <v>12</v>
      </c>
      <c r="C3793" t="s">
        <v>10</v>
      </c>
      <c r="D3793">
        <v>143</v>
      </c>
      <c r="E3793">
        <v>0</v>
      </c>
      <c r="F3793">
        <v>0</v>
      </c>
      <c r="G3793">
        <v>5.85</v>
      </c>
      <c r="H3793">
        <v>836.55</v>
      </c>
    </row>
    <row r="3794" spans="1:8" x14ac:dyDescent="0.35">
      <c r="A3794" t="s">
        <v>5</v>
      </c>
      <c r="B3794" t="s">
        <v>12</v>
      </c>
      <c r="C3794" t="s">
        <v>9</v>
      </c>
      <c r="D3794">
        <v>70</v>
      </c>
      <c r="E3794">
        <v>6</v>
      </c>
      <c r="F3794">
        <v>8.57</v>
      </c>
      <c r="G3794">
        <v>6.87</v>
      </c>
      <c r="H3794">
        <v>480.9</v>
      </c>
    </row>
    <row r="3795" spans="1:8" x14ac:dyDescent="0.35">
      <c r="A3795" t="s">
        <v>5</v>
      </c>
      <c r="B3795" t="s">
        <v>12</v>
      </c>
      <c r="C3795" t="s">
        <v>9</v>
      </c>
      <c r="D3795">
        <v>170</v>
      </c>
      <c r="E3795">
        <v>15</v>
      </c>
      <c r="F3795">
        <v>8.82</v>
      </c>
      <c r="G3795">
        <v>14.58</v>
      </c>
      <c r="H3795">
        <v>2478.6</v>
      </c>
    </row>
    <row r="3796" spans="1:8" x14ac:dyDescent="0.35">
      <c r="A3796" t="s">
        <v>8</v>
      </c>
      <c r="B3796" t="s">
        <v>12</v>
      </c>
      <c r="C3796" t="s">
        <v>9</v>
      </c>
      <c r="D3796">
        <v>67</v>
      </c>
      <c r="E3796">
        <v>4</v>
      </c>
      <c r="F3796">
        <v>5.97</v>
      </c>
      <c r="G3796">
        <v>14.13</v>
      </c>
      <c r="H3796">
        <v>946.71</v>
      </c>
    </row>
    <row r="3797" spans="1:8" x14ac:dyDescent="0.35">
      <c r="A3797" t="s">
        <v>8</v>
      </c>
      <c r="B3797" t="s">
        <v>12</v>
      </c>
      <c r="C3797" t="s">
        <v>9</v>
      </c>
      <c r="D3797">
        <v>126</v>
      </c>
      <c r="E3797">
        <v>11</v>
      </c>
      <c r="F3797">
        <v>8.73</v>
      </c>
      <c r="G3797">
        <v>27.38</v>
      </c>
      <c r="H3797">
        <v>3449.88</v>
      </c>
    </row>
    <row r="3798" spans="1:8" x14ac:dyDescent="0.35">
      <c r="A3798" t="s">
        <v>6</v>
      </c>
      <c r="B3798" t="s">
        <v>12</v>
      </c>
      <c r="C3798" t="s">
        <v>9</v>
      </c>
      <c r="D3798">
        <v>253</v>
      </c>
      <c r="E3798">
        <v>7</v>
      </c>
      <c r="F3798">
        <v>2.77</v>
      </c>
      <c r="G3798">
        <v>41.68</v>
      </c>
      <c r="H3798">
        <v>10545.04</v>
      </c>
    </row>
    <row r="3799" spans="1:8" x14ac:dyDescent="0.35">
      <c r="A3799" t="s">
        <v>5</v>
      </c>
      <c r="B3799" t="s">
        <v>12</v>
      </c>
      <c r="C3799" t="s">
        <v>9</v>
      </c>
      <c r="D3799">
        <v>210</v>
      </c>
      <c r="E3799">
        <v>0</v>
      </c>
      <c r="F3799">
        <v>0</v>
      </c>
      <c r="G3799">
        <v>42.19</v>
      </c>
      <c r="H3799">
        <v>8859.9</v>
      </c>
    </row>
    <row r="3800" spans="1:8" x14ac:dyDescent="0.35">
      <c r="A3800" t="s">
        <v>5</v>
      </c>
      <c r="B3800" t="s">
        <v>12</v>
      </c>
      <c r="C3800" t="s">
        <v>9</v>
      </c>
      <c r="D3800">
        <v>160</v>
      </c>
      <c r="E3800">
        <v>3</v>
      </c>
      <c r="F3800">
        <v>1.88</v>
      </c>
      <c r="G3800">
        <v>53.66</v>
      </c>
      <c r="H3800">
        <v>8585.6</v>
      </c>
    </row>
    <row r="3801" spans="1:8" x14ac:dyDescent="0.35">
      <c r="A3801" t="s">
        <v>7</v>
      </c>
      <c r="B3801" t="s">
        <v>12</v>
      </c>
      <c r="C3801" t="s">
        <v>9</v>
      </c>
      <c r="D3801">
        <v>293</v>
      </c>
      <c r="E3801">
        <v>17</v>
      </c>
      <c r="F3801">
        <v>5.8</v>
      </c>
      <c r="G3801">
        <v>30.64</v>
      </c>
      <c r="H3801">
        <v>8977.52</v>
      </c>
    </row>
    <row r="3802" spans="1:8" x14ac:dyDescent="0.35">
      <c r="A3802" t="s">
        <v>6</v>
      </c>
      <c r="B3802" t="s">
        <v>12</v>
      </c>
      <c r="C3802" t="s">
        <v>11</v>
      </c>
      <c r="D3802">
        <v>235</v>
      </c>
      <c r="E3802">
        <v>20</v>
      </c>
      <c r="F3802">
        <v>8.51</v>
      </c>
      <c r="G3802">
        <v>22.76</v>
      </c>
      <c r="H3802">
        <v>5348.6</v>
      </c>
    </row>
    <row r="3803" spans="1:8" x14ac:dyDescent="0.35">
      <c r="A3803" t="s">
        <v>7</v>
      </c>
      <c r="B3803" t="s">
        <v>12</v>
      </c>
      <c r="C3803" t="s">
        <v>10</v>
      </c>
      <c r="D3803">
        <v>112</v>
      </c>
      <c r="E3803">
        <v>3</v>
      </c>
      <c r="F3803">
        <v>2.68</v>
      </c>
      <c r="G3803">
        <v>52.19</v>
      </c>
      <c r="H3803">
        <v>5845.28</v>
      </c>
    </row>
    <row r="3804" spans="1:8" x14ac:dyDescent="0.35">
      <c r="A3804" t="s">
        <v>5</v>
      </c>
      <c r="B3804" t="s">
        <v>12</v>
      </c>
      <c r="C3804" t="s">
        <v>9</v>
      </c>
      <c r="D3804">
        <v>53</v>
      </c>
      <c r="E3804">
        <v>5</v>
      </c>
      <c r="F3804">
        <v>9.43</v>
      </c>
      <c r="G3804">
        <v>11.62</v>
      </c>
      <c r="H3804">
        <v>615.86</v>
      </c>
    </row>
    <row r="3805" spans="1:8" x14ac:dyDescent="0.35">
      <c r="A3805" t="s">
        <v>8</v>
      </c>
      <c r="B3805" t="s">
        <v>12</v>
      </c>
      <c r="C3805" t="s">
        <v>9</v>
      </c>
      <c r="D3805">
        <v>138</v>
      </c>
      <c r="E3805">
        <v>2</v>
      </c>
      <c r="F3805">
        <v>1.45</v>
      </c>
      <c r="G3805">
        <v>62.37</v>
      </c>
      <c r="H3805">
        <v>8607.06</v>
      </c>
    </row>
    <row r="3806" spans="1:8" x14ac:dyDescent="0.35">
      <c r="A3806" t="s">
        <v>7</v>
      </c>
      <c r="B3806" t="s">
        <v>12</v>
      </c>
      <c r="C3806" t="s">
        <v>10</v>
      </c>
      <c r="D3806">
        <v>272</v>
      </c>
      <c r="E3806">
        <v>17</v>
      </c>
      <c r="F3806">
        <v>6.25</v>
      </c>
      <c r="G3806">
        <v>62.89</v>
      </c>
      <c r="H3806">
        <v>17106.080000000002</v>
      </c>
    </row>
    <row r="3807" spans="1:8" x14ac:dyDescent="0.35">
      <c r="A3807" t="s">
        <v>7</v>
      </c>
      <c r="B3807" t="s">
        <v>12</v>
      </c>
      <c r="C3807" t="s">
        <v>10</v>
      </c>
      <c r="D3807">
        <v>227</v>
      </c>
      <c r="E3807">
        <v>9</v>
      </c>
      <c r="F3807">
        <v>3.96</v>
      </c>
      <c r="G3807">
        <v>46.34</v>
      </c>
      <c r="H3807">
        <v>10519.18</v>
      </c>
    </row>
    <row r="3808" spans="1:8" x14ac:dyDescent="0.35">
      <c r="A3808" t="s">
        <v>6</v>
      </c>
      <c r="B3808" t="s">
        <v>12</v>
      </c>
      <c r="C3808" t="s">
        <v>9</v>
      </c>
      <c r="D3808">
        <v>260</v>
      </c>
      <c r="E3808">
        <v>20</v>
      </c>
      <c r="F3808">
        <v>7.69</v>
      </c>
      <c r="G3808">
        <v>7.29</v>
      </c>
      <c r="H3808">
        <v>1895.4</v>
      </c>
    </row>
    <row r="3809" spans="1:8" x14ac:dyDescent="0.35">
      <c r="A3809" t="s">
        <v>5</v>
      </c>
      <c r="B3809" t="s">
        <v>12</v>
      </c>
      <c r="C3809" t="s">
        <v>9</v>
      </c>
      <c r="D3809">
        <v>287</v>
      </c>
      <c r="E3809">
        <v>24</v>
      </c>
      <c r="F3809">
        <v>8.36</v>
      </c>
      <c r="G3809">
        <v>58.43</v>
      </c>
      <c r="H3809">
        <v>16769.41</v>
      </c>
    </row>
    <row r="3810" spans="1:8" x14ac:dyDescent="0.35">
      <c r="A3810" t="s">
        <v>7</v>
      </c>
      <c r="B3810" t="s">
        <v>12</v>
      </c>
      <c r="C3810" t="s">
        <v>9</v>
      </c>
      <c r="D3810">
        <v>98</v>
      </c>
      <c r="E3810">
        <v>4</v>
      </c>
      <c r="F3810">
        <v>4.08</v>
      </c>
      <c r="G3810">
        <v>65.03</v>
      </c>
      <c r="H3810">
        <v>6372.94</v>
      </c>
    </row>
    <row r="3811" spans="1:8" x14ac:dyDescent="0.35">
      <c r="A3811" t="s">
        <v>7</v>
      </c>
      <c r="B3811" t="s">
        <v>12</v>
      </c>
      <c r="C3811" t="s">
        <v>10</v>
      </c>
      <c r="D3811">
        <v>215</v>
      </c>
      <c r="E3811">
        <v>6</v>
      </c>
      <c r="F3811">
        <v>2.79</v>
      </c>
      <c r="G3811">
        <v>15.24</v>
      </c>
      <c r="H3811">
        <v>3276.6</v>
      </c>
    </row>
    <row r="3812" spans="1:8" x14ac:dyDescent="0.35">
      <c r="A3812" t="s">
        <v>7</v>
      </c>
      <c r="B3812" t="s">
        <v>12</v>
      </c>
      <c r="C3812" t="s">
        <v>10</v>
      </c>
      <c r="D3812">
        <v>68</v>
      </c>
      <c r="E3812">
        <v>2</v>
      </c>
      <c r="F3812">
        <v>2.94</v>
      </c>
      <c r="G3812">
        <v>65.099999999999994</v>
      </c>
      <c r="H3812">
        <v>4426.8</v>
      </c>
    </row>
    <row r="3813" spans="1:8" x14ac:dyDescent="0.35">
      <c r="A3813" t="s">
        <v>6</v>
      </c>
      <c r="B3813" t="s">
        <v>12</v>
      </c>
      <c r="C3813" t="s">
        <v>11</v>
      </c>
      <c r="D3813">
        <v>208</v>
      </c>
      <c r="E3813">
        <v>14</v>
      </c>
      <c r="F3813">
        <v>6.73</v>
      </c>
      <c r="G3813">
        <v>68</v>
      </c>
      <c r="H3813">
        <v>14144</v>
      </c>
    </row>
    <row r="3814" spans="1:8" x14ac:dyDescent="0.35">
      <c r="A3814" t="s">
        <v>6</v>
      </c>
      <c r="B3814" t="s">
        <v>12</v>
      </c>
      <c r="C3814" t="s">
        <v>9</v>
      </c>
      <c r="D3814">
        <v>169</v>
      </c>
      <c r="E3814">
        <v>0</v>
      </c>
      <c r="F3814">
        <v>0</v>
      </c>
      <c r="G3814">
        <v>6.99</v>
      </c>
      <c r="H3814">
        <v>1181.31</v>
      </c>
    </row>
    <row r="3815" spans="1:8" x14ac:dyDescent="0.35">
      <c r="A3815" t="s">
        <v>6</v>
      </c>
      <c r="B3815" t="s">
        <v>12</v>
      </c>
      <c r="C3815" t="s">
        <v>9</v>
      </c>
      <c r="D3815">
        <v>284</v>
      </c>
      <c r="E3815">
        <v>22</v>
      </c>
      <c r="F3815">
        <v>7.75</v>
      </c>
      <c r="G3815">
        <v>24.24</v>
      </c>
      <c r="H3815">
        <v>6884.16</v>
      </c>
    </row>
    <row r="3816" spans="1:8" x14ac:dyDescent="0.35">
      <c r="A3816" t="s">
        <v>7</v>
      </c>
      <c r="B3816" t="s">
        <v>12</v>
      </c>
      <c r="C3816" t="s">
        <v>9</v>
      </c>
      <c r="D3816">
        <v>113</v>
      </c>
      <c r="E3816">
        <v>1</v>
      </c>
      <c r="F3816">
        <v>0.88</v>
      </c>
      <c r="G3816">
        <v>50.35</v>
      </c>
      <c r="H3816">
        <v>5689.55</v>
      </c>
    </row>
    <row r="3817" spans="1:8" x14ac:dyDescent="0.35">
      <c r="A3817" t="s">
        <v>6</v>
      </c>
      <c r="B3817" t="s">
        <v>12</v>
      </c>
      <c r="C3817" t="s">
        <v>9</v>
      </c>
      <c r="D3817">
        <v>88</v>
      </c>
      <c r="E3817">
        <v>1</v>
      </c>
      <c r="F3817">
        <v>1.1399999999999999</v>
      </c>
      <c r="G3817">
        <v>65.36</v>
      </c>
      <c r="H3817">
        <v>5751.68</v>
      </c>
    </row>
    <row r="3818" spans="1:8" x14ac:dyDescent="0.35">
      <c r="A3818" t="s">
        <v>5</v>
      </c>
      <c r="B3818" t="s">
        <v>12</v>
      </c>
      <c r="C3818" t="s">
        <v>9</v>
      </c>
      <c r="D3818">
        <v>213</v>
      </c>
      <c r="E3818">
        <v>0</v>
      </c>
      <c r="F3818">
        <v>0</v>
      </c>
      <c r="G3818">
        <v>34.99</v>
      </c>
      <c r="H3818">
        <v>7452.87</v>
      </c>
    </row>
    <row r="3819" spans="1:8" x14ac:dyDescent="0.35">
      <c r="A3819" t="s">
        <v>8</v>
      </c>
      <c r="B3819" t="s">
        <v>12</v>
      </c>
      <c r="C3819" t="s">
        <v>9</v>
      </c>
      <c r="D3819">
        <v>76</v>
      </c>
      <c r="E3819">
        <v>5</v>
      </c>
      <c r="F3819">
        <v>6.58</v>
      </c>
      <c r="G3819">
        <v>8.23</v>
      </c>
      <c r="H3819">
        <v>625.48</v>
      </c>
    </row>
    <row r="3820" spans="1:8" x14ac:dyDescent="0.35">
      <c r="A3820" t="s">
        <v>5</v>
      </c>
      <c r="B3820" t="s">
        <v>12</v>
      </c>
      <c r="C3820" t="s">
        <v>9</v>
      </c>
      <c r="D3820">
        <v>136</v>
      </c>
      <c r="E3820">
        <v>6</v>
      </c>
      <c r="F3820">
        <v>4.41</v>
      </c>
      <c r="G3820">
        <v>50.12</v>
      </c>
      <c r="H3820">
        <v>6816.32</v>
      </c>
    </row>
    <row r="3821" spans="1:8" x14ac:dyDescent="0.35">
      <c r="A3821" t="s">
        <v>6</v>
      </c>
      <c r="B3821" t="s">
        <v>12</v>
      </c>
      <c r="C3821" t="s">
        <v>11</v>
      </c>
      <c r="D3821">
        <v>170</v>
      </c>
      <c r="E3821">
        <v>2</v>
      </c>
      <c r="F3821">
        <v>1.18</v>
      </c>
      <c r="G3821">
        <v>26.89</v>
      </c>
      <c r="H3821">
        <v>4571.3</v>
      </c>
    </row>
    <row r="3822" spans="1:8" x14ac:dyDescent="0.35">
      <c r="A3822" t="s">
        <v>6</v>
      </c>
      <c r="B3822" t="s">
        <v>12</v>
      </c>
      <c r="C3822" t="s">
        <v>9</v>
      </c>
      <c r="D3822">
        <v>275</v>
      </c>
      <c r="E3822">
        <v>6</v>
      </c>
      <c r="F3822">
        <v>2.1800000000000002</v>
      </c>
      <c r="G3822">
        <v>46.67</v>
      </c>
      <c r="H3822">
        <v>12834.25</v>
      </c>
    </row>
    <row r="3823" spans="1:8" x14ac:dyDescent="0.35">
      <c r="A3823" t="s">
        <v>6</v>
      </c>
      <c r="B3823" t="s">
        <v>12</v>
      </c>
      <c r="C3823" t="s">
        <v>9</v>
      </c>
      <c r="D3823">
        <v>97</v>
      </c>
      <c r="E3823">
        <v>8</v>
      </c>
      <c r="F3823">
        <v>8.25</v>
      </c>
      <c r="G3823">
        <v>12.76</v>
      </c>
      <c r="H3823">
        <v>1237.72</v>
      </c>
    </row>
    <row r="3824" spans="1:8" x14ac:dyDescent="0.35">
      <c r="A3824" t="s">
        <v>7</v>
      </c>
      <c r="B3824" t="s">
        <v>12</v>
      </c>
      <c r="C3824" t="s">
        <v>10</v>
      </c>
      <c r="D3824">
        <v>178</v>
      </c>
      <c r="E3824">
        <v>8</v>
      </c>
      <c r="F3824">
        <v>4.49</v>
      </c>
      <c r="G3824">
        <v>25.21</v>
      </c>
      <c r="H3824">
        <v>4487.38</v>
      </c>
    </row>
    <row r="3825" spans="1:8" x14ac:dyDescent="0.35">
      <c r="A3825" t="s">
        <v>5</v>
      </c>
      <c r="B3825" t="s">
        <v>12</v>
      </c>
      <c r="C3825" t="s">
        <v>9</v>
      </c>
      <c r="D3825">
        <v>108</v>
      </c>
      <c r="E3825">
        <v>6</v>
      </c>
      <c r="F3825">
        <v>5.56</v>
      </c>
      <c r="G3825">
        <v>57.94</v>
      </c>
      <c r="H3825">
        <v>6257.52</v>
      </c>
    </row>
    <row r="3826" spans="1:8" x14ac:dyDescent="0.35">
      <c r="A3826" t="s">
        <v>6</v>
      </c>
      <c r="B3826" t="s">
        <v>12</v>
      </c>
      <c r="C3826" t="s">
        <v>9</v>
      </c>
      <c r="D3826">
        <v>189</v>
      </c>
      <c r="E3826">
        <v>6</v>
      </c>
      <c r="F3826">
        <v>3.17</v>
      </c>
      <c r="G3826">
        <v>37.43</v>
      </c>
      <c r="H3826">
        <v>7074.27</v>
      </c>
    </row>
    <row r="3827" spans="1:8" x14ac:dyDescent="0.35">
      <c r="A3827" t="s">
        <v>8</v>
      </c>
      <c r="B3827" t="s">
        <v>12</v>
      </c>
      <c r="C3827" t="s">
        <v>9</v>
      </c>
      <c r="D3827">
        <v>136</v>
      </c>
      <c r="E3827">
        <v>7</v>
      </c>
      <c r="F3827">
        <v>5.15</v>
      </c>
      <c r="G3827">
        <v>64.45</v>
      </c>
      <c r="H3827">
        <v>8765.2000000000007</v>
      </c>
    </row>
    <row r="3828" spans="1:8" x14ac:dyDescent="0.35">
      <c r="A3828" t="s">
        <v>8</v>
      </c>
      <c r="B3828" t="s">
        <v>12</v>
      </c>
      <c r="C3828" t="s">
        <v>9</v>
      </c>
      <c r="D3828">
        <v>297</v>
      </c>
      <c r="E3828">
        <v>10</v>
      </c>
      <c r="F3828">
        <v>3.37</v>
      </c>
      <c r="G3828">
        <v>34.950000000000003</v>
      </c>
      <c r="H3828">
        <v>10380.15</v>
      </c>
    </row>
    <row r="3829" spans="1:8" x14ac:dyDescent="0.35">
      <c r="A3829" t="s">
        <v>6</v>
      </c>
      <c r="B3829" t="s">
        <v>12</v>
      </c>
      <c r="C3829" t="s">
        <v>11</v>
      </c>
      <c r="D3829">
        <v>109</v>
      </c>
      <c r="E3829">
        <v>7</v>
      </c>
      <c r="F3829">
        <v>6.42</v>
      </c>
      <c r="G3829">
        <v>33.909999999999997</v>
      </c>
      <c r="H3829">
        <v>3696.19</v>
      </c>
    </row>
    <row r="3830" spans="1:8" x14ac:dyDescent="0.35">
      <c r="A3830" t="s">
        <v>6</v>
      </c>
      <c r="B3830" t="s">
        <v>12</v>
      </c>
      <c r="C3830" t="s">
        <v>9</v>
      </c>
      <c r="D3830">
        <v>173</v>
      </c>
      <c r="E3830">
        <v>9</v>
      </c>
      <c r="F3830">
        <v>5.2</v>
      </c>
      <c r="G3830">
        <v>64.010000000000005</v>
      </c>
      <c r="H3830">
        <v>11073.73</v>
      </c>
    </row>
    <row r="3831" spans="1:8" x14ac:dyDescent="0.35">
      <c r="A3831" t="s">
        <v>5</v>
      </c>
      <c r="B3831" t="s">
        <v>12</v>
      </c>
      <c r="C3831" t="s">
        <v>9</v>
      </c>
      <c r="D3831">
        <v>54</v>
      </c>
      <c r="E3831">
        <v>1</v>
      </c>
      <c r="F3831">
        <v>1.85</v>
      </c>
      <c r="G3831">
        <v>14.53</v>
      </c>
      <c r="H3831">
        <v>784.62</v>
      </c>
    </row>
    <row r="3832" spans="1:8" x14ac:dyDescent="0.35">
      <c r="A3832" t="s">
        <v>6</v>
      </c>
      <c r="B3832" t="s">
        <v>12</v>
      </c>
      <c r="C3832" t="s">
        <v>11</v>
      </c>
      <c r="D3832">
        <v>221</v>
      </c>
      <c r="E3832">
        <v>15</v>
      </c>
      <c r="F3832">
        <v>6.79</v>
      </c>
      <c r="G3832">
        <v>15.17</v>
      </c>
      <c r="H3832">
        <v>3352.57</v>
      </c>
    </row>
    <row r="3833" spans="1:8" x14ac:dyDescent="0.35">
      <c r="A3833" t="s">
        <v>5</v>
      </c>
      <c r="B3833" t="s">
        <v>12</v>
      </c>
      <c r="C3833" t="s">
        <v>9</v>
      </c>
      <c r="D3833">
        <v>56</v>
      </c>
      <c r="E3833">
        <v>3</v>
      </c>
      <c r="F3833">
        <v>5.36</v>
      </c>
      <c r="G3833">
        <v>51.92</v>
      </c>
      <c r="H3833">
        <v>2907.52</v>
      </c>
    </row>
    <row r="3834" spans="1:8" x14ac:dyDescent="0.35">
      <c r="A3834" t="s">
        <v>6</v>
      </c>
      <c r="B3834" t="s">
        <v>12</v>
      </c>
      <c r="C3834" t="s">
        <v>9</v>
      </c>
      <c r="D3834">
        <v>226</v>
      </c>
      <c r="E3834">
        <v>9</v>
      </c>
      <c r="F3834">
        <v>3.98</v>
      </c>
      <c r="G3834">
        <v>51.99</v>
      </c>
      <c r="H3834">
        <v>11749.74</v>
      </c>
    </row>
    <row r="3835" spans="1:8" x14ac:dyDescent="0.35">
      <c r="A3835" t="s">
        <v>6</v>
      </c>
      <c r="B3835" t="s">
        <v>12</v>
      </c>
      <c r="C3835" t="s">
        <v>11</v>
      </c>
      <c r="D3835">
        <v>75</v>
      </c>
      <c r="E3835">
        <v>7</v>
      </c>
      <c r="F3835">
        <v>9.33</v>
      </c>
      <c r="G3835">
        <v>51.61</v>
      </c>
      <c r="H3835">
        <v>3870.75</v>
      </c>
    </row>
    <row r="3836" spans="1:8" x14ac:dyDescent="0.35">
      <c r="A3836" t="s">
        <v>6</v>
      </c>
      <c r="B3836" t="s">
        <v>12</v>
      </c>
      <c r="C3836" t="s">
        <v>9</v>
      </c>
      <c r="D3836">
        <v>62</v>
      </c>
      <c r="E3836">
        <v>2</v>
      </c>
      <c r="F3836">
        <v>3.23</v>
      </c>
      <c r="G3836">
        <v>20.41</v>
      </c>
      <c r="H3836">
        <v>1265.42</v>
      </c>
    </row>
    <row r="3837" spans="1:8" x14ac:dyDescent="0.35">
      <c r="A3837" t="s">
        <v>6</v>
      </c>
      <c r="B3837" t="s">
        <v>12</v>
      </c>
      <c r="C3837" t="s">
        <v>9</v>
      </c>
      <c r="D3837">
        <v>281</v>
      </c>
      <c r="E3837">
        <v>1</v>
      </c>
      <c r="F3837">
        <v>0.36</v>
      </c>
      <c r="G3837">
        <v>28.46</v>
      </c>
      <c r="H3837">
        <v>7997.26</v>
      </c>
    </row>
    <row r="3838" spans="1:8" x14ac:dyDescent="0.35">
      <c r="A3838" t="s">
        <v>8</v>
      </c>
      <c r="B3838" t="s">
        <v>12</v>
      </c>
      <c r="C3838" t="s">
        <v>9</v>
      </c>
      <c r="D3838">
        <v>297</v>
      </c>
      <c r="E3838">
        <v>9</v>
      </c>
      <c r="F3838">
        <v>3.03</v>
      </c>
      <c r="G3838">
        <v>46.08</v>
      </c>
      <c r="H3838">
        <v>13685.76</v>
      </c>
    </row>
    <row r="3839" spans="1:8" x14ac:dyDescent="0.35">
      <c r="A3839" t="s">
        <v>8</v>
      </c>
      <c r="B3839" t="s">
        <v>12</v>
      </c>
      <c r="C3839" t="s">
        <v>9</v>
      </c>
      <c r="D3839">
        <v>286</v>
      </c>
      <c r="E3839">
        <v>19</v>
      </c>
      <c r="F3839">
        <v>6.64</v>
      </c>
      <c r="G3839">
        <v>37.200000000000003</v>
      </c>
      <c r="H3839">
        <v>10639.2</v>
      </c>
    </row>
    <row r="3840" spans="1:8" x14ac:dyDescent="0.35">
      <c r="A3840" t="s">
        <v>8</v>
      </c>
      <c r="B3840" t="s">
        <v>12</v>
      </c>
      <c r="C3840" t="s">
        <v>9</v>
      </c>
      <c r="D3840">
        <v>255</v>
      </c>
      <c r="E3840">
        <v>23</v>
      </c>
      <c r="F3840">
        <v>9.02</v>
      </c>
      <c r="G3840">
        <v>8.02</v>
      </c>
      <c r="H3840">
        <v>2045.1</v>
      </c>
    </row>
    <row r="3841" spans="1:8" x14ac:dyDescent="0.35">
      <c r="A3841" t="s">
        <v>6</v>
      </c>
      <c r="B3841" t="s">
        <v>12</v>
      </c>
      <c r="C3841" t="s">
        <v>11</v>
      </c>
      <c r="D3841">
        <v>63</v>
      </c>
      <c r="E3841">
        <v>0</v>
      </c>
      <c r="F3841">
        <v>0</v>
      </c>
      <c r="G3841">
        <v>25.63</v>
      </c>
      <c r="H3841">
        <v>1614.69</v>
      </c>
    </row>
    <row r="3842" spans="1:8" x14ac:dyDescent="0.35">
      <c r="A3842" t="s">
        <v>8</v>
      </c>
      <c r="B3842" t="s">
        <v>12</v>
      </c>
      <c r="C3842" t="s">
        <v>9</v>
      </c>
      <c r="D3842">
        <v>178</v>
      </c>
      <c r="E3842">
        <v>17</v>
      </c>
      <c r="F3842">
        <v>9.5500000000000007</v>
      </c>
      <c r="G3842">
        <v>66.08</v>
      </c>
      <c r="H3842">
        <v>11762.24</v>
      </c>
    </row>
    <row r="3843" spans="1:8" x14ac:dyDescent="0.35">
      <c r="A3843" t="s">
        <v>6</v>
      </c>
      <c r="B3843" t="s">
        <v>12</v>
      </c>
      <c r="C3843" t="s">
        <v>11</v>
      </c>
      <c r="D3843">
        <v>61</v>
      </c>
      <c r="E3843">
        <v>3</v>
      </c>
      <c r="F3843">
        <v>4.92</v>
      </c>
      <c r="G3843">
        <v>35.54</v>
      </c>
      <c r="H3843">
        <v>2167.94</v>
      </c>
    </row>
    <row r="3844" spans="1:8" x14ac:dyDescent="0.35">
      <c r="A3844" t="s">
        <v>6</v>
      </c>
      <c r="B3844" t="s">
        <v>12</v>
      </c>
      <c r="C3844" t="s">
        <v>11</v>
      </c>
      <c r="D3844">
        <v>245</v>
      </c>
      <c r="E3844">
        <v>23</v>
      </c>
      <c r="F3844">
        <v>9.39</v>
      </c>
      <c r="G3844">
        <v>46.24</v>
      </c>
      <c r="H3844">
        <v>11328.8</v>
      </c>
    </row>
    <row r="3845" spans="1:8" x14ac:dyDescent="0.35">
      <c r="A3845" t="s">
        <v>6</v>
      </c>
      <c r="B3845" t="s">
        <v>12</v>
      </c>
      <c r="C3845" t="s">
        <v>9</v>
      </c>
      <c r="D3845">
        <v>128</v>
      </c>
      <c r="E3845">
        <v>8</v>
      </c>
      <c r="F3845">
        <v>6.25</v>
      </c>
      <c r="G3845">
        <v>14.24</v>
      </c>
      <c r="H3845">
        <v>1822.72</v>
      </c>
    </row>
    <row r="3846" spans="1:8" x14ac:dyDescent="0.35">
      <c r="A3846" t="s">
        <v>7</v>
      </c>
      <c r="B3846" t="s">
        <v>12</v>
      </c>
      <c r="C3846" t="s">
        <v>10</v>
      </c>
      <c r="D3846">
        <v>253</v>
      </c>
      <c r="E3846">
        <v>24</v>
      </c>
      <c r="F3846">
        <v>9.49</v>
      </c>
      <c r="G3846">
        <v>43.19</v>
      </c>
      <c r="H3846">
        <v>10927.07</v>
      </c>
    </row>
    <row r="3847" spans="1:8" x14ac:dyDescent="0.35">
      <c r="A3847" t="s">
        <v>5</v>
      </c>
      <c r="B3847" t="s">
        <v>12</v>
      </c>
      <c r="C3847" t="s">
        <v>9</v>
      </c>
      <c r="D3847">
        <v>141</v>
      </c>
      <c r="E3847">
        <v>4</v>
      </c>
      <c r="F3847">
        <v>2.84</v>
      </c>
      <c r="G3847">
        <v>28.29</v>
      </c>
      <c r="H3847">
        <v>3988.89</v>
      </c>
    </row>
    <row r="3848" spans="1:8" x14ac:dyDescent="0.35">
      <c r="A3848" t="s">
        <v>5</v>
      </c>
      <c r="B3848" t="s">
        <v>12</v>
      </c>
      <c r="C3848" t="s">
        <v>9</v>
      </c>
      <c r="D3848">
        <v>183</v>
      </c>
      <c r="E3848">
        <v>8</v>
      </c>
      <c r="F3848">
        <v>4.37</v>
      </c>
      <c r="G3848">
        <v>18.77</v>
      </c>
      <c r="H3848">
        <v>3434.91</v>
      </c>
    </row>
    <row r="3849" spans="1:8" x14ac:dyDescent="0.35">
      <c r="A3849" t="s">
        <v>7</v>
      </c>
      <c r="B3849" t="s">
        <v>12</v>
      </c>
      <c r="C3849" t="s">
        <v>9</v>
      </c>
      <c r="D3849">
        <v>137</v>
      </c>
      <c r="E3849">
        <v>3</v>
      </c>
      <c r="F3849">
        <v>2.19</v>
      </c>
      <c r="G3849">
        <v>63.36</v>
      </c>
      <c r="H3849">
        <v>8680.32</v>
      </c>
    </row>
    <row r="3850" spans="1:8" x14ac:dyDescent="0.35">
      <c r="A3850" t="s">
        <v>8</v>
      </c>
      <c r="B3850" t="s">
        <v>12</v>
      </c>
      <c r="C3850" t="s">
        <v>9</v>
      </c>
      <c r="D3850">
        <v>157</v>
      </c>
      <c r="E3850">
        <v>9</v>
      </c>
      <c r="F3850">
        <v>5.73</v>
      </c>
      <c r="G3850">
        <v>12.32</v>
      </c>
      <c r="H3850">
        <v>1934.24</v>
      </c>
    </row>
    <row r="3851" spans="1:8" x14ac:dyDescent="0.35">
      <c r="A3851" t="s">
        <v>6</v>
      </c>
      <c r="B3851" t="s">
        <v>12</v>
      </c>
      <c r="C3851" t="s">
        <v>9</v>
      </c>
      <c r="D3851">
        <v>152</v>
      </c>
      <c r="E3851">
        <v>6</v>
      </c>
      <c r="F3851">
        <v>3.95</v>
      </c>
      <c r="G3851">
        <v>38.75</v>
      </c>
      <c r="H3851">
        <v>5890</v>
      </c>
    </row>
    <row r="3852" spans="1:8" x14ac:dyDescent="0.35">
      <c r="A3852" t="s">
        <v>6</v>
      </c>
      <c r="B3852" t="s">
        <v>12</v>
      </c>
      <c r="C3852" t="s">
        <v>11</v>
      </c>
      <c r="D3852">
        <v>85</v>
      </c>
      <c r="E3852">
        <v>6</v>
      </c>
      <c r="F3852">
        <v>7.06</v>
      </c>
      <c r="G3852">
        <v>24.06</v>
      </c>
      <c r="H3852">
        <v>2045.1</v>
      </c>
    </row>
    <row r="3853" spans="1:8" x14ac:dyDescent="0.35">
      <c r="A3853" t="s">
        <v>7</v>
      </c>
      <c r="B3853" t="s">
        <v>12</v>
      </c>
      <c r="C3853" t="s">
        <v>10</v>
      </c>
      <c r="D3853">
        <v>229</v>
      </c>
      <c r="E3853">
        <v>18</v>
      </c>
      <c r="F3853">
        <v>7.86</v>
      </c>
      <c r="G3853">
        <v>52.15</v>
      </c>
      <c r="H3853">
        <v>11942.35</v>
      </c>
    </row>
    <row r="3854" spans="1:8" x14ac:dyDescent="0.35">
      <c r="A3854" t="s">
        <v>8</v>
      </c>
      <c r="B3854" t="s">
        <v>12</v>
      </c>
      <c r="C3854" t="s">
        <v>9</v>
      </c>
      <c r="D3854">
        <v>99</v>
      </c>
      <c r="E3854">
        <v>6</v>
      </c>
      <c r="F3854">
        <v>6.06</v>
      </c>
      <c r="G3854">
        <v>14.85</v>
      </c>
      <c r="H3854">
        <v>1470.15</v>
      </c>
    </row>
    <row r="3855" spans="1:8" x14ac:dyDescent="0.35">
      <c r="A3855" t="s">
        <v>7</v>
      </c>
      <c r="B3855" t="s">
        <v>12</v>
      </c>
      <c r="C3855" t="s">
        <v>9</v>
      </c>
      <c r="D3855">
        <v>51</v>
      </c>
      <c r="E3855">
        <v>0</v>
      </c>
      <c r="F3855">
        <v>0</v>
      </c>
      <c r="G3855">
        <v>17.3</v>
      </c>
      <c r="H3855">
        <v>882.3</v>
      </c>
    </row>
    <row r="3856" spans="1:8" x14ac:dyDescent="0.35">
      <c r="A3856" t="s">
        <v>7</v>
      </c>
      <c r="B3856" t="s">
        <v>12</v>
      </c>
      <c r="C3856" t="s">
        <v>9</v>
      </c>
      <c r="D3856">
        <v>60</v>
      </c>
      <c r="E3856">
        <v>2</v>
      </c>
      <c r="F3856">
        <v>3.33</v>
      </c>
      <c r="G3856">
        <v>40.49</v>
      </c>
      <c r="H3856">
        <v>2429.4</v>
      </c>
    </row>
    <row r="3857" spans="1:8" x14ac:dyDescent="0.35">
      <c r="A3857" t="s">
        <v>7</v>
      </c>
      <c r="B3857" t="s">
        <v>12</v>
      </c>
      <c r="C3857" t="s">
        <v>9</v>
      </c>
      <c r="D3857">
        <v>131</v>
      </c>
      <c r="E3857">
        <v>13</v>
      </c>
      <c r="F3857">
        <v>9.92</v>
      </c>
      <c r="G3857">
        <v>20.350000000000001</v>
      </c>
      <c r="H3857">
        <v>2665.85</v>
      </c>
    </row>
    <row r="3858" spans="1:8" x14ac:dyDescent="0.35">
      <c r="A3858" t="s">
        <v>7</v>
      </c>
      <c r="B3858" t="s">
        <v>12</v>
      </c>
      <c r="C3858" t="s">
        <v>9</v>
      </c>
      <c r="D3858">
        <v>244</v>
      </c>
      <c r="E3858">
        <v>7</v>
      </c>
      <c r="F3858">
        <v>2.87</v>
      </c>
      <c r="G3858">
        <v>39.270000000000003</v>
      </c>
      <c r="H3858">
        <v>9581.8799999999992</v>
      </c>
    </row>
    <row r="3859" spans="1:8" x14ac:dyDescent="0.35">
      <c r="A3859" t="s">
        <v>6</v>
      </c>
      <c r="B3859" t="s">
        <v>12</v>
      </c>
      <c r="C3859" t="s">
        <v>9</v>
      </c>
      <c r="D3859">
        <v>183</v>
      </c>
      <c r="E3859">
        <v>7</v>
      </c>
      <c r="F3859">
        <v>3.83</v>
      </c>
      <c r="G3859">
        <v>66.19</v>
      </c>
      <c r="H3859">
        <v>12112.77</v>
      </c>
    </row>
    <row r="3860" spans="1:8" x14ac:dyDescent="0.35">
      <c r="A3860" t="s">
        <v>7</v>
      </c>
      <c r="B3860" t="s">
        <v>12</v>
      </c>
      <c r="C3860" t="s">
        <v>9</v>
      </c>
      <c r="D3860">
        <v>91</v>
      </c>
      <c r="E3860">
        <v>8</v>
      </c>
      <c r="F3860">
        <v>8.7899999999999991</v>
      </c>
      <c r="G3860">
        <v>43.71</v>
      </c>
      <c r="H3860">
        <v>3977.61</v>
      </c>
    </row>
    <row r="3861" spans="1:8" x14ac:dyDescent="0.35">
      <c r="A3861" t="s">
        <v>5</v>
      </c>
      <c r="B3861" t="s">
        <v>12</v>
      </c>
      <c r="C3861" t="s">
        <v>9</v>
      </c>
      <c r="D3861">
        <v>100</v>
      </c>
      <c r="E3861">
        <v>7</v>
      </c>
      <c r="F3861">
        <v>7</v>
      </c>
      <c r="G3861">
        <v>44.24</v>
      </c>
      <c r="H3861">
        <v>4424</v>
      </c>
    </row>
    <row r="3862" spans="1:8" x14ac:dyDescent="0.35">
      <c r="A3862" t="s">
        <v>7</v>
      </c>
      <c r="B3862" t="s">
        <v>12</v>
      </c>
      <c r="C3862" t="s">
        <v>10</v>
      </c>
      <c r="D3862">
        <v>231</v>
      </c>
      <c r="E3862">
        <v>20</v>
      </c>
      <c r="F3862">
        <v>8.66</v>
      </c>
      <c r="G3862">
        <v>60.38</v>
      </c>
      <c r="H3862">
        <v>13947.78</v>
      </c>
    </row>
    <row r="3863" spans="1:8" x14ac:dyDescent="0.35">
      <c r="A3863" t="s">
        <v>6</v>
      </c>
      <c r="B3863" t="s">
        <v>12</v>
      </c>
      <c r="C3863" t="s">
        <v>11</v>
      </c>
      <c r="D3863">
        <v>221</v>
      </c>
      <c r="E3863">
        <v>8</v>
      </c>
      <c r="F3863">
        <v>3.62</v>
      </c>
      <c r="G3863">
        <v>47.63</v>
      </c>
      <c r="H3863">
        <v>10526.23</v>
      </c>
    </row>
    <row r="3864" spans="1:8" x14ac:dyDescent="0.35">
      <c r="A3864" t="s">
        <v>7</v>
      </c>
      <c r="B3864" t="s">
        <v>12</v>
      </c>
      <c r="C3864" t="s">
        <v>10</v>
      </c>
      <c r="D3864">
        <v>86</v>
      </c>
      <c r="E3864">
        <v>0</v>
      </c>
      <c r="F3864">
        <v>0</v>
      </c>
      <c r="G3864">
        <v>67.23</v>
      </c>
      <c r="H3864">
        <v>5781.78</v>
      </c>
    </row>
    <row r="3865" spans="1:8" x14ac:dyDescent="0.35">
      <c r="A3865" t="s">
        <v>6</v>
      </c>
      <c r="B3865" t="s">
        <v>12</v>
      </c>
      <c r="C3865" t="s">
        <v>9</v>
      </c>
      <c r="D3865">
        <v>160</v>
      </c>
      <c r="E3865">
        <v>1</v>
      </c>
      <c r="F3865">
        <v>0.62</v>
      </c>
      <c r="G3865">
        <v>60.87</v>
      </c>
      <c r="H3865">
        <v>9739.2000000000007</v>
      </c>
    </row>
    <row r="3866" spans="1:8" x14ac:dyDescent="0.35">
      <c r="A3866" t="s">
        <v>6</v>
      </c>
      <c r="B3866" t="s">
        <v>12</v>
      </c>
      <c r="C3866" t="s">
        <v>11</v>
      </c>
      <c r="D3866">
        <v>112</v>
      </c>
      <c r="E3866">
        <v>6</v>
      </c>
      <c r="F3866">
        <v>5.36</v>
      </c>
      <c r="G3866">
        <v>33.08</v>
      </c>
      <c r="H3866">
        <v>3704.96</v>
      </c>
    </row>
    <row r="3867" spans="1:8" x14ac:dyDescent="0.35">
      <c r="A3867" t="s">
        <v>6</v>
      </c>
      <c r="B3867" t="s">
        <v>12</v>
      </c>
      <c r="C3867" t="s">
        <v>9</v>
      </c>
      <c r="D3867">
        <v>171</v>
      </c>
      <c r="E3867">
        <v>16</v>
      </c>
      <c r="F3867">
        <v>9.36</v>
      </c>
      <c r="G3867">
        <v>47.86</v>
      </c>
      <c r="H3867">
        <v>8184.06</v>
      </c>
    </row>
    <row r="3868" spans="1:8" x14ac:dyDescent="0.35">
      <c r="A3868" t="s">
        <v>8</v>
      </c>
      <c r="B3868" t="s">
        <v>12</v>
      </c>
      <c r="C3868" t="s">
        <v>9</v>
      </c>
      <c r="D3868">
        <v>272</v>
      </c>
      <c r="E3868">
        <v>25</v>
      </c>
      <c r="F3868">
        <v>9.19</v>
      </c>
      <c r="G3868">
        <v>44.72</v>
      </c>
      <c r="H3868">
        <v>12163.84</v>
      </c>
    </row>
    <row r="3869" spans="1:8" x14ac:dyDescent="0.35">
      <c r="A3869" t="s">
        <v>7</v>
      </c>
      <c r="B3869" t="s">
        <v>12</v>
      </c>
      <c r="C3869" t="s">
        <v>10</v>
      </c>
      <c r="D3869">
        <v>214</v>
      </c>
      <c r="E3869">
        <v>14</v>
      </c>
      <c r="F3869">
        <v>6.54</v>
      </c>
      <c r="G3869">
        <v>65.16</v>
      </c>
      <c r="H3869">
        <v>13944.24</v>
      </c>
    </row>
    <row r="3870" spans="1:8" x14ac:dyDescent="0.35">
      <c r="A3870" t="s">
        <v>6</v>
      </c>
      <c r="B3870" t="s">
        <v>12</v>
      </c>
      <c r="C3870" t="s">
        <v>11</v>
      </c>
      <c r="D3870">
        <v>300</v>
      </c>
      <c r="E3870">
        <v>29</v>
      </c>
      <c r="F3870">
        <v>9.67</v>
      </c>
      <c r="G3870">
        <v>15.34</v>
      </c>
      <c r="H3870">
        <v>4602</v>
      </c>
    </row>
    <row r="3871" spans="1:8" x14ac:dyDescent="0.35">
      <c r="A3871" t="s">
        <v>6</v>
      </c>
      <c r="B3871" t="s">
        <v>12</v>
      </c>
      <c r="C3871" t="s">
        <v>11</v>
      </c>
      <c r="D3871">
        <v>248</v>
      </c>
      <c r="E3871">
        <v>21</v>
      </c>
      <c r="F3871">
        <v>8.4700000000000006</v>
      </c>
      <c r="G3871">
        <v>37.909999999999997</v>
      </c>
      <c r="H3871">
        <v>9401.68</v>
      </c>
    </row>
    <row r="3872" spans="1:8" x14ac:dyDescent="0.35">
      <c r="A3872" t="s">
        <v>7</v>
      </c>
      <c r="B3872" t="s">
        <v>12</v>
      </c>
      <c r="C3872" t="s">
        <v>10</v>
      </c>
      <c r="D3872">
        <v>78</v>
      </c>
      <c r="E3872">
        <v>4</v>
      </c>
      <c r="F3872">
        <v>5.13</v>
      </c>
      <c r="G3872">
        <v>34.159999999999997</v>
      </c>
      <c r="H3872">
        <v>2664.48</v>
      </c>
    </row>
    <row r="3873" spans="1:8" x14ac:dyDescent="0.35">
      <c r="A3873" t="s">
        <v>7</v>
      </c>
      <c r="B3873" t="s">
        <v>12</v>
      </c>
      <c r="C3873" t="s">
        <v>9</v>
      </c>
      <c r="D3873">
        <v>204</v>
      </c>
      <c r="E3873">
        <v>18</v>
      </c>
      <c r="F3873">
        <v>8.82</v>
      </c>
      <c r="G3873">
        <v>56.47</v>
      </c>
      <c r="H3873">
        <v>11519.88</v>
      </c>
    </row>
    <row r="3874" spans="1:8" x14ac:dyDescent="0.35">
      <c r="A3874" t="s">
        <v>6</v>
      </c>
      <c r="B3874" t="s">
        <v>12</v>
      </c>
      <c r="C3874" t="s">
        <v>11</v>
      </c>
      <c r="D3874">
        <v>120</v>
      </c>
      <c r="E3874">
        <v>4</v>
      </c>
      <c r="F3874">
        <v>3.33</v>
      </c>
      <c r="G3874">
        <v>8.4600000000000009</v>
      </c>
      <c r="H3874">
        <v>1015.2</v>
      </c>
    </row>
    <row r="3875" spans="1:8" x14ac:dyDescent="0.35">
      <c r="A3875" t="s">
        <v>6</v>
      </c>
      <c r="B3875" t="s">
        <v>12</v>
      </c>
      <c r="C3875" t="s">
        <v>9</v>
      </c>
      <c r="D3875">
        <v>262</v>
      </c>
      <c r="E3875">
        <v>7</v>
      </c>
      <c r="F3875">
        <v>2.67</v>
      </c>
      <c r="G3875">
        <v>50.19</v>
      </c>
      <c r="H3875">
        <v>13149.78</v>
      </c>
    </row>
    <row r="3876" spans="1:8" x14ac:dyDescent="0.35">
      <c r="A3876" t="s">
        <v>7</v>
      </c>
      <c r="B3876" t="s">
        <v>12</v>
      </c>
      <c r="C3876" t="s">
        <v>10</v>
      </c>
      <c r="D3876">
        <v>220</v>
      </c>
      <c r="E3876">
        <v>9</v>
      </c>
      <c r="F3876">
        <v>4.09</v>
      </c>
      <c r="G3876">
        <v>17.190000000000001</v>
      </c>
      <c r="H3876">
        <v>3781.8</v>
      </c>
    </row>
    <row r="3877" spans="1:8" x14ac:dyDescent="0.35">
      <c r="A3877" t="s">
        <v>5</v>
      </c>
      <c r="B3877" t="s">
        <v>12</v>
      </c>
      <c r="C3877" t="s">
        <v>9</v>
      </c>
      <c r="D3877">
        <v>185</v>
      </c>
      <c r="E3877">
        <v>7</v>
      </c>
      <c r="F3877">
        <v>3.78</v>
      </c>
      <c r="G3877">
        <v>22</v>
      </c>
      <c r="H3877">
        <v>4070</v>
      </c>
    </row>
    <row r="3878" spans="1:8" x14ac:dyDescent="0.35">
      <c r="A3878" t="s">
        <v>7</v>
      </c>
      <c r="B3878" t="s">
        <v>12</v>
      </c>
      <c r="C3878" t="s">
        <v>10</v>
      </c>
      <c r="D3878">
        <v>215</v>
      </c>
      <c r="E3878">
        <v>0</v>
      </c>
      <c r="F3878">
        <v>0</v>
      </c>
      <c r="G3878">
        <v>60.94</v>
      </c>
      <c r="H3878">
        <v>13102.1</v>
      </c>
    </row>
    <row r="3879" spans="1:8" x14ac:dyDescent="0.35">
      <c r="A3879" t="s">
        <v>7</v>
      </c>
      <c r="B3879" t="s">
        <v>12</v>
      </c>
      <c r="C3879" t="s">
        <v>9</v>
      </c>
      <c r="D3879">
        <v>89</v>
      </c>
      <c r="E3879">
        <v>0</v>
      </c>
      <c r="F3879">
        <v>0</v>
      </c>
      <c r="G3879">
        <v>14.24</v>
      </c>
      <c r="H3879">
        <v>1267.3599999999999</v>
      </c>
    </row>
    <row r="3880" spans="1:8" x14ac:dyDescent="0.35">
      <c r="A3880" t="s">
        <v>6</v>
      </c>
      <c r="B3880" t="s">
        <v>12</v>
      </c>
      <c r="C3880" t="s">
        <v>9</v>
      </c>
      <c r="D3880">
        <v>193</v>
      </c>
      <c r="E3880">
        <v>4</v>
      </c>
      <c r="F3880">
        <v>2.0699999999999998</v>
      </c>
      <c r="G3880">
        <v>25.68</v>
      </c>
      <c r="H3880">
        <v>4956.24</v>
      </c>
    </row>
    <row r="3881" spans="1:8" x14ac:dyDescent="0.35">
      <c r="A3881" t="s">
        <v>6</v>
      </c>
      <c r="B3881" t="s">
        <v>12</v>
      </c>
      <c r="C3881" t="s">
        <v>11</v>
      </c>
      <c r="D3881">
        <v>71</v>
      </c>
      <c r="E3881">
        <v>0</v>
      </c>
      <c r="F3881">
        <v>0</v>
      </c>
      <c r="G3881">
        <v>51.77</v>
      </c>
      <c r="H3881">
        <v>3675.67</v>
      </c>
    </row>
    <row r="3882" spans="1:8" x14ac:dyDescent="0.35">
      <c r="A3882" t="s">
        <v>6</v>
      </c>
      <c r="B3882" t="s">
        <v>12</v>
      </c>
      <c r="C3882" t="s">
        <v>11</v>
      </c>
      <c r="D3882">
        <v>155</v>
      </c>
      <c r="E3882">
        <v>4</v>
      </c>
      <c r="F3882">
        <v>2.58</v>
      </c>
      <c r="G3882">
        <v>32.549999999999997</v>
      </c>
      <c r="H3882">
        <v>5045.25</v>
      </c>
    </row>
    <row r="3883" spans="1:8" x14ac:dyDescent="0.35">
      <c r="A3883" t="s">
        <v>8</v>
      </c>
      <c r="B3883" t="s">
        <v>12</v>
      </c>
      <c r="C3883" t="s">
        <v>9</v>
      </c>
      <c r="D3883">
        <v>121</v>
      </c>
      <c r="E3883">
        <v>10</v>
      </c>
      <c r="F3883">
        <v>8.26</v>
      </c>
      <c r="G3883">
        <v>37.06</v>
      </c>
      <c r="H3883">
        <v>4484.26</v>
      </c>
    </row>
    <row r="3884" spans="1:8" x14ac:dyDescent="0.35">
      <c r="A3884" t="s">
        <v>5</v>
      </c>
      <c r="B3884" t="s">
        <v>12</v>
      </c>
      <c r="C3884" t="s">
        <v>9</v>
      </c>
      <c r="D3884">
        <v>227</v>
      </c>
      <c r="E3884">
        <v>6</v>
      </c>
      <c r="F3884">
        <v>2.64</v>
      </c>
      <c r="G3884">
        <v>31.69</v>
      </c>
      <c r="H3884">
        <v>7193.63</v>
      </c>
    </row>
    <row r="3885" spans="1:8" x14ac:dyDescent="0.35">
      <c r="A3885" t="s">
        <v>5</v>
      </c>
      <c r="B3885" t="s">
        <v>12</v>
      </c>
      <c r="C3885" t="s">
        <v>9</v>
      </c>
      <c r="D3885">
        <v>210</v>
      </c>
      <c r="E3885">
        <v>5</v>
      </c>
      <c r="F3885">
        <v>2.38</v>
      </c>
      <c r="G3885">
        <v>37.17</v>
      </c>
      <c r="H3885">
        <v>7805.7</v>
      </c>
    </row>
    <row r="3886" spans="1:8" x14ac:dyDescent="0.35">
      <c r="A3886" t="s">
        <v>6</v>
      </c>
      <c r="B3886" t="s">
        <v>12</v>
      </c>
      <c r="C3886" t="s">
        <v>9</v>
      </c>
      <c r="D3886">
        <v>92</v>
      </c>
      <c r="E3886">
        <v>0</v>
      </c>
      <c r="F3886">
        <v>0</v>
      </c>
      <c r="G3886">
        <v>16.63</v>
      </c>
      <c r="H3886">
        <v>1529.96</v>
      </c>
    </row>
    <row r="3887" spans="1:8" x14ac:dyDescent="0.35">
      <c r="A3887" t="s">
        <v>6</v>
      </c>
      <c r="B3887" t="s">
        <v>12</v>
      </c>
      <c r="C3887" t="s">
        <v>9</v>
      </c>
      <c r="D3887">
        <v>162</v>
      </c>
      <c r="E3887">
        <v>1</v>
      </c>
      <c r="F3887">
        <v>0.62</v>
      </c>
      <c r="G3887">
        <v>62.3</v>
      </c>
      <c r="H3887">
        <v>10092.6</v>
      </c>
    </row>
    <row r="3888" spans="1:8" x14ac:dyDescent="0.35">
      <c r="A3888" t="s">
        <v>5</v>
      </c>
      <c r="B3888" t="s">
        <v>12</v>
      </c>
      <c r="C3888" t="s">
        <v>9</v>
      </c>
      <c r="D3888">
        <v>220</v>
      </c>
      <c r="E3888">
        <v>5</v>
      </c>
      <c r="F3888">
        <v>2.27</v>
      </c>
      <c r="G3888">
        <v>44.29</v>
      </c>
      <c r="H3888">
        <v>9743.7999999999993</v>
      </c>
    </row>
    <row r="3889" spans="1:8" x14ac:dyDescent="0.35">
      <c r="A3889" t="s">
        <v>6</v>
      </c>
      <c r="B3889" t="s">
        <v>12</v>
      </c>
      <c r="C3889" t="s">
        <v>9</v>
      </c>
      <c r="D3889">
        <v>184</v>
      </c>
      <c r="E3889">
        <v>11</v>
      </c>
      <c r="F3889">
        <v>5.98</v>
      </c>
      <c r="G3889">
        <v>39.65</v>
      </c>
      <c r="H3889">
        <v>7295.6</v>
      </c>
    </row>
    <row r="3890" spans="1:8" x14ac:dyDescent="0.35">
      <c r="A3890" t="s">
        <v>7</v>
      </c>
      <c r="B3890" t="s">
        <v>12</v>
      </c>
      <c r="C3890" t="s">
        <v>9</v>
      </c>
      <c r="D3890">
        <v>292</v>
      </c>
      <c r="E3890">
        <v>24</v>
      </c>
      <c r="F3890">
        <v>8.2200000000000006</v>
      </c>
      <c r="G3890">
        <v>28.71</v>
      </c>
      <c r="H3890">
        <v>8383.32</v>
      </c>
    </row>
    <row r="3891" spans="1:8" x14ac:dyDescent="0.35">
      <c r="A3891" t="s">
        <v>6</v>
      </c>
      <c r="B3891" t="s">
        <v>12</v>
      </c>
      <c r="C3891" t="s">
        <v>9</v>
      </c>
      <c r="D3891">
        <v>56</v>
      </c>
      <c r="E3891">
        <v>0</v>
      </c>
      <c r="F3891">
        <v>0</v>
      </c>
      <c r="G3891">
        <v>15.92</v>
      </c>
      <c r="H3891">
        <v>891.52</v>
      </c>
    </row>
    <row r="3892" spans="1:8" x14ac:dyDescent="0.35">
      <c r="A3892" t="s">
        <v>5</v>
      </c>
      <c r="B3892" t="s">
        <v>12</v>
      </c>
      <c r="C3892" t="s">
        <v>9</v>
      </c>
      <c r="D3892">
        <v>103</v>
      </c>
      <c r="E3892">
        <v>8</v>
      </c>
      <c r="F3892">
        <v>7.77</v>
      </c>
      <c r="G3892">
        <v>41.7</v>
      </c>
      <c r="H3892">
        <v>4295.1000000000004</v>
      </c>
    </row>
    <row r="3893" spans="1:8" x14ac:dyDescent="0.35">
      <c r="A3893" t="s">
        <v>6</v>
      </c>
      <c r="B3893" t="s">
        <v>12</v>
      </c>
      <c r="C3893" t="s">
        <v>9</v>
      </c>
      <c r="D3893">
        <v>170</v>
      </c>
      <c r="E3893">
        <v>5</v>
      </c>
      <c r="F3893">
        <v>2.94</v>
      </c>
      <c r="G3893">
        <v>5.15</v>
      </c>
      <c r="H3893">
        <v>875.5</v>
      </c>
    </row>
    <row r="3894" spans="1:8" x14ac:dyDescent="0.35">
      <c r="A3894" t="s">
        <v>6</v>
      </c>
      <c r="B3894" t="s">
        <v>12</v>
      </c>
      <c r="C3894" t="s">
        <v>11</v>
      </c>
      <c r="D3894">
        <v>81</v>
      </c>
      <c r="E3894">
        <v>5</v>
      </c>
      <c r="F3894">
        <v>6.17</v>
      </c>
      <c r="G3894">
        <v>13.9</v>
      </c>
      <c r="H3894">
        <v>1125.9000000000001</v>
      </c>
    </row>
    <row r="3895" spans="1:8" x14ac:dyDescent="0.35">
      <c r="A3895" t="s">
        <v>8</v>
      </c>
      <c r="B3895" t="s">
        <v>12</v>
      </c>
      <c r="C3895" t="s">
        <v>9</v>
      </c>
      <c r="D3895">
        <v>97</v>
      </c>
      <c r="E3895">
        <v>6</v>
      </c>
      <c r="F3895">
        <v>6.19</v>
      </c>
      <c r="G3895">
        <v>22.34</v>
      </c>
      <c r="H3895">
        <v>2166.98</v>
      </c>
    </row>
    <row r="3896" spans="1:8" x14ac:dyDescent="0.35">
      <c r="A3896" t="s">
        <v>8</v>
      </c>
      <c r="B3896" t="s">
        <v>12</v>
      </c>
      <c r="C3896" t="s">
        <v>9</v>
      </c>
      <c r="D3896">
        <v>130</v>
      </c>
      <c r="E3896">
        <v>6</v>
      </c>
      <c r="F3896">
        <v>4.62</v>
      </c>
      <c r="G3896">
        <v>16.97</v>
      </c>
      <c r="H3896">
        <v>2206.1</v>
      </c>
    </row>
    <row r="3897" spans="1:8" x14ac:dyDescent="0.35">
      <c r="A3897" t="s">
        <v>7</v>
      </c>
      <c r="B3897" t="s">
        <v>12</v>
      </c>
      <c r="C3897" t="s">
        <v>10</v>
      </c>
      <c r="D3897">
        <v>119</v>
      </c>
      <c r="E3897">
        <v>9</v>
      </c>
      <c r="F3897">
        <v>7.56</v>
      </c>
      <c r="G3897">
        <v>25.43</v>
      </c>
      <c r="H3897">
        <v>3026.17</v>
      </c>
    </row>
    <row r="3898" spans="1:8" x14ac:dyDescent="0.35">
      <c r="A3898" t="s">
        <v>7</v>
      </c>
      <c r="B3898" t="s">
        <v>12</v>
      </c>
      <c r="C3898" t="s">
        <v>10</v>
      </c>
      <c r="D3898">
        <v>208</v>
      </c>
      <c r="E3898">
        <v>9</v>
      </c>
      <c r="F3898">
        <v>4.33</v>
      </c>
      <c r="G3898">
        <v>19.07</v>
      </c>
      <c r="H3898">
        <v>3966.56</v>
      </c>
    </row>
    <row r="3899" spans="1:8" x14ac:dyDescent="0.35">
      <c r="A3899" t="s">
        <v>6</v>
      </c>
      <c r="B3899" t="s">
        <v>12</v>
      </c>
      <c r="C3899" t="s">
        <v>11</v>
      </c>
      <c r="D3899">
        <v>90</v>
      </c>
      <c r="E3899">
        <v>9</v>
      </c>
      <c r="F3899">
        <v>10</v>
      </c>
      <c r="G3899">
        <v>41.57</v>
      </c>
      <c r="H3899">
        <v>3741.3</v>
      </c>
    </row>
    <row r="3900" spans="1:8" x14ac:dyDescent="0.35">
      <c r="A3900" t="s">
        <v>6</v>
      </c>
      <c r="B3900" t="s">
        <v>12</v>
      </c>
      <c r="C3900" t="s">
        <v>9</v>
      </c>
      <c r="D3900">
        <v>256</v>
      </c>
      <c r="E3900">
        <v>24</v>
      </c>
      <c r="F3900">
        <v>9.3800000000000008</v>
      </c>
      <c r="G3900">
        <v>63.93</v>
      </c>
      <c r="H3900">
        <v>16366.08</v>
      </c>
    </row>
    <row r="3901" spans="1:8" x14ac:dyDescent="0.35">
      <c r="A3901" t="s">
        <v>5</v>
      </c>
      <c r="B3901" t="s">
        <v>12</v>
      </c>
      <c r="C3901" t="s">
        <v>9</v>
      </c>
      <c r="D3901">
        <v>167</v>
      </c>
      <c r="E3901">
        <v>9</v>
      </c>
      <c r="F3901">
        <v>5.39</v>
      </c>
      <c r="G3901">
        <v>32.729999999999997</v>
      </c>
      <c r="H3901">
        <v>5465.91</v>
      </c>
    </row>
    <row r="3902" spans="1:8" x14ac:dyDescent="0.35">
      <c r="A3902" t="s">
        <v>6</v>
      </c>
      <c r="B3902" t="s">
        <v>12</v>
      </c>
      <c r="C3902" t="s">
        <v>9</v>
      </c>
      <c r="D3902">
        <v>64</v>
      </c>
      <c r="E3902">
        <v>1</v>
      </c>
      <c r="F3902">
        <v>1.56</v>
      </c>
      <c r="G3902">
        <v>23.18</v>
      </c>
      <c r="H3902">
        <v>1483.52</v>
      </c>
    </row>
    <row r="3903" spans="1:8" x14ac:dyDescent="0.35">
      <c r="A3903" t="s">
        <v>5</v>
      </c>
      <c r="B3903" t="s">
        <v>12</v>
      </c>
      <c r="C3903" t="s">
        <v>9</v>
      </c>
      <c r="D3903">
        <v>94</v>
      </c>
      <c r="E3903">
        <v>0</v>
      </c>
      <c r="F3903">
        <v>0</v>
      </c>
      <c r="G3903">
        <v>57.37</v>
      </c>
      <c r="H3903">
        <v>5392.78</v>
      </c>
    </row>
    <row r="3904" spans="1:8" x14ac:dyDescent="0.35">
      <c r="A3904" t="s">
        <v>7</v>
      </c>
      <c r="B3904" t="s">
        <v>12</v>
      </c>
      <c r="C3904" t="s">
        <v>10</v>
      </c>
      <c r="D3904">
        <v>155</v>
      </c>
      <c r="E3904">
        <v>12</v>
      </c>
      <c r="F3904">
        <v>7.74</v>
      </c>
      <c r="G3904">
        <v>24.5</v>
      </c>
      <c r="H3904">
        <v>3797.5</v>
      </c>
    </row>
    <row r="3905" spans="1:8" x14ac:dyDescent="0.35">
      <c r="A3905" t="s">
        <v>6</v>
      </c>
      <c r="B3905" t="s">
        <v>12</v>
      </c>
      <c r="C3905" t="s">
        <v>9</v>
      </c>
      <c r="D3905">
        <v>172</v>
      </c>
      <c r="E3905">
        <v>8</v>
      </c>
      <c r="F3905">
        <v>4.6500000000000004</v>
      </c>
      <c r="G3905">
        <v>14.9</v>
      </c>
      <c r="H3905">
        <v>2562.8000000000002</v>
      </c>
    </row>
    <row r="3906" spans="1:8" x14ac:dyDescent="0.35">
      <c r="A3906" t="s">
        <v>5</v>
      </c>
      <c r="B3906" t="s">
        <v>12</v>
      </c>
      <c r="C3906" t="s">
        <v>9</v>
      </c>
      <c r="D3906">
        <v>82</v>
      </c>
      <c r="E3906">
        <v>1</v>
      </c>
      <c r="F3906">
        <v>1.22</v>
      </c>
      <c r="G3906">
        <v>42.52</v>
      </c>
      <c r="H3906">
        <v>3486.64</v>
      </c>
    </row>
    <row r="3907" spans="1:8" x14ac:dyDescent="0.35">
      <c r="A3907" t="s">
        <v>7</v>
      </c>
      <c r="B3907" t="s">
        <v>12</v>
      </c>
      <c r="C3907" t="s">
        <v>10</v>
      </c>
      <c r="D3907">
        <v>264</v>
      </c>
      <c r="E3907">
        <v>17</v>
      </c>
      <c r="F3907">
        <v>6.44</v>
      </c>
      <c r="G3907">
        <v>46.78</v>
      </c>
      <c r="H3907">
        <v>12349.92</v>
      </c>
    </row>
    <row r="3908" spans="1:8" x14ac:dyDescent="0.35">
      <c r="A3908" t="s">
        <v>6</v>
      </c>
      <c r="B3908" t="s">
        <v>12</v>
      </c>
      <c r="C3908" t="s">
        <v>11</v>
      </c>
      <c r="D3908">
        <v>296</v>
      </c>
      <c r="E3908">
        <v>0</v>
      </c>
      <c r="F3908">
        <v>0</v>
      </c>
      <c r="G3908">
        <v>61.76</v>
      </c>
      <c r="H3908">
        <v>18280.96</v>
      </c>
    </row>
    <row r="3909" spans="1:8" x14ac:dyDescent="0.35">
      <c r="A3909" t="s">
        <v>6</v>
      </c>
      <c r="B3909" t="s">
        <v>12</v>
      </c>
      <c r="C3909" t="s">
        <v>11</v>
      </c>
      <c r="D3909">
        <v>270</v>
      </c>
      <c r="E3909">
        <v>14</v>
      </c>
      <c r="F3909">
        <v>5.19</v>
      </c>
      <c r="G3909">
        <v>53.07</v>
      </c>
      <c r="H3909">
        <v>14328.9</v>
      </c>
    </row>
    <row r="3910" spans="1:8" x14ac:dyDescent="0.35">
      <c r="A3910" t="s">
        <v>7</v>
      </c>
      <c r="B3910" t="s">
        <v>12</v>
      </c>
      <c r="C3910" t="s">
        <v>10</v>
      </c>
      <c r="D3910">
        <v>208</v>
      </c>
      <c r="E3910">
        <v>2</v>
      </c>
      <c r="F3910">
        <v>0.96</v>
      </c>
      <c r="G3910">
        <v>55.3</v>
      </c>
      <c r="H3910">
        <v>11502.4</v>
      </c>
    </row>
    <row r="3911" spans="1:8" x14ac:dyDescent="0.35">
      <c r="A3911" t="s">
        <v>7</v>
      </c>
      <c r="B3911" t="s">
        <v>12</v>
      </c>
      <c r="C3911" t="s">
        <v>9</v>
      </c>
      <c r="D3911">
        <v>296</v>
      </c>
      <c r="E3911">
        <v>19</v>
      </c>
      <c r="F3911">
        <v>6.42</v>
      </c>
      <c r="G3911">
        <v>40.4</v>
      </c>
      <c r="H3911">
        <v>11958.4</v>
      </c>
    </row>
    <row r="3912" spans="1:8" x14ac:dyDescent="0.35">
      <c r="A3912" t="s">
        <v>7</v>
      </c>
      <c r="B3912" t="s">
        <v>12</v>
      </c>
      <c r="C3912" t="s">
        <v>10</v>
      </c>
      <c r="D3912">
        <v>96</v>
      </c>
      <c r="E3912">
        <v>8</v>
      </c>
      <c r="F3912">
        <v>8.33</v>
      </c>
      <c r="G3912">
        <v>59.91</v>
      </c>
      <c r="H3912">
        <v>5751.36</v>
      </c>
    </row>
    <row r="3913" spans="1:8" x14ac:dyDescent="0.35">
      <c r="A3913" t="s">
        <v>8</v>
      </c>
      <c r="B3913" t="s">
        <v>12</v>
      </c>
      <c r="C3913" t="s">
        <v>9</v>
      </c>
      <c r="D3913">
        <v>82</v>
      </c>
      <c r="E3913">
        <v>7</v>
      </c>
      <c r="F3913">
        <v>8.5399999999999991</v>
      </c>
      <c r="G3913">
        <v>65.44</v>
      </c>
      <c r="H3913">
        <v>5366.08</v>
      </c>
    </row>
    <row r="3914" spans="1:8" x14ac:dyDescent="0.35">
      <c r="A3914" t="s">
        <v>6</v>
      </c>
      <c r="B3914" t="s">
        <v>12</v>
      </c>
      <c r="C3914" t="s">
        <v>11</v>
      </c>
      <c r="D3914">
        <v>107</v>
      </c>
      <c r="E3914">
        <v>4</v>
      </c>
      <c r="F3914">
        <v>3.74</v>
      </c>
      <c r="G3914">
        <v>23.07</v>
      </c>
      <c r="H3914">
        <v>2468.4899999999998</v>
      </c>
    </row>
    <row r="3915" spans="1:8" x14ac:dyDescent="0.35">
      <c r="A3915" t="s">
        <v>8</v>
      </c>
      <c r="B3915" t="s">
        <v>12</v>
      </c>
      <c r="C3915" t="s">
        <v>9</v>
      </c>
      <c r="D3915">
        <v>263</v>
      </c>
      <c r="E3915">
        <v>18</v>
      </c>
      <c r="F3915">
        <v>6.84</v>
      </c>
      <c r="G3915">
        <v>32.35</v>
      </c>
      <c r="H3915">
        <v>8508.0499999999993</v>
      </c>
    </row>
    <row r="3916" spans="1:8" x14ac:dyDescent="0.35">
      <c r="A3916" t="s">
        <v>7</v>
      </c>
      <c r="B3916" t="s">
        <v>12</v>
      </c>
      <c r="C3916" t="s">
        <v>10</v>
      </c>
      <c r="D3916">
        <v>130</v>
      </c>
      <c r="E3916">
        <v>10</v>
      </c>
      <c r="F3916">
        <v>7.69</v>
      </c>
      <c r="G3916">
        <v>42.56</v>
      </c>
      <c r="H3916">
        <v>5532.8</v>
      </c>
    </row>
    <row r="3917" spans="1:8" x14ac:dyDescent="0.35">
      <c r="A3917" t="s">
        <v>6</v>
      </c>
      <c r="B3917" t="s">
        <v>12</v>
      </c>
      <c r="C3917" t="s">
        <v>9</v>
      </c>
      <c r="D3917">
        <v>164</v>
      </c>
      <c r="E3917">
        <v>9</v>
      </c>
      <c r="F3917">
        <v>5.49</v>
      </c>
      <c r="G3917">
        <v>44.09</v>
      </c>
      <c r="H3917">
        <v>7230.76</v>
      </c>
    </row>
    <row r="3918" spans="1:8" x14ac:dyDescent="0.35">
      <c r="A3918" t="s">
        <v>7</v>
      </c>
      <c r="B3918" t="s">
        <v>12</v>
      </c>
      <c r="C3918" t="s">
        <v>9</v>
      </c>
      <c r="D3918">
        <v>108</v>
      </c>
      <c r="E3918">
        <v>4</v>
      </c>
      <c r="F3918">
        <v>3.7</v>
      </c>
      <c r="G3918">
        <v>39.090000000000003</v>
      </c>
      <c r="H3918">
        <v>4221.72</v>
      </c>
    </row>
    <row r="3919" spans="1:8" x14ac:dyDescent="0.35">
      <c r="A3919" t="s">
        <v>8</v>
      </c>
      <c r="B3919" t="s">
        <v>12</v>
      </c>
      <c r="C3919" t="s">
        <v>9</v>
      </c>
      <c r="D3919">
        <v>111</v>
      </c>
      <c r="E3919">
        <v>0</v>
      </c>
      <c r="F3919">
        <v>0</v>
      </c>
      <c r="G3919">
        <v>26.26</v>
      </c>
      <c r="H3919">
        <v>2914.86</v>
      </c>
    </row>
    <row r="3920" spans="1:8" x14ac:dyDescent="0.35">
      <c r="A3920" t="s">
        <v>8</v>
      </c>
      <c r="B3920" t="s">
        <v>12</v>
      </c>
      <c r="C3920" t="s">
        <v>9</v>
      </c>
      <c r="D3920">
        <v>288</v>
      </c>
      <c r="E3920">
        <v>12</v>
      </c>
      <c r="F3920">
        <v>4.17</v>
      </c>
      <c r="G3920">
        <v>68.55</v>
      </c>
      <c r="H3920">
        <v>19742.400000000001</v>
      </c>
    </row>
    <row r="3921" spans="1:8" x14ac:dyDescent="0.35">
      <c r="A3921" t="s">
        <v>8</v>
      </c>
      <c r="B3921" t="s">
        <v>12</v>
      </c>
      <c r="C3921" t="s">
        <v>9</v>
      </c>
      <c r="D3921">
        <v>66</v>
      </c>
      <c r="E3921">
        <v>5</v>
      </c>
      <c r="F3921">
        <v>7.58</v>
      </c>
      <c r="G3921">
        <v>34.75</v>
      </c>
      <c r="H3921">
        <v>2293.5</v>
      </c>
    </row>
    <row r="3922" spans="1:8" x14ac:dyDescent="0.35">
      <c r="A3922" t="s">
        <v>6</v>
      </c>
      <c r="B3922" t="s">
        <v>12</v>
      </c>
      <c r="C3922" t="s">
        <v>9</v>
      </c>
      <c r="D3922">
        <v>165</v>
      </c>
      <c r="E3922">
        <v>11</v>
      </c>
      <c r="F3922">
        <v>6.67</v>
      </c>
      <c r="G3922">
        <v>69.02</v>
      </c>
      <c r="H3922">
        <v>11388.3</v>
      </c>
    </row>
    <row r="3923" spans="1:8" x14ac:dyDescent="0.35">
      <c r="A3923" t="s">
        <v>7</v>
      </c>
      <c r="B3923" t="s">
        <v>12</v>
      </c>
      <c r="C3923" t="s">
        <v>10</v>
      </c>
      <c r="D3923">
        <v>294</v>
      </c>
      <c r="E3923">
        <v>5</v>
      </c>
      <c r="F3923">
        <v>1.7</v>
      </c>
      <c r="G3923">
        <v>29.53</v>
      </c>
      <c r="H3923">
        <v>8681.82</v>
      </c>
    </row>
    <row r="3924" spans="1:8" x14ac:dyDescent="0.35">
      <c r="A3924" t="s">
        <v>6</v>
      </c>
      <c r="B3924" t="s">
        <v>12</v>
      </c>
      <c r="C3924" t="s">
        <v>11</v>
      </c>
      <c r="D3924">
        <v>254</v>
      </c>
      <c r="E3924">
        <v>24</v>
      </c>
      <c r="F3924">
        <v>9.4499999999999993</v>
      </c>
      <c r="G3924">
        <v>67.599999999999994</v>
      </c>
      <c r="H3924">
        <v>17170.400000000001</v>
      </c>
    </row>
    <row r="3925" spans="1:8" x14ac:dyDescent="0.35">
      <c r="A3925" t="s">
        <v>6</v>
      </c>
      <c r="B3925" t="s">
        <v>12</v>
      </c>
      <c r="C3925" t="s">
        <v>11</v>
      </c>
      <c r="D3925">
        <v>279</v>
      </c>
      <c r="E3925">
        <v>19</v>
      </c>
      <c r="F3925">
        <v>6.81</v>
      </c>
      <c r="G3925">
        <v>12.96</v>
      </c>
      <c r="H3925">
        <v>3615.84</v>
      </c>
    </row>
    <row r="3926" spans="1:8" x14ac:dyDescent="0.35">
      <c r="A3926" t="s">
        <v>6</v>
      </c>
      <c r="B3926" t="s">
        <v>12</v>
      </c>
      <c r="C3926" t="s">
        <v>9</v>
      </c>
      <c r="D3926">
        <v>91</v>
      </c>
      <c r="E3926">
        <v>5</v>
      </c>
      <c r="F3926">
        <v>5.49</v>
      </c>
      <c r="G3926">
        <v>66.209999999999994</v>
      </c>
      <c r="H3926">
        <v>6025.11</v>
      </c>
    </row>
    <row r="3927" spans="1:8" x14ac:dyDescent="0.35">
      <c r="A3927" t="s">
        <v>8</v>
      </c>
      <c r="B3927" t="s">
        <v>12</v>
      </c>
      <c r="C3927" t="s">
        <v>9</v>
      </c>
      <c r="D3927">
        <v>124</v>
      </c>
      <c r="E3927">
        <v>3</v>
      </c>
      <c r="F3927">
        <v>2.42</v>
      </c>
      <c r="G3927">
        <v>24.38</v>
      </c>
      <c r="H3927">
        <v>3023.12</v>
      </c>
    </row>
    <row r="3928" spans="1:8" x14ac:dyDescent="0.35">
      <c r="A3928" t="s">
        <v>5</v>
      </c>
      <c r="B3928" t="s">
        <v>12</v>
      </c>
      <c r="C3928" t="s">
        <v>9</v>
      </c>
      <c r="D3928">
        <v>190</v>
      </c>
      <c r="E3928">
        <v>18</v>
      </c>
      <c r="F3928">
        <v>9.4700000000000006</v>
      </c>
      <c r="G3928">
        <v>44.45</v>
      </c>
      <c r="H3928">
        <v>8445.5</v>
      </c>
    </row>
    <row r="3929" spans="1:8" x14ac:dyDescent="0.35">
      <c r="A3929" t="s">
        <v>6</v>
      </c>
      <c r="B3929" t="s">
        <v>12</v>
      </c>
      <c r="C3929" t="s">
        <v>11</v>
      </c>
      <c r="D3929">
        <v>266</v>
      </c>
      <c r="E3929">
        <v>17</v>
      </c>
      <c r="F3929">
        <v>6.39</v>
      </c>
      <c r="G3929">
        <v>47.39</v>
      </c>
      <c r="H3929">
        <v>12605.74</v>
      </c>
    </row>
    <row r="3930" spans="1:8" x14ac:dyDescent="0.35">
      <c r="A3930" t="s">
        <v>6</v>
      </c>
      <c r="B3930" t="s">
        <v>12</v>
      </c>
      <c r="C3930" t="s">
        <v>11</v>
      </c>
      <c r="D3930">
        <v>78</v>
      </c>
      <c r="E3930">
        <v>3</v>
      </c>
      <c r="F3930">
        <v>3.85</v>
      </c>
      <c r="G3930">
        <v>59.36</v>
      </c>
      <c r="H3930">
        <v>4630.08</v>
      </c>
    </row>
    <row r="3931" spans="1:8" x14ac:dyDescent="0.35">
      <c r="A3931" t="s">
        <v>5</v>
      </c>
      <c r="B3931" t="s">
        <v>12</v>
      </c>
      <c r="C3931" t="s">
        <v>9</v>
      </c>
      <c r="D3931">
        <v>196</v>
      </c>
      <c r="E3931">
        <v>4</v>
      </c>
      <c r="F3931">
        <v>2.04</v>
      </c>
      <c r="G3931">
        <v>67.39</v>
      </c>
      <c r="H3931">
        <v>13208.44</v>
      </c>
    </row>
    <row r="3932" spans="1:8" x14ac:dyDescent="0.35">
      <c r="A3932" t="s">
        <v>6</v>
      </c>
      <c r="B3932" t="s">
        <v>12</v>
      </c>
      <c r="C3932" t="s">
        <v>11</v>
      </c>
      <c r="D3932">
        <v>95</v>
      </c>
      <c r="E3932">
        <v>3</v>
      </c>
      <c r="F3932">
        <v>3.16</v>
      </c>
      <c r="G3932">
        <v>63.15</v>
      </c>
      <c r="H3932">
        <v>5999.25</v>
      </c>
    </row>
    <row r="3933" spans="1:8" x14ac:dyDescent="0.35">
      <c r="A3933" t="s">
        <v>8</v>
      </c>
      <c r="B3933" t="s">
        <v>12</v>
      </c>
      <c r="C3933" t="s">
        <v>9</v>
      </c>
      <c r="D3933">
        <v>62</v>
      </c>
      <c r="E3933">
        <v>2</v>
      </c>
      <c r="F3933">
        <v>3.23</v>
      </c>
      <c r="G3933">
        <v>15.24</v>
      </c>
      <c r="H3933">
        <v>944.88</v>
      </c>
    </row>
    <row r="3934" spans="1:8" x14ac:dyDescent="0.35">
      <c r="A3934" t="s">
        <v>7</v>
      </c>
      <c r="B3934" t="s">
        <v>12</v>
      </c>
      <c r="C3934" t="s">
        <v>10</v>
      </c>
      <c r="D3934">
        <v>118</v>
      </c>
      <c r="E3934">
        <v>10</v>
      </c>
      <c r="F3934">
        <v>8.4700000000000006</v>
      </c>
      <c r="G3934">
        <v>8.08</v>
      </c>
      <c r="H3934">
        <v>953.44</v>
      </c>
    </row>
    <row r="3935" spans="1:8" x14ac:dyDescent="0.35">
      <c r="A3935" t="s">
        <v>6</v>
      </c>
      <c r="B3935" t="s">
        <v>12</v>
      </c>
      <c r="C3935" t="s">
        <v>9</v>
      </c>
      <c r="D3935">
        <v>158</v>
      </c>
      <c r="E3935">
        <v>8</v>
      </c>
      <c r="F3935">
        <v>5.0599999999999996</v>
      </c>
      <c r="G3935">
        <v>68.599999999999994</v>
      </c>
      <c r="H3935">
        <v>10838.8</v>
      </c>
    </row>
    <row r="3936" spans="1:8" x14ac:dyDescent="0.35">
      <c r="A3936" t="s">
        <v>6</v>
      </c>
      <c r="B3936" t="s">
        <v>12</v>
      </c>
      <c r="C3936" t="s">
        <v>11</v>
      </c>
      <c r="D3936">
        <v>287</v>
      </c>
      <c r="E3936">
        <v>15</v>
      </c>
      <c r="F3936">
        <v>5.23</v>
      </c>
      <c r="G3936">
        <v>65.180000000000007</v>
      </c>
      <c r="H3936">
        <v>18706.66</v>
      </c>
    </row>
    <row r="3937" spans="1:8" x14ac:dyDescent="0.35">
      <c r="A3937" t="s">
        <v>7</v>
      </c>
      <c r="B3937" t="s">
        <v>12</v>
      </c>
      <c r="C3937" t="s">
        <v>10</v>
      </c>
      <c r="D3937">
        <v>252</v>
      </c>
      <c r="E3937">
        <v>9</v>
      </c>
      <c r="F3937">
        <v>3.57</v>
      </c>
      <c r="G3937">
        <v>39.159999999999997</v>
      </c>
      <c r="H3937">
        <v>9868.32</v>
      </c>
    </row>
    <row r="3938" spans="1:8" x14ac:dyDescent="0.35">
      <c r="A3938" t="s">
        <v>7</v>
      </c>
      <c r="B3938" t="s">
        <v>12</v>
      </c>
      <c r="C3938" t="s">
        <v>10</v>
      </c>
      <c r="D3938">
        <v>141</v>
      </c>
      <c r="E3938">
        <v>3</v>
      </c>
      <c r="F3938">
        <v>2.13</v>
      </c>
      <c r="G3938">
        <v>51.78</v>
      </c>
      <c r="H3938">
        <v>7300.98</v>
      </c>
    </row>
    <row r="3939" spans="1:8" x14ac:dyDescent="0.35">
      <c r="A3939" t="s">
        <v>6</v>
      </c>
      <c r="B3939" t="s">
        <v>12</v>
      </c>
      <c r="C3939" t="s">
        <v>9</v>
      </c>
      <c r="D3939">
        <v>203</v>
      </c>
      <c r="E3939">
        <v>18</v>
      </c>
      <c r="F3939">
        <v>8.8699999999999992</v>
      </c>
      <c r="G3939">
        <v>55.14</v>
      </c>
      <c r="H3939">
        <v>11193.42</v>
      </c>
    </row>
    <row r="3940" spans="1:8" x14ac:dyDescent="0.35">
      <c r="A3940" t="s">
        <v>7</v>
      </c>
      <c r="B3940" t="s">
        <v>12</v>
      </c>
      <c r="C3940" t="s">
        <v>9</v>
      </c>
      <c r="D3940">
        <v>75</v>
      </c>
      <c r="E3940">
        <v>7</v>
      </c>
      <c r="F3940">
        <v>9.33</v>
      </c>
      <c r="G3940">
        <v>20.5</v>
      </c>
      <c r="H3940">
        <v>1537.5</v>
      </c>
    </row>
    <row r="3941" spans="1:8" x14ac:dyDescent="0.35">
      <c r="A3941" t="s">
        <v>6</v>
      </c>
      <c r="B3941" t="s">
        <v>12</v>
      </c>
      <c r="C3941" t="s">
        <v>9</v>
      </c>
      <c r="D3941">
        <v>121</v>
      </c>
      <c r="E3941">
        <v>4</v>
      </c>
      <c r="F3941">
        <v>3.31</v>
      </c>
      <c r="G3941">
        <v>52.44</v>
      </c>
      <c r="H3941">
        <v>6345.24</v>
      </c>
    </row>
    <row r="3942" spans="1:8" x14ac:dyDescent="0.35">
      <c r="A3942" t="s">
        <v>7</v>
      </c>
      <c r="B3942" t="s">
        <v>12</v>
      </c>
      <c r="C3942" t="s">
        <v>10</v>
      </c>
      <c r="D3942">
        <v>140</v>
      </c>
      <c r="E3942">
        <v>14</v>
      </c>
      <c r="F3942">
        <v>10</v>
      </c>
      <c r="G3942">
        <v>34.630000000000003</v>
      </c>
      <c r="H3942">
        <v>4848.2</v>
      </c>
    </row>
    <row r="3943" spans="1:8" x14ac:dyDescent="0.35">
      <c r="A3943" t="s">
        <v>6</v>
      </c>
      <c r="B3943" t="s">
        <v>12</v>
      </c>
      <c r="C3943" t="s">
        <v>11</v>
      </c>
      <c r="D3943">
        <v>64</v>
      </c>
      <c r="E3943">
        <v>0</v>
      </c>
      <c r="F3943">
        <v>0</v>
      </c>
      <c r="G3943">
        <v>41.49</v>
      </c>
      <c r="H3943">
        <v>2655.36</v>
      </c>
    </row>
    <row r="3944" spans="1:8" x14ac:dyDescent="0.35">
      <c r="A3944" t="s">
        <v>7</v>
      </c>
      <c r="B3944" t="s">
        <v>12</v>
      </c>
      <c r="C3944" t="s">
        <v>10</v>
      </c>
      <c r="D3944">
        <v>135</v>
      </c>
      <c r="E3944">
        <v>13</v>
      </c>
      <c r="F3944">
        <v>9.6300000000000008</v>
      </c>
      <c r="G3944">
        <v>17.760000000000002</v>
      </c>
      <c r="H3944">
        <v>2397.6</v>
      </c>
    </row>
    <row r="3945" spans="1:8" x14ac:dyDescent="0.35">
      <c r="A3945" t="s">
        <v>7</v>
      </c>
      <c r="B3945" t="s">
        <v>12</v>
      </c>
      <c r="C3945" t="s">
        <v>10</v>
      </c>
      <c r="D3945">
        <v>170</v>
      </c>
      <c r="E3945">
        <v>17</v>
      </c>
      <c r="F3945">
        <v>10</v>
      </c>
      <c r="G3945">
        <v>7.85</v>
      </c>
      <c r="H3945">
        <v>1334.5</v>
      </c>
    </row>
    <row r="3946" spans="1:8" x14ac:dyDescent="0.35">
      <c r="A3946" t="s">
        <v>7</v>
      </c>
      <c r="B3946" t="s">
        <v>12</v>
      </c>
      <c r="C3946" t="s">
        <v>10</v>
      </c>
      <c r="D3946">
        <v>176</v>
      </c>
      <c r="E3946">
        <v>5</v>
      </c>
      <c r="F3946">
        <v>2.84</v>
      </c>
      <c r="G3946">
        <v>56.68</v>
      </c>
      <c r="H3946">
        <v>9975.68</v>
      </c>
    </row>
    <row r="3947" spans="1:8" x14ac:dyDescent="0.35">
      <c r="A3947" t="s">
        <v>5</v>
      </c>
      <c r="B3947" t="s">
        <v>12</v>
      </c>
      <c r="C3947" t="s">
        <v>9</v>
      </c>
      <c r="D3947">
        <v>262</v>
      </c>
      <c r="E3947">
        <v>21</v>
      </c>
      <c r="F3947">
        <v>8.02</v>
      </c>
      <c r="G3947">
        <v>30.55</v>
      </c>
      <c r="H3947">
        <v>8004.1</v>
      </c>
    </row>
    <row r="3948" spans="1:8" x14ac:dyDescent="0.35">
      <c r="A3948" t="s">
        <v>7</v>
      </c>
      <c r="B3948" t="s">
        <v>12</v>
      </c>
      <c r="C3948" t="s">
        <v>9</v>
      </c>
      <c r="D3948">
        <v>162</v>
      </c>
      <c r="E3948">
        <v>12</v>
      </c>
      <c r="F3948">
        <v>7.41</v>
      </c>
      <c r="G3948">
        <v>45.3</v>
      </c>
      <c r="H3948">
        <v>7338.6</v>
      </c>
    </row>
    <row r="3949" spans="1:8" x14ac:dyDescent="0.35">
      <c r="A3949" t="s">
        <v>5</v>
      </c>
      <c r="B3949" t="s">
        <v>12</v>
      </c>
      <c r="C3949" t="s">
        <v>9</v>
      </c>
      <c r="D3949">
        <v>236</v>
      </c>
      <c r="E3949">
        <v>4</v>
      </c>
      <c r="F3949">
        <v>1.69</v>
      </c>
      <c r="G3949">
        <v>60.81</v>
      </c>
      <c r="H3949">
        <v>14351.16</v>
      </c>
    </row>
    <row r="3950" spans="1:8" x14ac:dyDescent="0.35">
      <c r="A3950" t="s">
        <v>6</v>
      </c>
      <c r="B3950" t="s">
        <v>12</v>
      </c>
      <c r="C3950" t="s">
        <v>9</v>
      </c>
      <c r="D3950">
        <v>81</v>
      </c>
      <c r="E3950">
        <v>6</v>
      </c>
      <c r="F3950">
        <v>7.41</v>
      </c>
      <c r="G3950">
        <v>47.56</v>
      </c>
      <c r="H3950">
        <v>3852.36</v>
      </c>
    </row>
    <row r="3951" spans="1:8" x14ac:dyDescent="0.35">
      <c r="A3951" t="s">
        <v>8</v>
      </c>
      <c r="B3951" t="s">
        <v>12</v>
      </c>
      <c r="C3951" t="s">
        <v>9</v>
      </c>
      <c r="D3951">
        <v>103</v>
      </c>
      <c r="E3951">
        <v>0</v>
      </c>
      <c r="F3951">
        <v>0</v>
      </c>
      <c r="G3951">
        <v>68.64</v>
      </c>
      <c r="H3951">
        <v>7069.92</v>
      </c>
    </row>
    <row r="3952" spans="1:8" x14ac:dyDescent="0.35">
      <c r="A3952" t="s">
        <v>6</v>
      </c>
      <c r="B3952" t="s">
        <v>12</v>
      </c>
      <c r="C3952" t="s">
        <v>11</v>
      </c>
      <c r="D3952">
        <v>259</v>
      </c>
      <c r="E3952">
        <v>23</v>
      </c>
      <c r="F3952">
        <v>8.8800000000000008</v>
      </c>
      <c r="G3952">
        <v>55.56</v>
      </c>
      <c r="H3952">
        <v>14390.04</v>
      </c>
    </row>
    <row r="3953" spans="1:8" x14ac:dyDescent="0.35">
      <c r="A3953" t="s">
        <v>8</v>
      </c>
      <c r="B3953" t="s">
        <v>12</v>
      </c>
      <c r="C3953" t="s">
        <v>9</v>
      </c>
      <c r="D3953">
        <v>245</v>
      </c>
      <c r="E3953">
        <v>13</v>
      </c>
      <c r="F3953">
        <v>5.31</v>
      </c>
      <c r="G3953">
        <v>14.64</v>
      </c>
      <c r="H3953">
        <v>3586.8</v>
      </c>
    </row>
    <row r="3954" spans="1:8" x14ac:dyDescent="0.35">
      <c r="A3954" t="s">
        <v>5</v>
      </c>
      <c r="B3954" t="s">
        <v>12</v>
      </c>
      <c r="C3954" t="s">
        <v>9</v>
      </c>
      <c r="D3954">
        <v>216</v>
      </c>
      <c r="E3954">
        <v>14</v>
      </c>
      <c r="F3954">
        <v>6.48</v>
      </c>
      <c r="G3954">
        <v>9.81</v>
      </c>
      <c r="H3954">
        <v>2118.96</v>
      </c>
    </row>
    <row r="3955" spans="1:8" x14ac:dyDescent="0.35">
      <c r="A3955" t="s">
        <v>6</v>
      </c>
      <c r="B3955" t="s">
        <v>12</v>
      </c>
      <c r="C3955" t="s">
        <v>11</v>
      </c>
      <c r="D3955">
        <v>159</v>
      </c>
      <c r="E3955">
        <v>15</v>
      </c>
      <c r="F3955">
        <v>9.43</v>
      </c>
      <c r="G3955">
        <v>16.34</v>
      </c>
      <c r="H3955">
        <v>2598.06</v>
      </c>
    </row>
    <row r="3956" spans="1:8" x14ac:dyDescent="0.35">
      <c r="A3956" t="s">
        <v>6</v>
      </c>
      <c r="B3956" t="s">
        <v>12</v>
      </c>
      <c r="C3956" t="s">
        <v>11</v>
      </c>
      <c r="D3956">
        <v>165</v>
      </c>
      <c r="E3956">
        <v>7</v>
      </c>
      <c r="F3956">
        <v>4.24</v>
      </c>
      <c r="G3956">
        <v>23.67</v>
      </c>
      <c r="H3956">
        <v>3905.55</v>
      </c>
    </row>
    <row r="3957" spans="1:8" x14ac:dyDescent="0.35">
      <c r="A3957" t="s">
        <v>6</v>
      </c>
      <c r="B3957" t="s">
        <v>12</v>
      </c>
      <c r="C3957" t="s">
        <v>9</v>
      </c>
      <c r="D3957">
        <v>236</v>
      </c>
      <c r="E3957">
        <v>18</v>
      </c>
      <c r="F3957">
        <v>7.63</v>
      </c>
      <c r="G3957">
        <v>9.43</v>
      </c>
      <c r="H3957">
        <v>2225.48</v>
      </c>
    </row>
    <row r="3958" spans="1:8" x14ac:dyDescent="0.35">
      <c r="A3958" t="s">
        <v>8</v>
      </c>
      <c r="B3958" t="s">
        <v>12</v>
      </c>
      <c r="C3958" t="s">
        <v>9</v>
      </c>
      <c r="D3958">
        <v>91</v>
      </c>
      <c r="E3958">
        <v>6</v>
      </c>
      <c r="F3958">
        <v>6.59</v>
      </c>
      <c r="G3958">
        <v>44.73</v>
      </c>
      <c r="H3958">
        <v>4070.43</v>
      </c>
    </row>
    <row r="3959" spans="1:8" x14ac:dyDescent="0.35">
      <c r="A3959" t="s">
        <v>6</v>
      </c>
      <c r="B3959" t="s">
        <v>12</v>
      </c>
      <c r="C3959" t="s">
        <v>9</v>
      </c>
      <c r="D3959">
        <v>224</v>
      </c>
      <c r="E3959">
        <v>22</v>
      </c>
      <c r="F3959">
        <v>9.82</v>
      </c>
      <c r="G3959">
        <v>55.65</v>
      </c>
      <c r="H3959">
        <v>12465.6</v>
      </c>
    </row>
    <row r="3960" spans="1:8" x14ac:dyDescent="0.35">
      <c r="A3960" t="s">
        <v>6</v>
      </c>
      <c r="B3960" t="s">
        <v>12</v>
      </c>
      <c r="C3960" t="s">
        <v>11</v>
      </c>
      <c r="D3960">
        <v>71</v>
      </c>
      <c r="E3960">
        <v>4</v>
      </c>
      <c r="F3960">
        <v>5.63</v>
      </c>
      <c r="G3960">
        <v>12.21</v>
      </c>
      <c r="H3960">
        <v>866.91</v>
      </c>
    </row>
    <row r="3961" spans="1:8" x14ac:dyDescent="0.35">
      <c r="A3961" t="s">
        <v>6</v>
      </c>
      <c r="B3961" t="s">
        <v>12</v>
      </c>
      <c r="C3961" t="s">
        <v>11</v>
      </c>
      <c r="D3961">
        <v>196</v>
      </c>
      <c r="E3961">
        <v>11</v>
      </c>
      <c r="F3961">
        <v>5.61</v>
      </c>
      <c r="G3961">
        <v>20.99</v>
      </c>
      <c r="H3961">
        <v>4114.04</v>
      </c>
    </row>
    <row r="3962" spans="1:8" x14ac:dyDescent="0.35">
      <c r="A3962" t="s">
        <v>8</v>
      </c>
      <c r="B3962" t="s">
        <v>12</v>
      </c>
      <c r="C3962" t="s">
        <v>9</v>
      </c>
      <c r="D3962">
        <v>238</v>
      </c>
      <c r="E3962">
        <v>19</v>
      </c>
      <c r="F3962">
        <v>7.98</v>
      </c>
      <c r="G3962">
        <v>30.23</v>
      </c>
      <c r="H3962">
        <v>7194.74</v>
      </c>
    </row>
    <row r="3963" spans="1:8" x14ac:dyDescent="0.35">
      <c r="A3963" t="s">
        <v>7</v>
      </c>
      <c r="B3963" t="s">
        <v>12</v>
      </c>
      <c r="C3963" t="s">
        <v>10</v>
      </c>
      <c r="D3963">
        <v>94</v>
      </c>
      <c r="E3963">
        <v>9</v>
      </c>
      <c r="F3963">
        <v>9.57</v>
      </c>
      <c r="G3963">
        <v>37.65</v>
      </c>
      <c r="H3963">
        <v>3539.1</v>
      </c>
    </row>
    <row r="3964" spans="1:8" x14ac:dyDescent="0.35">
      <c r="A3964" t="s">
        <v>7</v>
      </c>
      <c r="B3964" t="s">
        <v>12</v>
      </c>
      <c r="C3964" t="s">
        <v>9</v>
      </c>
      <c r="D3964">
        <v>192</v>
      </c>
      <c r="E3964">
        <v>1</v>
      </c>
      <c r="F3964">
        <v>0.52</v>
      </c>
      <c r="G3964">
        <v>24.73</v>
      </c>
      <c r="H3964">
        <v>4748.16</v>
      </c>
    </row>
    <row r="3965" spans="1:8" x14ac:dyDescent="0.35">
      <c r="A3965" t="s">
        <v>8</v>
      </c>
      <c r="B3965" t="s">
        <v>12</v>
      </c>
      <c r="C3965" t="s">
        <v>9</v>
      </c>
      <c r="D3965">
        <v>233</v>
      </c>
      <c r="E3965">
        <v>10</v>
      </c>
      <c r="F3965">
        <v>4.29</v>
      </c>
      <c r="G3965">
        <v>68.540000000000006</v>
      </c>
      <c r="H3965">
        <v>15969.82</v>
      </c>
    </row>
    <row r="3966" spans="1:8" x14ac:dyDescent="0.35">
      <c r="A3966" t="s">
        <v>5</v>
      </c>
      <c r="B3966" t="s">
        <v>12</v>
      </c>
      <c r="C3966" t="s">
        <v>9</v>
      </c>
      <c r="D3966">
        <v>231</v>
      </c>
      <c r="E3966">
        <v>23</v>
      </c>
      <c r="F3966">
        <v>9.9600000000000009</v>
      </c>
      <c r="G3966">
        <v>19.05</v>
      </c>
      <c r="H3966">
        <v>4400.55</v>
      </c>
    </row>
    <row r="3967" spans="1:8" x14ac:dyDescent="0.35">
      <c r="A3967" t="s">
        <v>7</v>
      </c>
      <c r="B3967" t="s">
        <v>12</v>
      </c>
      <c r="C3967" t="s">
        <v>10</v>
      </c>
      <c r="D3967">
        <v>257</v>
      </c>
      <c r="E3967">
        <v>5</v>
      </c>
      <c r="F3967">
        <v>1.95</v>
      </c>
      <c r="G3967">
        <v>5.57</v>
      </c>
      <c r="H3967">
        <v>1431.49</v>
      </c>
    </row>
    <row r="3968" spans="1:8" x14ac:dyDescent="0.35">
      <c r="A3968" t="s">
        <v>7</v>
      </c>
      <c r="B3968" t="s">
        <v>12</v>
      </c>
      <c r="C3968" t="s">
        <v>9</v>
      </c>
      <c r="D3968">
        <v>279</v>
      </c>
      <c r="E3968">
        <v>1</v>
      </c>
      <c r="F3968">
        <v>0.36</v>
      </c>
      <c r="G3968">
        <v>8.0299999999999994</v>
      </c>
      <c r="H3968">
        <v>2240.37</v>
      </c>
    </row>
    <row r="3969" spans="1:8" x14ac:dyDescent="0.35">
      <c r="A3969" t="s">
        <v>6</v>
      </c>
      <c r="B3969" t="s">
        <v>12</v>
      </c>
      <c r="C3969" t="s">
        <v>9</v>
      </c>
      <c r="D3969">
        <v>136</v>
      </c>
      <c r="E3969">
        <v>6</v>
      </c>
      <c r="F3969">
        <v>4.41</v>
      </c>
      <c r="G3969">
        <v>34.130000000000003</v>
      </c>
      <c r="H3969">
        <v>4641.68</v>
      </c>
    </row>
    <row r="3970" spans="1:8" x14ac:dyDescent="0.35">
      <c r="A3970" t="s">
        <v>7</v>
      </c>
      <c r="B3970" t="s">
        <v>12</v>
      </c>
      <c r="C3970" t="s">
        <v>10</v>
      </c>
      <c r="D3970">
        <v>280</v>
      </c>
      <c r="E3970">
        <v>24</v>
      </c>
      <c r="F3970">
        <v>8.57</v>
      </c>
      <c r="G3970">
        <v>38.159999999999997</v>
      </c>
      <c r="H3970">
        <v>10684.8</v>
      </c>
    </row>
    <row r="3971" spans="1:8" x14ac:dyDescent="0.35">
      <c r="A3971" t="s">
        <v>6</v>
      </c>
      <c r="B3971" t="s">
        <v>12</v>
      </c>
      <c r="C3971" t="s">
        <v>9</v>
      </c>
      <c r="D3971">
        <v>224</v>
      </c>
      <c r="E3971">
        <v>17</v>
      </c>
      <c r="F3971">
        <v>7.59</v>
      </c>
      <c r="G3971">
        <v>45.92</v>
      </c>
      <c r="H3971">
        <v>10286.08</v>
      </c>
    </row>
    <row r="3972" spans="1:8" x14ac:dyDescent="0.35">
      <c r="A3972" t="s">
        <v>6</v>
      </c>
      <c r="B3972" t="s">
        <v>12</v>
      </c>
      <c r="C3972" t="s">
        <v>11</v>
      </c>
      <c r="D3972">
        <v>247</v>
      </c>
      <c r="E3972">
        <v>21</v>
      </c>
      <c r="F3972">
        <v>8.5</v>
      </c>
      <c r="G3972">
        <v>48.87</v>
      </c>
      <c r="H3972">
        <v>12070.89</v>
      </c>
    </row>
    <row r="3973" spans="1:8" x14ac:dyDescent="0.35">
      <c r="A3973" t="s">
        <v>5</v>
      </c>
      <c r="B3973" t="s">
        <v>12</v>
      </c>
      <c r="C3973" t="s">
        <v>9</v>
      </c>
      <c r="D3973">
        <v>176</v>
      </c>
      <c r="E3973">
        <v>4</v>
      </c>
      <c r="F3973">
        <v>2.27</v>
      </c>
      <c r="G3973">
        <v>18.54</v>
      </c>
      <c r="H3973">
        <v>3263.04</v>
      </c>
    </row>
    <row r="3974" spans="1:8" x14ac:dyDescent="0.35">
      <c r="A3974" t="s">
        <v>6</v>
      </c>
      <c r="B3974" t="s">
        <v>12</v>
      </c>
      <c r="C3974" t="s">
        <v>9</v>
      </c>
      <c r="D3974">
        <v>138</v>
      </c>
      <c r="E3974">
        <v>1</v>
      </c>
      <c r="F3974">
        <v>0.72</v>
      </c>
      <c r="G3974">
        <v>41.52</v>
      </c>
      <c r="H3974">
        <v>5729.76</v>
      </c>
    </row>
    <row r="3975" spans="1:8" x14ac:dyDescent="0.35">
      <c r="A3975" t="s">
        <v>6</v>
      </c>
      <c r="B3975" t="s">
        <v>12</v>
      </c>
      <c r="C3975" t="s">
        <v>9</v>
      </c>
      <c r="D3975">
        <v>277</v>
      </c>
      <c r="E3975">
        <v>20</v>
      </c>
      <c r="F3975">
        <v>7.22</v>
      </c>
      <c r="G3975">
        <v>31.08</v>
      </c>
      <c r="H3975">
        <v>8609.16</v>
      </c>
    </row>
    <row r="3976" spans="1:8" x14ac:dyDescent="0.35">
      <c r="A3976" t="s">
        <v>5</v>
      </c>
      <c r="B3976" t="s">
        <v>12</v>
      </c>
      <c r="C3976" t="s">
        <v>9</v>
      </c>
      <c r="D3976">
        <v>176</v>
      </c>
      <c r="E3976">
        <v>14</v>
      </c>
      <c r="F3976">
        <v>7.95</v>
      </c>
      <c r="G3976">
        <v>52.56</v>
      </c>
      <c r="H3976">
        <v>9250.56</v>
      </c>
    </row>
    <row r="3977" spans="1:8" x14ac:dyDescent="0.35">
      <c r="A3977" t="s">
        <v>6</v>
      </c>
      <c r="B3977" t="s">
        <v>12</v>
      </c>
      <c r="C3977" t="s">
        <v>9</v>
      </c>
      <c r="D3977">
        <v>200</v>
      </c>
      <c r="E3977">
        <v>16</v>
      </c>
      <c r="F3977">
        <v>8</v>
      </c>
      <c r="G3977">
        <v>62.31</v>
      </c>
      <c r="H3977">
        <v>12462</v>
      </c>
    </row>
    <row r="3978" spans="1:8" x14ac:dyDescent="0.35">
      <c r="A3978" t="s">
        <v>5</v>
      </c>
      <c r="B3978" t="s">
        <v>12</v>
      </c>
      <c r="C3978" t="s">
        <v>9</v>
      </c>
      <c r="D3978">
        <v>235</v>
      </c>
      <c r="E3978">
        <v>4</v>
      </c>
      <c r="F3978">
        <v>1.7</v>
      </c>
      <c r="G3978">
        <v>51.2</v>
      </c>
      <c r="H3978">
        <v>12032</v>
      </c>
    </row>
    <row r="3979" spans="1:8" x14ac:dyDescent="0.35">
      <c r="A3979" t="s">
        <v>5</v>
      </c>
      <c r="B3979" t="s">
        <v>12</v>
      </c>
      <c r="C3979" t="s">
        <v>9</v>
      </c>
      <c r="D3979">
        <v>216</v>
      </c>
      <c r="E3979">
        <v>1</v>
      </c>
      <c r="F3979">
        <v>0.46</v>
      </c>
      <c r="G3979">
        <v>29.27</v>
      </c>
      <c r="H3979">
        <v>6322.32</v>
      </c>
    </row>
    <row r="3980" spans="1:8" x14ac:dyDescent="0.35">
      <c r="A3980" t="s">
        <v>5</v>
      </c>
      <c r="B3980" t="s">
        <v>12</v>
      </c>
      <c r="C3980" t="s">
        <v>9</v>
      </c>
      <c r="D3980">
        <v>159</v>
      </c>
      <c r="E3980">
        <v>15</v>
      </c>
      <c r="F3980">
        <v>9.43</v>
      </c>
      <c r="G3980">
        <v>35.85</v>
      </c>
      <c r="H3980">
        <v>5700.15</v>
      </c>
    </row>
    <row r="3981" spans="1:8" x14ac:dyDescent="0.35">
      <c r="A3981" t="s">
        <v>7</v>
      </c>
      <c r="B3981" t="s">
        <v>12</v>
      </c>
      <c r="C3981" t="s">
        <v>9</v>
      </c>
      <c r="D3981">
        <v>249</v>
      </c>
      <c r="E3981">
        <v>13</v>
      </c>
      <c r="F3981">
        <v>5.22</v>
      </c>
      <c r="G3981">
        <v>53.66</v>
      </c>
      <c r="H3981">
        <v>13361.34</v>
      </c>
    </row>
    <row r="3982" spans="1:8" x14ac:dyDescent="0.35">
      <c r="A3982" t="s">
        <v>8</v>
      </c>
      <c r="B3982" t="s">
        <v>12</v>
      </c>
      <c r="C3982" t="s">
        <v>9</v>
      </c>
      <c r="D3982">
        <v>149</v>
      </c>
      <c r="E3982">
        <v>13</v>
      </c>
      <c r="F3982">
        <v>8.7200000000000006</v>
      </c>
      <c r="G3982">
        <v>44.9</v>
      </c>
      <c r="H3982">
        <v>6690.1</v>
      </c>
    </row>
    <row r="3983" spans="1:8" x14ac:dyDescent="0.35">
      <c r="A3983" t="s">
        <v>8</v>
      </c>
      <c r="B3983" t="s">
        <v>12</v>
      </c>
      <c r="C3983" t="s">
        <v>9</v>
      </c>
      <c r="D3983">
        <v>223</v>
      </c>
      <c r="E3983">
        <v>3</v>
      </c>
      <c r="F3983">
        <v>1.35</v>
      </c>
      <c r="G3983">
        <v>65.67</v>
      </c>
      <c r="H3983">
        <v>14644.41</v>
      </c>
    </row>
    <row r="3984" spans="1:8" x14ac:dyDescent="0.35">
      <c r="A3984" t="s">
        <v>6</v>
      </c>
      <c r="B3984" t="s">
        <v>12</v>
      </c>
      <c r="C3984" t="s">
        <v>11</v>
      </c>
      <c r="D3984">
        <v>59</v>
      </c>
      <c r="E3984">
        <v>1</v>
      </c>
      <c r="F3984">
        <v>1.69</v>
      </c>
      <c r="G3984">
        <v>34.119999999999997</v>
      </c>
      <c r="H3984">
        <v>2013.08</v>
      </c>
    </row>
    <row r="3985" spans="1:8" x14ac:dyDescent="0.35">
      <c r="A3985" t="s">
        <v>6</v>
      </c>
      <c r="B3985" t="s">
        <v>12</v>
      </c>
      <c r="C3985" t="s">
        <v>11</v>
      </c>
      <c r="D3985">
        <v>182</v>
      </c>
      <c r="E3985">
        <v>8</v>
      </c>
      <c r="F3985">
        <v>4.4000000000000004</v>
      </c>
      <c r="G3985">
        <v>17.54</v>
      </c>
      <c r="H3985">
        <v>3192.28</v>
      </c>
    </row>
    <row r="3986" spans="1:8" x14ac:dyDescent="0.35">
      <c r="A3986" t="s">
        <v>8</v>
      </c>
      <c r="B3986" t="s">
        <v>12</v>
      </c>
      <c r="C3986" t="s">
        <v>9</v>
      </c>
      <c r="D3986">
        <v>92</v>
      </c>
      <c r="E3986">
        <v>8</v>
      </c>
      <c r="F3986">
        <v>8.6999999999999993</v>
      </c>
      <c r="G3986">
        <v>60.04</v>
      </c>
      <c r="H3986">
        <v>5523.68</v>
      </c>
    </row>
    <row r="3987" spans="1:8" x14ac:dyDescent="0.35">
      <c r="A3987" t="s">
        <v>5</v>
      </c>
      <c r="B3987" t="s">
        <v>12</v>
      </c>
      <c r="C3987" t="s">
        <v>9</v>
      </c>
      <c r="D3987">
        <v>185</v>
      </c>
      <c r="E3987">
        <v>16</v>
      </c>
      <c r="F3987">
        <v>8.65</v>
      </c>
      <c r="G3987">
        <v>58.84</v>
      </c>
      <c r="H3987">
        <v>10885.4</v>
      </c>
    </row>
    <row r="3988" spans="1:8" x14ac:dyDescent="0.35">
      <c r="A3988" t="s">
        <v>6</v>
      </c>
      <c r="B3988" t="s">
        <v>12</v>
      </c>
      <c r="C3988" t="s">
        <v>11</v>
      </c>
      <c r="D3988">
        <v>203</v>
      </c>
      <c r="E3988">
        <v>15</v>
      </c>
      <c r="F3988">
        <v>7.39</v>
      </c>
      <c r="G3988">
        <v>17.77</v>
      </c>
      <c r="H3988">
        <v>3607.31</v>
      </c>
    </row>
    <row r="3989" spans="1:8" x14ac:dyDescent="0.35">
      <c r="A3989" t="s">
        <v>7</v>
      </c>
      <c r="B3989" t="s">
        <v>12</v>
      </c>
      <c r="C3989" t="s">
        <v>10</v>
      </c>
      <c r="D3989">
        <v>204</v>
      </c>
      <c r="E3989">
        <v>2</v>
      </c>
      <c r="F3989">
        <v>0.98</v>
      </c>
      <c r="G3989">
        <v>55.06</v>
      </c>
      <c r="H3989">
        <v>11232.24</v>
      </c>
    </row>
    <row r="3990" spans="1:8" x14ac:dyDescent="0.35">
      <c r="A3990" t="s">
        <v>7</v>
      </c>
      <c r="B3990" t="s">
        <v>12</v>
      </c>
      <c r="C3990" t="s">
        <v>9</v>
      </c>
      <c r="D3990">
        <v>136</v>
      </c>
      <c r="E3990">
        <v>8</v>
      </c>
      <c r="F3990">
        <v>5.88</v>
      </c>
      <c r="G3990">
        <v>16.53</v>
      </c>
      <c r="H3990">
        <v>2248.08</v>
      </c>
    </row>
    <row r="3991" spans="1:8" x14ac:dyDescent="0.35">
      <c r="A3991" t="s">
        <v>6</v>
      </c>
      <c r="B3991" t="s">
        <v>12</v>
      </c>
      <c r="C3991" t="s">
        <v>11</v>
      </c>
      <c r="D3991">
        <v>67</v>
      </c>
      <c r="E3991">
        <v>0</v>
      </c>
      <c r="F3991">
        <v>0</v>
      </c>
      <c r="G3991">
        <v>64.23</v>
      </c>
      <c r="H3991">
        <v>4303.41</v>
      </c>
    </row>
    <row r="3992" spans="1:8" x14ac:dyDescent="0.35">
      <c r="A3992" t="s">
        <v>6</v>
      </c>
      <c r="B3992" t="s">
        <v>12</v>
      </c>
      <c r="C3992" t="s">
        <v>11</v>
      </c>
      <c r="D3992">
        <v>291</v>
      </c>
      <c r="E3992">
        <v>11</v>
      </c>
      <c r="F3992">
        <v>3.78</v>
      </c>
      <c r="G3992">
        <v>41.92</v>
      </c>
      <c r="H3992">
        <v>12198.72</v>
      </c>
    </row>
    <row r="3993" spans="1:8" x14ac:dyDescent="0.35">
      <c r="A3993" t="s">
        <v>6</v>
      </c>
      <c r="B3993" t="s">
        <v>12</v>
      </c>
      <c r="C3993" t="s">
        <v>9</v>
      </c>
      <c r="D3993">
        <v>161</v>
      </c>
      <c r="E3993">
        <v>10</v>
      </c>
      <c r="F3993">
        <v>6.21</v>
      </c>
      <c r="G3993">
        <v>24.86</v>
      </c>
      <c r="H3993">
        <v>4002.46</v>
      </c>
    </row>
    <row r="3994" spans="1:8" x14ac:dyDescent="0.35">
      <c r="A3994" t="s">
        <v>8</v>
      </c>
      <c r="B3994" t="s">
        <v>12</v>
      </c>
      <c r="C3994" t="s">
        <v>9</v>
      </c>
      <c r="D3994">
        <v>68</v>
      </c>
      <c r="E3994">
        <v>4</v>
      </c>
      <c r="F3994">
        <v>5.88</v>
      </c>
      <c r="G3994">
        <v>18.89</v>
      </c>
      <c r="H3994">
        <v>1284.52</v>
      </c>
    </row>
    <row r="3995" spans="1:8" x14ac:dyDescent="0.35">
      <c r="A3995" t="s">
        <v>5</v>
      </c>
      <c r="B3995" t="s">
        <v>12</v>
      </c>
      <c r="C3995" t="s">
        <v>9</v>
      </c>
      <c r="D3995">
        <v>144</v>
      </c>
      <c r="E3995">
        <v>1</v>
      </c>
      <c r="F3995">
        <v>0.69</v>
      </c>
      <c r="G3995">
        <v>17.53</v>
      </c>
      <c r="H3995">
        <v>2524.3200000000002</v>
      </c>
    </row>
    <row r="3996" spans="1:8" x14ac:dyDescent="0.35">
      <c r="A3996" t="s">
        <v>7</v>
      </c>
      <c r="B3996" t="s">
        <v>12</v>
      </c>
      <c r="C3996" t="s">
        <v>10</v>
      </c>
      <c r="D3996">
        <v>261</v>
      </c>
      <c r="E3996">
        <v>7</v>
      </c>
      <c r="F3996">
        <v>2.68</v>
      </c>
      <c r="G3996">
        <v>56.41</v>
      </c>
      <c r="H3996">
        <v>14723.01</v>
      </c>
    </row>
    <row r="3997" spans="1:8" x14ac:dyDescent="0.35">
      <c r="A3997" t="s">
        <v>6</v>
      </c>
      <c r="B3997" t="s">
        <v>12</v>
      </c>
      <c r="C3997" t="s">
        <v>9</v>
      </c>
      <c r="D3997">
        <v>211</v>
      </c>
      <c r="E3997">
        <v>17</v>
      </c>
      <c r="F3997">
        <v>8.06</v>
      </c>
      <c r="G3997">
        <v>58.39</v>
      </c>
      <c r="H3997">
        <v>12320.29</v>
      </c>
    </row>
    <row r="3998" spans="1:8" x14ac:dyDescent="0.35">
      <c r="A3998" t="s">
        <v>7</v>
      </c>
      <c r="B3998" t="s">
        <v>12</v>
      </c>
      <c r="C3998" t="s">
        <v>10</v>
      </c>
      <c r="D3998">
        <v>78</v>
      </c>
      <c r="E3998">
        <v>5</v>
      </c>
      <c r="F3998">
        <v>6.41</v>
      </c>
      <c r="G3998">
        <v>31.65</v>
      </c>
      <c r="H3998">
        <v>2468.6999999999998</v>
      </c>
    </row>
    <row r="3999" spans="1:8" x14ac:dyDescent="0.35">
      <c r="A3999" t="s">
        <v>7</v>
      </c>
      <c r="B3999" t="s">
        <v>12</v>
      </c>
      <c r="C3999" t="s">
        <v>10</v>
      </c>
      <c r="D3999">
        <v>154</v>
      </c>
      <c r="E3999">
        <v>8</v>
      </c>
      <c r="F3999">
        <v>5.19</v>
      </c>
      <c r="G3999">
        <v>67.64</v>
      </c>
      <c r="H3999">
        <v>10416.56</v>
      </c>
    </row>
    <row r="4000" spans="1:8" x14ac:dyDescent="0.35">
      <c r="A4000" t="s">
        <v>5</v>
      </c>
      <c r="B4000" t="s">
        <v>12</v>
      </c>
      <c r="C4000" t="s">
        <v>9</v>
      </c>
      <c r="D4000">
        <v>238</v>
      </c>
      <c r="E4000">
        <v>17</v>
      </c>
      <c r="F4000">
        <v>7.14</v>
      </c>
      <c r="G4000">
        <v>29.48</v>
      </c>
      <c r="H4000">
        <v>7016.24</v>
      </c>
    </row>
    <row r="4001" spans="1:8" x14ac:dyDescent="0.35">
      <c r="A4001" t="s">
        <v>8</v>
      </c>
      <c r="B4001" t="s">
        <v>12</v>
      </c>
      <c r="C4001" t="s">
        <v>9</v>
      </c>
      <c r="D4001">
        <v>56</v>
      </c>
      <c r="E4001">
        <v>4</v>
      </c>
      <c r="F4001">
        <v>7.14</v>
      </c>
      <c r="G4001">
        <v>13.81</v>
      </c>
      <c r="H4001">
        <v>773.36</v>
      </c>
    </row>
    <row r="4002" spans="1:8" x14ac:dyDescent="0.35">
      <c r="A4002" t="s">
        <v>7</v>
      </c>
      <c r="B4002" t="s">
        <v>12</v>
      </c>
      <c r="C4002" t="s">
        <v>9</v>
      </c>
      <c r="D4002">
        <v>112</v>
      </c>
      <c r="E4002">
        <v>9</v>
      </c>
      <c r="F4002">
        <v>8.0399999999999991</v>
      </c>
      <c r="G4002">
        <v>8.1300000000000008</v>
      </c>
      <c r="H4002">
        <v>910.56</v>
      </c>
    </row>
    <row r="4003" spans="1:8" x14ac:dyDescent="0.35">
      <c r="A4003" t="s">
        <v>7</v>
      </c>
      <c r="B4003" t="s">
        <v>12</v>
      </c>
      <c r="C4003" t="s">
        <v>10</v>
      </c>
      <c r="D4003">
        <v>195</v>
      </c>
      <c r="E4003">
        <v>3</v>
      </c>
      <c r="F4003">
        <v>1.54</v>
      </c>
      <c r="G4003">
        <v>21.61</v>
      </c>
      <c r="H4003">
        <v>4213.95</v>
      </c>
    </row>
    <row r="4004" spans="1:8" x14ac:dyDescent="0.35">
      <c r="A4004" t="s">
        <v>6</v>
      </c>
      <c r="B4004" t="s">
        <v>12</v>
      </c>
      <c r="C4004" t="s">
        <v>11</v>
      </c>
      <c r="D4004">
        <v>118</v>
      </c>
      <c r="E4004">
        <v>0</v>
      </c>
      <c r="F4004">
        <v>0</v>
      </c>
      <c r="G4004">
        <v>12.55</v>
      </c>
      <c r="H4004">
        <v>1480.9</v>
      </c>
    </row>
    <row r="4005" spans="1:8" x14ac:dyDescent="0.35">
      <c r="A4005" t="s">
        <v>8</v>
      </c>
      <c r="B4005" t="s">
        <v>12</v>
      </c>
      <c r="C4005" t="s">
        <v>9</v>
      </c>
      <c r="D4005">
        <v>88</v>
      </c>
      <c r="E4005">
        <v>0</v>
      </c>
      <c r="F4005">
        <v>0</v>
      </c>
      <c r="G4005">
        <v>50.65</v>
      </c>
      <c r="H4005">
        <v>4457.2</v>
      </c>
    </row>
    <row r="4006" spans="1:8" x14ac:dyDescent="0.35">
      <c r="A4006" t="s">
        <v>8</v>
      </c>
      <c r="B4006" t="s">
        <v>12</v>
      </c>
      <c r="C4006" t="s">
        <v>9</v>
      </c>
      <c r="D4006">
        <v>95</v>
      </c>
      <c r="E4006">
        <v>2</v>
      </c>
      <c r="F4006">
        <v>2.11</v>
      </c>
      <c r="G4006">
        <v>15.47</v>
      </c>
      <c r="H4006">
        <v>1469.65</v>
      </c>
    </row>
    <row r="4007" spans="1:8" x14ac:dyDescent="0.35">
      <c r="A4007" t="s">
        <v>5</v>
      </c>
      <c r="B4007" t="s">
        <v>12</v>
      </c>
      <c r="C4007" t="s">
        <v>9</v>
      </c>
      <c r="D4007">
        <v>161</v>
      </c>
      <c r="E4007">
        <v>2</v>
      </c>
      <c r="F4007">
        <v>1.24</v>
      </c>
      <c r="G4007">
        <v>9.19</v>
      </c>
      <c r="H4007">
        <v>1479.59</v>
      </c>
    </row>
    <row r="4008" spans="1:8" x14ac:dyDescent="0.35">
      <c r="A4008" t="s">
        <v>7</v>
      </c>
      <c r="B4008" t="s">
        <v>12</v>
      </c>
      <c r="C4008" t="s">
        <v>9</v>
      </c>
      <c r="D4008">
        <v>90</v>
      </c>
      <c r="E4008">
        <v>1</v>
      </c>
      <c r="F4008">
        <v>1.1100000000000001</v>
      </c>
      <c r="G4008">
        <v>25.49</v>
      </c>
      <c r="H4008">
        <v>2294.1</v>
      </c>
    </row>
    <row r="4009" spans="1:8" x14ac:dyDescent="0.35">
      <c r="A4009" t="s">
        <v>5</v>
      </c>
      <c r="B4009" t="s">
        <v>12</v>
      </c>
      <c r="C4009" t="s">
        <v>9</v>
      </c>
      <c r="D4009">
        <v>128</v>
      </c>
      <c r="E4009">
        <v>9</v>
      </c>
      <c r="F4009">
        <v>7.03</v>
      </c>
      <c r="G4009">
        <v>34.93</v>
      </c>
      <c r="H4009">
        <v>4471.04</v>
      </c>
    </row>
    <row r="4010" spans="1:8" x14ac:dyDescent="0.35">
      <c r="A4010" t="s">
        <v>6</v>
      </c>
      <c r="B4010" t="s">
        <v>12</v>
      </c>
      <c r="C4010" t="s">
        <v>11</v>
      </c>
      <c r="D4010">
        <v>94</v>
      </c>
      <c r="E4010">
        <v>7</v>
      </c>
      <c r="F4010">
        <v>7.45</v>
      </c>
      <c r="G4010">
        <v>40.93</v>
      </c>
      <c r="H4010">
        <v>3847.42</v>
      </c>
    </row>
    <row r="4011" spans="1:8" x14ac:dyDescent="0.35">
      <c r="A4011" t="s">
        <v>5</v>
      </c>
      <c r="B4011" t="s">
        <v>12</v>
      </c>
      <c r="C4011" t="s">
        <v>9</v>
      </c>
      <c r="D4011">
        <v>64</v>
      </c>
      <c r="E4011">
        <v>1</v>
      </c>
      <c r="F4011">
        <v>1.56</v>
      </c>
      <c r="G4011">
        <v>27.12</v>
      </c>
      <c r="H4011">
        <v>1735.68</v>
      </c>
    </row>
    <row r="4012" spans="1:8" x14ac:dyDescent="0.35">
      <c r="A4012" t="s">
        <v>6</v>
      </c>
      <c r="B4012" t="s">
        <v>12</v>
      </c>
      <c r="C4012" t="s">
        <v>11</v>
      </c>
      <c r="D4012">
        <v>95</v>
      </c>
      <c r="E4012">
        <v>5</v>
      </c>
      <c r="F4012">
        <v>5.26</v>
      </c>
      <c r="G4012">
        <v>29.2</v>
      </c>
      <c r="H4012">
        <v>2774</v>
      </c>
    </row>
    <row r="4013" spans="1:8" x14ac:dyDescent="0.35">
      <c r="A4013" t="s">
        <v>5</v>
      </c>
      <c r="B4013" t="s">
        <v>12</v>
      </c>
      <c r="C4013" t="s">
        <v>9</v>
      </c>
      <c r="D4013">
        <v>77</v>
      </c>
      <c r="E4013">
        <v>4</v>
      </c>
      <c r="F4013">
        <v>5.19</v>
      </c>
      <c r="G4013">
        <v>54.66</v>
      </c>
      <c r="H4013">
        <v>4208.82</v>
      </c>
    </row>
    <row r="4014" spans="1:8" x14ac:dyDescent="0.35">
      <c r="A4014" t="s">
        <v>6</v>
      </c>
      <c r="B4014" t="s">
        <v>12</v>
      </c>
      <c r="C4014" t="s">
        <v>11</v>
      </c>
      <c r="D4014">
        <v>288</v>
      </c>
      <c r="E4014">
        <v>13</v>
      </c>
      <c r="F4014">
        <v>4.51</v>
      </c>
      <c r="G4014">
        <v>24.97</v>
      </c>
      <c r="H4014">
        <v>7191.36</v>
      </c>
    </row>
    <row r="4015" spans="1:8" x14ac:dyDescent="0.35">
      <c r="A4015" t="s">
        <v>6</v>
      </c>
      <c r="B4015" t="s">
        <v>12</v>
      </c>
      <c r="C4015" t="s">
        <v>11</v>
      </c>
      <c r="D4015">
        <v>133</v>
      </c>
      <c r="E4015">
        <v>5</v>
      </c>
      <c r="F4015">
        <v>3.76</v>
      </c>
      <c r="G4015">
        <v>53.01</v>
      </c>
      <c r="H4015">
        <v>7050.33</v>
      </c>
    </row>
    <row r="4016" spans="1:8" x14ac:dyDescent="0.35">
      <c r="A4016" t="s">
        <v>5</v>
      </c>
      <c r="B4016" t="s">
        <v>12</v>
      </c>
      <c r="C4016" t="s">
        <v>9</v>
      </c>
      <c r="D4016">
        <v>258</v>
      </c>
      <c r="E4016">
        <v>24</v>
      </c>
      <c r="F4016">
        <v>9.3000000000000007</v>
      </c>
      <c r="G4016">
        <v>8.1199999999999992</v>
      </c>
      <c r="H4016">
        <v>2094.96</v>
      </c>
    </row>
    <row r="4017" spans="1:8" x14ac:dyDescent="0.35">
      <c r="A4017" t="s">
        <v>5</v>
      </c>
      <c r="B4017" t="s">
        <v>12</v>
      </c>
      <c r="C4017" t="s">
        <v>9</v>
      </c>
      <c r="D4017">
        <v>284</v>
      </c>
      <c r="E4017">
        <v>24</v>
      </c>
      <c r="F4017">
        <v>8.4499999999999993</v>
      </c>
      <c r="G4017">
        <v>9.5299999999999994</v>
      </c>
      <c r="H4017">
        <v>2706.52</v>
      </c>
    </row>
    <row r="4018" spans="1:8" x14ac:dyDescent="0.35">
      <c r="A4018" t="s">
        <v>7</v>
      </c>
      <c r="B4018" t="s">
        <v>12</v>
      </c>
      <c r="C4018" t="s">
        <v>10</v>
      </c>
      <c r="D4018">
        <v>286</v>
      </c>
      <c r="E4018">
        <v>11</v>
      </c>
      <c r="F4018">
        <v>3.85</v>
      </c>
      <c r="G4018">
        <v>10.67</v>
      </c>
      <c r="H4018">
        <v>3051.62</v>
      </c>
    </row>
    <row r="4019" spans="1:8" x14ac:dyDescent="0.35">
      <c r="A4019" t="s">
        <v>6</v>
      </c>
      <c r="B4019" t="s">
        <v>12</v>
      </c>
      <c r="C4019" t="s">
        <v>9</v>
      </c>
      <c r="D4019">
        <v>187</v>
      </c>
      <c r="E4019">
        <v>5</v>
      </c>
      <c r="F4019">
        <v>2.67</v>
      </c>
      <c r="G4019">
        <v>41.74</v>
      </c>
      <c r="H4019">
        <v>7805.38</v>
      </c>
    </row>
    <row r="4020" spans="1:8" x14ac:dyDescent="0.35">
      <c r="A4020" t="s">
        <v>5</v>
      </c>
      <c r="B4020" t="s">
        <v>12</v>
      </c>
      <c r="C4020" t="s">
        <v>9</v>
      </c>
      <c r="D4020">
        <v>222</v>
      </c>
      <c r="E4020">
        <v>1</v>
      </c>
      <c r="F4020">
        <v>0.45</v>
      </c>
      <c r="G4020">
        <v>63.41</v>
      </c>
      <c r="H4020">
        <v>14077.02</v>
      </c>
    </row>
    <row r="4021" spans="1:8" x14ac:dyDescent="0.35">
      <c r="A4021" t="s">
        <v>7</v>
      </c>
      <c r="B4021" t="s">
        <v>12</v>
      </c>
      <c r="C4021" t="s">
        <v>9</v>
      </c>
      <c r="D4021">
        <v>120</v>
      </c>
      <c r="E4021">
        <v>1</v>
      </c>
      <c r="F4021">
        <v>0.83</v>
      </c>
      <c r="G4021">
        <v>50.37</v>
      </c>
      <c r="H4021">
        <v>6044.4</v>
      </c>
    </row>
    <row r="4022" spans="1:8" x14ac:dyDescent="0.35">
      <c r="A4022" t="s">
        <v>7</v>
      </c>
      <c r="B4022" t="s">
        <v>12</v>
      </c>
      <c r="C4022" t="s">
        <v>9</v>
      </c>
      <c r="D4022">
        <v>297</v>
      </c>
      <c r="E4022">
        <v>0</v>
      </c>
      <c r="F4022">
        <v>0</v>
      </c>
      <c r="G4022">
        <v>52.71</v>
      </c>
      <c r="H4022">
        <v>15654.87</v>
      </c>
    </row>
    <row r="4023" spans="1:8" x14ac:dyDescent="0.35">
      <c r="A4023" t="s">
        <v>7</v>
      </c>
      <c r="B4023" t="s">
        <v>12</v>
      </c>
      <c r="C4023" t="s">
        <v>10</v>
      </c>
      <c r="D4023">
        <v>78</v>
      </c>
      <c r="E4023">
        <v>5</v>
      </c>
      <c r="F4023">
        <v>6.41</v>
      </c>
      <c r="G4023">
        <v>12.29</v>
      </c>
      <c r="H4023">
        <v>958.62</v>
      </c>
    </row>
    <row r="4024" spans="1:8" x14ac:dyDescent="0.35">
      <c r="A4024" t="s">
        <v>7</v>
      </c>
      <c r="B4024" t="s">
        <v>12</v>
      </c>
      <c r="C4024" t="s">
        <v>10</v>
      </c>
      <c r="D4024">
        <v>236</v>
      </c>
      <c r="E4024">
        <v>7</v>
      </c>
      <c r="F4024">
        <v>2.97</v>
      </c>
      <c r="G4024">
        <v>38.28</v>
      </c>
      <c r="H4024">
        <v>9034.08</v>
      </c>
    </row>
    <row r="4025" spans="1:8" x14ac:dyDescent="0.35">
      <c r="A4025" t="s">
        <v>8</v>
      </c>
      <c r="B4025" t="s">
        <v>12</v>
      </c>
      <c r="C4025" t="s">
        <v>9</v>
      </c>
      <c r="D4025">
        <v>99</v>
      </c>
      <c r="E4025">
        <v>2</v>
      </c>
      <c r="F4025">
        <v>2.02</v>
      </c>
      <c r="G4025">
        <v>68.36</v>
      </c>
      <c r="H4025">
        <v>6767.64</v>
      </c>
    </row>
    <row r="4026" spans="1:8" x14ac:dyDescent="0.35">
      <c r="A4026" t="s">
        <v>6</v>
      </c>
      <c r="B4026" t="s">
        <v>12</v>
      </c>
      <c r="C4026" t="s">
        <v>11</v>
      </c>
      <c r="D4026">
        <v>270</v>
      </c>
      <c r="E4026">
        <v>1</v>
      </c>
      <c r="F4026">
        <v>0.37</v>
      </c>
      <c r="G4026">
        <v>16.86</v>
      </c>
      <c r="H4026">
        <v>4552.2</v>
      </c>
    </row>
    <row r="4027" spans="1:8" x14ac:dyDescent="0.35">
      <c r="A4027" t="s">
        <v>7</v>
      </c>
      <c r="B4027" t="s">
        <v>12</v>
      </c>
      <c r="C4027" t="s">
        <v>9</v>
      </c>
      <c r="D4027">
        <v>132</v>
      </c>
      <c r="E4027">
        <v>5</v>
      </c>
      <c r="F4027">
        <v>3.79</v>
      </c>
      <c r="G4027">
        <v>11.49</v>
      </c>
      <c r="H4027">
        <v>1516.68</v>
      </c>
    </row>
    <row r="4028" spans="1:8" x14ac:dyDescent="0.35">
      <c r="A4028" t="s">
        <v>7</v>
      </c>
      <c r="B4028" t="s">
        <v>12</v>
      </c>
      <c r="C4028" t="s">
        <v>10</v>
      </c>
      <c r="D4028">
        <v>57</v>
      </c>
      <c r="E4028">
        <v>4</v>
      </c>
      <c r="F4028">
        <v>7.02</v>
      </c>
      <c r="G4028">
        <v>13.96</v>
      </c>
      <c r="H4028">
        <v>795.72</v>
      </c>
    </row>
    <row r="4029" spans="1:8" x14ac:dyDescent="0.35">
      <c r="A4029" t="s">
        <v>6</v>
      </c>
      <c r="B4029" t="s">
        <v>12</v>
      </c>
      <c r="C4029" t="s">
        <v>9</v>
      </c>
      <c r="D4029">
        <v>191</v>
      </c>
      <c r="E4029">
        <v>4</v>
      </c>
      <c r="F4029">
        <v>2.09</v>
      </c>
      <c r="G4029">
        <v>30.4</v>
      </c>
      <c r="H4029">
        <v>5806.4</v>
      </c>
    </row>
    <row r="4030" spans="1:8" x14ac:dyDescent="0.35">
      <c r="A4030" t="s">
        <v>6</v>
      </c>
      <c r="B4030" t="s">
        <v>12</v>
      </c>
      <c r="C4030" t="s">
        <v>11</v>
      </c>
      <c r="D4030">
        <v>162</v>
      </c>
      <c r="E4030">
        <v>2</v>
      </c>
      <c r="F4030">
        <v>1.23</v>
      </c>
      <c r="G4030">
        <v>8.17</v>
      </c>
      <c r="H4030">
        <v>1323.54</v>
      </c>
    </row>
    <row r="4031" spans="1:8" x14ac:dyDescent="0.35">
      <c r="A4031" t="s">
        <v>7</v>
      </c>
      <c r="B4031" t="s">
        <v>12</v>
      </c>
      <c r="C4031" t="s">
        <v>10</v>
      </c>
      <c r="D4031">
        <v>240</v>
      </c>
      <c r="E4031">
        <v>16</v>
      </c>
      <c r="F4031">
        <v>6.67</v>
      </c>
      <c r="G4031">
        <v>64.13</v>
      </c>
      <c r="H4031">
        <v>15391.2</v>
      </c>
    </row>
    <row r="4032" spans="1:8" x14ac:dyDescent="0.35">
      <c r="A4032" t="s">
        <v>5</v>
      </c>
      <c r="B4032" t="s">
        <v>12</v>
      </c>
      <c r="C4032" t="s">
        <v>9</v>
      </c>
      <c r="D4032">
        <v>247</v>
      </c>
      <c r="E4032">
        <v>15</v>
      </c>
      <c r="F4032">
        <v>6.07</v>
      </c>
      <c r="G4032">
        <v>47.68</v>
      </c>
      <c r="H4032">
        <v>11776.96</v>
      </c>
    </row>
    <row r="4033" spans="1:8" x14ac:dyDescent="0.35">
      <c r="A4033" t="s">
        <v>6</v>
      </c>
      <c r="B4033" t="s">
        <v>12</v>
      </c>
      <c r="C4033" t="s">
        <v>11</v>
      </c>
      <c r="D4033">
        <v>245</v>
      </c>
      <c r="E4033">
        <v>8</v>
      </c>
      <c r="F4033">
        <v>3.27</v>
      </c>
      <c r="G4033">
        <v>27.17</v>
      </c>
      <c r="H4033">
        <v>6656.65</v>
      </c>
    </row>
    <row r="4034" spans="1:8" x14ac:dyDescent="0.35">
      <c r="A4034" t="s">
        <v>8</v>
      </c>
      <c r="B4034" t="s">
        <v>12</v>
      </c>
      <c r="C4034" t="s">
        <v>9</v>
      </c>
      <c r="D4034">
        <v>252</v>
      </c>
      <c r="E4034">
        <v>21</v>
      </c>
      <c r="F4034">
        <v>8.33</v>
      </c>
      <c r="G4034">
        <v>55.44</v>
      </c>
      <c r="H4034">
        <v>13970.88</v>
      </c>
    </row>
    <row r="4035" spans="1:8" x14ac:dyDescent="0.35">
      <c r="A4035" t="s">
        <v>7</v>
      </c>
      <c r="B4035" t="s">
        <v>12</v>
      </c>
      <c r="C4035" t="s">
        <v>10</v>
      </c>
      <c r="D4035">
        <v>279</v>
      </c>
      <c r="E4035">
        <v>21</v>
      </c>
      <c r="F4035">
        <v>7.53</v>
      </c>
      <c r="G4035">
        <v>46.31</v>
      </c>
      <c r="H4035">
        <v>12920.49</v>
      </c>
    </row>
    <row r="4036" spans="1:8" x14ac:dyDescent="0.35">
      <c r="A4036" t="s">
        <v>6</v>
      </c>
      <c r="B4036" t="s">
        <v>12</v>
      </c>
      <c r="C4036" t="s">
        <v>11</v>
      </c>
      <c r="D4036">
        <v>254</v>
      </c>
      <c r="E4036">
        <v>7</v>
      </c>
      <c r="F4036">
        <v>2.76</v>
      </c>
      <c r="G4036">
        <v>41.72</v>
      </c>
      <c r="H4036">
        <v>10596.88</v>
      </c>
    </row>
    <row r="4037" spans="1:8" x14ac:dyDescent="0.35">
      <c r="A4037" t="s">
        <v>6</v>
      </c>
      <c r="B4037" t="s">
        <v>12</v>
      </c>
      <c r="C4037" t="s">
        <v>9</v>
      </c>
      <c r="D4037">
        <v>124</v>
      </c>
      <c r="E4037">
        <v>11</v>
      </c>
      <c r="F4037">
        <v>8.8699999999999992</v>
      </c>
      <c r="G4037">
        <v>55.82</v>
      </c>
      <c r="H4037">
        <v>6921.68</v>
      </c>
    </row>
    <row r="4038" spans="1:8" x14ac:dyDescent="0.35">
      <c r="A4038" t="s">
        <v>6</v>
      </c>
      <c r="B4038" t="s">
        <v>12</v>
      </c>
      <c r="C4038" t="s">
        <v>9</v>
      </c>
      <c r="D4038">
        <v>264</v>
      </c>
      <c r="E4038">
        <v>26</v>
      </c>
      <c r="F4038">
        <v>9.85</v>
      </c>
      <c r="G4038">
        <v>6.51</v>
      </c>
      <c r="H4038">
        <v>1718.64</v>
      </c>
    </row>
    <row r="4039" spans="1:8" x14ac:dyDescent="0.35">
      <c r="A4039" t="s">
        <v>6</v>
      </c>
      <c r="B4039" t="s">
        <v>12</v>
      </c>
      <c r="C4039" t="s">
        <v>11</v>
      </c>
      <c r="D4039">
        <v>205</v>
      </c>
      <c r="E4039">
        <v>2</v>
      </c>
      <c r="F4039">
        <v>0.98</v>
      </c>
      <c r="G4039">
        <v>7.54</v>
      </c>
      <c r="H4039">
        <v>1545.7</v>
      </c>
    </row>
    <row r="4040" spans="1:8" x14ac:dyDescent="0.35">
      <c r="A4040" t="s">
        <v>5</v>
      </c>
      <c r="B4040" t="s">
        <v>12</v>
      </c>
      <c r="C4040" t="s">
        <v>9</v>
      </c>
      <c r="D4040">
        <v>159</v>
      </c>
      <c r="E4040">
        <v>11</v>
      </c>
      <c r="F4040">
        <v>6.92</v>
      </c>
      <c r="G4040">
        <v>69.55</v>
      </c>
      <c r="H4040">
        <v>11058.45</v>
      </c>
    </row>
    <row r="4041" spans="1:8" x14ac:dyDescent="0.35">
      <c r="A4041" t="s">
        <v>6</v>
      </c>
      <c r="B4041" t="s">
        <v>12</v>
      </c>
      <c r="C4041" t="s">
        <v>9</v>
      </c>
      <c r="D4041">
        <v>215</v>
      </c>
      <c r="E4041">
        <v>15</v>
      </c>
      <c r="F4041">
        <v>6.98</v>
      </c>
      <c r="G4041">
        <v>25.49</v>
      </c>
      <c r="H4041">
        <v>5480.35</v>
      </c>
    </row>
    <row r="4042" spans="1:8" x14ac:dyDescent="0.35">
      <c r="A4042" t="s">
        <v>7</v>
      </c>
      <c r="B4042" t="s">
        <v>12</v>
      </c>
      <c r="C4042" t="s">
        <v>9</v>
      </c>
      <c r="D4042">
        <v>263</v>
      </c>
      <c r="E4042">
        <v>12</v>
      </c>
      <c r="F4042">
        <v>4.5599999999999996</v>
      </c>
      <c r="G4042">
        <v>49.17</v>
      </c>
      <c r="H4042">
        <v>12931.71</v>
      </c>
    </row>
    <row r="4043" spans="1:8" x14ac:dyDescent="0.35">
      <c r="A4043" t="s">
        <v>7</v>
      </c>
      <c r="B4043" t="s">
        <v>12</v>
      </c>
      <c r="C4043" t="s">
        <v>9</v>
      </c>
      <c r="D4043">
        <v>141</v>
      </c>
      <c r="E4043">
        <v>13</v>
      </c>
      <c r="F4043">
        <v>9.2200000000000006</v>
      </c>
      <c r="G4043">
        <v>17.420000000000002</v>
      </c>
      <c r="H4043">
        <v>2456.2199999999998</v>
      </c>
    </row>
    <row r="4044" spans="1:8" x14ac:dyDescent="0.35">
      <c r="A4044" t="s">
        <v>6</v>
      </c>
      <c r="B4044" t="s">
        <v>12</v>
      </c>
      <c r="C4044" t="s">
        <v>11</v>
      </c>
      <c r="D4044">
        <v>188</v>
      </c>
      <c r="E4044">
        <v>8</v>
      </c>
      <c r="F4044">
        <v>4.26</v>
      </c>
      <c r="G4044">
        <v>61.08</v>
      </c>
      <c r="H4044">
        <v>11483.04</v>
      </c>
    </row>
    <row r="4045" spans="1:8" x14ac:dyDescent="0.35">
      <c r="A4045" t="s">
        <v>7</v>
      </c>
      <c r="B4045" t="s">
        <v>12</v>
      </c>
      <c r="C4045" t="s">
        <v>9</v>
      </c>
      <c r="D4045">
        <v>261</v>
      </c>
      <c r="E4045">
        <v>3</v>
      </c>
      <c r="F4045">
        <v>1.1499999999999999</v>
      </c>
      <c r="G4045">
        <v>18.82</v>
      </c>
      <c r="H4045">
        <v>4912.0200000000004</v>
      </c>
    </row>
    <row r="4046" spans="1:8" x14ac:dyDescent="0.35">
      <c r="A4046" t="s">
        <v>6</v>
      </c>
      <c r="B4046" t="s">
        <v>12</v>
      </c>
      <c r="C4046" t="s">
        <v>9</v>
      </c>
      <c r="D4046">
        <v>82</v>
      </c>
      <c r="E4046">
        <v>8</v>
      </c>
      <c r="F4046">
        <v>9.76</v>
      </c>
      <c r="G4046">
        <v>57.18</v>
      </c>
      <c r="H4046">
        <v>4688.76</v>
      </c>
    </row>
    <row r="4047" spans="1:8" x14ac:dyDescent="0.35">
      <c r="A4047" t="s">
        <v>7</v>
      </c>
      <c r="B4047" t="s">
        <v>12</v>
      </c>
      <c r="C4047" t="s">
        <v>9</v>
      </c>
      <c r="D4047">
        <v>66</v>
      </c>
      <c r="E4047">
        <v>4</v>
      </c>
      <c r="F4047">
        <v>6.06</v>
      </c>
      <c r="G4047">
        <v>42.26</v>
      </c>
      <c r="H4047">
        <v>2789.16</v>
      </c>
    </row>
    <row r="4048" spans="1:8" x14ac:dyDescent="0.35">
      <c r="A4048" t="s">
        <v>6</v>
      </c>
      <c r="B4048" t="s">
        <v>12</v>
      </c>
      <c r="C4048" t="s">
        <v>9</v>
      </c>
      <c r="D4048">
        <v>197</v>
      </c>
      <c r="E4048">
        <v>11</v>
      </c>
      <c r="F4048">
        <v>5.58</v>
      </c>
      <c r="G4048">
        <v>42.78</v>
      </c>
      <c r="H4048">
        <v>8427.66</v>
      </c>
    </row>
    <row r="4049" spans="1:8" x14ac:dyDescent="0.35">
      <c r="A4049" t="s">
        <v>6</v>
      </c>
      <c r="B4049" t="s">
        <v>12</v>
      </c>
      <c r="C4049" t="s">
        <v>9</v>
      </c>
      <c r="D4049">
        <v>143</v>
      </c>
      <c r="E4049">
        <v>2</v>
      </c>
      <c r="F4049">
        <v>1.4</v>
      </c>
      <c r="G4049">
        <v>47.34</v>
      </c>
      <c r="H4049">
        <v>6769.62</v>
      </c>
    </row>
    <row r="4050" spans="1:8" x14ac:dyDescent="0.35">
      <c r="A4050" t="s">
        <v>7</v>
      </c>
      <c r="B4050" t="s">
        <v>12</v>
      </c>
      <c r="C4050" t="s">
        <v>10</v>
      </c>
      <c r="D4050">
        <v>151</v>
      </c>
      <c r="E4050">
        <v>8</v>
      </c>
      <c r="F4050">
        <v>5.3</v>
      </c>
      <c r="G4050">
        <v>21.77</v>
      </c>
      <c r="H4050">
        <v>3287.27</v>
      </c>
    </row>
    <row r="4051" spans="1:8" x14ac:dyDescent="0.35">
      <c r="A4051" t="s">
        <v>6</v>
      </c>
      <c r="B4051" t="s">
        <v>12</v>
      </c>
      <c r="C4051" t="s">
        <v>9</v>
      </c>
      <c r="D4051">
        <v>50</v>
      </c>
      <c r="E4051">
        <v>5</v>
      </c>
      <c r="F4051">
        <v>10</v>
      </c>
      <c r="G4051">
        <v>31.98</v>
      </c>
      <c r="H4051">
        <v>1599</v>
      </c>
    </row>
    <row r="4052" spans="1:8" x14ac:dyDescent="0.35">
      <c r="A4052" t="s">
        <v>7</v>
      </c>
      <c r="B4052" t="s">
        <v>12</v>
      </c>
      <c r="C4052" t="s">
        <v>9</v>
      </c>
      <c r="D4052">
        <v>115</v>
      </c>
      <c r="E4052">
        <v>6</v>
      </c>
      <c r="F4052">
        <v>5.22</v>
      </c>
      <c r="G4052">
        <v>54.85</v>
      </c>
      <c r="H4052">
        <v>6307.75</v>
      </c>
    </row>
    <row r="4053" spans="1:8" x14ac:dyDescent="0.35">
      <c r="A4053" t="s">
        <v>6</v>
      </c>
      <c r="B4053" t="s">
        <v>12</v>
      </c>
      <c r="C4053" t="s">
        <v>11</v>
      </c>
      <c r="D4053">
        <v>129</v>
      </c>
      <c r="E4053">
        <v>6</v>
      </c>
      <c r="F4053">
        <v>4.6500000000000004</v>
      </c>
      <c r="G4053">
        <v>10.27</v>
      </c>
      <c r="H4053">
        <v>1324.83</v>
      </c>
    </row>
    <row r="4054" spans="1:8" x14ac:dyDescent="0.35">
      <c r="A4054" t="s">
        <v>6</v>
      </c>
      <c r="B4054" t="s">
        <v>12</v>
      </c>
      <c r="C4054" t="s">
        <v>11</v>
      </c>
      <c r="D4054">
        <v>284</v>
      </c>
      <c r="E4054">
        <v>1</v>
      </c>
      <c r="F4054">
        <v>0.35</v>
      </c>
      <c r="G4054">
        <v>69.84</v>
      </c>
      <c r="H4054">
        <v>19834.560000000001</v>
      </c>
    </row>
    <row r="4055" spans="1:8" x14ac:dyDescent="0.35">
      <c r="A4055" t="s">
        <v>8</v>
      </c>
      <c r="B4055" t="s">
        <v>12</v>
      </c>
      <c r="C4055" t="s">
        <v>9</v>
      </c>
      <c r="D4055">
        <v>261</v>
      </c>
      <c r="E4055">
        <v>3</v>
      </c>
      <c r="F4055">
        <v>1.1499999999999999</v>
      </c>
      <c r="G4055">
        <v>47.51</v>
      </c>
      <c r="H4055">
        <v>12400.11</v>
      </c>
    </row>
    <row r="4056" spans="1:8" x14ac:dyDescent="0.35">
      <c r="A4056" t="s">
        <v>5</v>
      </c>
      <c r="B4056" t="s">
        <v>12</v>
      </c>
      <c r="C4056" t="s">
        <v>9</v>
      </c>
      <c r="D4056">
        <v>208</v>
      </c>
      <c r="E4056">
        <v>16</v>
      </c>
      <c r="F4056">
        <v>7.69</v>
      </c>
      <c r="G4056">
        <v>60.54</v>
      </c>
      <c r="H4056">
        <v>12592.32</v>
      </c>
    </row>
    <row r="4057" spans="1:8" x14ac:dyDescent="0.35">
      <c r="A4057" t="s">
        <v>7</v>
      </c>
      <c r="B4057" t="s">
        <v>12</v>
      </c>
      <c r="C4057" t="s">
        <v>10</v>
      </c>
      <c r="D4057">
        <v>249</v>
      </c>
      <c r="E4057">
        <v>8</v>
      </c>
      <c r="F4057">
        <v>3.21</v>
      </c>
      <c r="G4057">
        <v>5.93</v>
      </c>
      <c r="H4057">
        <v>1476.57</v>
      </c>
    </row>
    <row r="4058" spans="1:8" x14ac:dyDescent="0.35">
      <c r="A4058" t="s">
        <v>7</v>
      </c>
      <c r="B4058" t="s">
        <v>12</v>
      </c>
      <c r="C4058" t="s">
        <v>10</v>
      </c>
      <c r="D4058">
        <v>50</v>
      </c>
      <c r="E4058">
        <v>4</v>
      </c>
      <c r="F4058">
        <v>8</v>
      </c>
      <c r="G4058">
        <v>43.98</v>
      </c>
      <c r="H4058">
        <v>2199</v>
      </c>
    </row>
    <row r="4059" spans="1:8" x14ac:dyDescent="0.35">
      <c r="A4059" t="s">
        <v>6</v>
      </c>
      <c r="B4059" t="s">
        <v>12</v>
      </c>
      <c r="C4059" t="s">
        <v>11</v>
      </c>
      <c r="D4059">
        <v>163</v>
      </c>
      <c r="E4059">
        <v>3</v>
      </c>
      <c r="F4059">
        <v>1.84</v>
      </c>
      <c r="G4059">
        <v>36.200000000000003</v>
      </c>
      <c r="H4059">
        <v>5900.6</v>
      </c>
    </row>
    <row r="4060" spans="1:8" x14ac:dyDescent="0.35">
      <c r="A4060" t="s">
        <v>7</v>
      </c>
      <c r="B4060" t="s">
        <v>12</v>
      </c>
      <c r="C4060" t="s">
        <v>9</v>
      </c>
      <c r="D4060">
        <v>58</v>
      </c>
      <c r="E4060">
        <v>5</v>
      </c>
      <c r="F4060">
        <v>8.6199999999999992</v>
      </c>
      <c r="G4060">
        <v>8.5</v>
      </c>
      <c r="H4060">
        <v>493</v>
      </c>
    </row>
    <row r="4061" spans="1:8" x14ac:dyDescent="0.35">
      <c r="A4061" t="s">
        <v>6</v>
      </c>
      <c r="B4061" t="s">
        <v>12</v>
      </c>
      <c r="C4061" t="s">
        <v>11</v>
      </c>
      <c r="D4061">
        <v>157</v>
      </c>
      <c r="E4061">
        <v>3</v>
      </c>
      <c r="F4061">
        <v>1.91</v>
      </c>
      <c r="G4061">
        <v>65.959999999999994</v>
      </c>
      <c r="H4061">
        <v>10355.719999999999</v>
      </c>
    </row>
    <row r="4062" spans="1:8" x14ac:dyDescent="0.35">
      <c r="A4062" t="s">
        <v>6</v>
      </c>
      <c r="B4062" t="s">
        <v>12</v>
      </c>
      <c r="C4062" t="s">
        <v>9</v>
      </c>
      <c r="D4062">
        <v>240</v>
      </c>
      <c r="E4062">
        <v>21</v>
      </c>
      <c r="F4062">
        <v>8.75</v>
      </c>
      <c r="G4062">
        <v>54.47</v>
      </c>
      <c r="H4062">
        <v>13072.8</v>
      </c>
    </row>
    <row r="4063" spans="1:8" x14ac:dyDescent="0.35">
      <c r="A4063" t="s">
        <v>6</v>
      </c>
      <c r="B4063" t="s">
        <v>12</v>
      </c>
      <c r="C4063" t="s">
        <v>9</v>
      </c>
      <c r="D4063">
        <v>277</v>
      </c>
      <c r="E4063">
        <v>24</v>
      </c>
      <c r="F4063">
        <v>8.66</v>
      </c>
      <c r="G4063">
        <v>29.75</v>
      </c>
      <c r="H4063">
        <v>8240.75</v>
      </c>
    </row>
    <row r="4064" spans="1:8" x14ac:dyDescent="0.35">
      <c r="A4064" t="s">
        <v>7</v>
      </c>
      <c r="B4064" t="s">
        <v>12</v>
      </c>
      <c r="C4064" t="s">
        <v>9</v>
      </c>
      <c r="D4064">
        <v>74</v>
      </c>
      <c r="E4064">
        <v>5</v>
      </c>
      <c r="F4064">
        <v>6.76</v>
      </c>
      <c r="G4064">
        <v>52.48</v>
      </c>
      <c r="H4064">
        <v>3883.52</v>
      </c>
    </row>
    <row r="4065" spans="1:8" x14ac:dyDescent="0.35">
      <c r="A4065" t="s">
        <v>7</v>
      </c>
      <c r="B4065" t="s">
        <v>12</v>
      </c>
      <c r="C4065" t="s">
        <v>9</v>
      </c>
      <c r="D4065">
        <v>299</v>
      </c>
      <c r="E4065">
        <v>3</v>
      </c>
      <c r="F4065">
        <v>1</v>
      </c>
      <c r="G4065">
        <v>46.45</v>
      </c>
      <c r="H4065">
        <v>13888.55</v>
      </c>
    </row>
    <row r="4066" spans="1:8" x14ac:dyDescent="0.35">
      <c r="A4066" t="s">
        <v>6</v>
      </c>
      <c r="B4066" t="s">
        <v>12</v>
      </c>
      <c r="C4066" t="s">
        <v>9</v>
      </c>
      <c r="D4066">
        <v>222</v>
      </c>
      <c r="E4066">
        <v>11</v>
      </c>
      <c r="F4066">
        <v>4.95</v>
      </c>
      <c r="G4066">
        <v>22.34</v>
      </c>
      <c r="H4066">
        <v>4959.4799999999996</v>
      </c>
    </row>
    <row r="4067" spans="1:8" x14ac:dyDescent="0.35">
      <c r="A4067" t="s">
        <v>7</v>
      </c>
      <c r="B4067" t="s">
        <v>12</v>
      </c>
      <c r="C4067" t="s">
        <v>9</v>
      </c>
      <c r="D4067">
        <v>242</v>
      </c>
      <c r="E4067">
        <v>16</v>
      </c>
      <c r="F4067">
        <v>6.61</v>
      </c>
      <c r="G4067">
        <v>27.74</v>
      </c>
      <c r="H4067">
        <v>6713.08</v>
      </c>
    </row>
    <row r="4068" spans="1:8" x14ac:dyDescent="0.35">
      <c r="A4068" t="s">
        <v>8</v>
      </c>
      <c r="B4068" t="s">
        <v>12</v>
      </c>
      <c r="C4068" t="s">
        <v>9</v>
      </c>
      <c r="D4068">
        <v>198</v>
      </c>
      <c r="E4068">
        <v>12</v>
      </c>
      <c r="F4068">
        <v>6.06</v>
      </c>
      <c r="G4068">
        <v>21.52</v>
      </c>
      <c r="H4068">
        <v>4260.96</v>
      </c>
    </row>
    <row r="4069" spans="1:8" x14ac:dyDescent="0.35">
      <c r="A4069" t="s">
        <v>8</v>
      </c>
      <c r="B4069" t="s">
        <v>12</v>
      </c>
      <c r="C4069" t="s">
        <v>9</v>
      </c>
      <c r="D4069">
        <v>119</v>
      </c>
      <c r="E4069">
        <v>10</v>
      </c>
      <c r="F4069">
        <v>8.4</v>
      </c>
      <c r="G4069">
        <v>18.02</v>
      </c>
      <c r="H4069">
        <v>2144.38</v>
      </c>
    </row>
    <row r="4070" spans="1:8" x14ac:dyDescent="0.35">
      <c r="A4070" t="s">
        <v>5</v>
      </c>
      <c r="B4070" t="s">
        <v>12</v>
      </c>
      <c r="C4070" t="s">
        <v>9</v>
      </c>
      <c r="D4070">
        <v>62</v>
      </c>
      <c r="E4070">
        <v>5</v>
      </c>
      <c r="F4070">
        <v>8.06</v>
      </c>
      <c r="G4070">
        <v>33.56</v>
      </c>
      <c r="H4070">
        <v>2080.7199999999998</v>
      </c>
    </row>
    <row r="4071" spans="1:8" x14ac:dyDescent="0.35">
      <c r="A4071" t="s">
        <v>5</v>
      </c>
      <c r="B4071" t="s">
        <v>12</v>
      </c>
      <c r="C4071" t="s">
        <v>9</v>
      </c>
      <c r="D4071">
        <v>118</v>
      </c>
      <c r="E4071">
        <v>9</v>
      </c>
      <c r="F4071">
        <v>7.63</v>
      </c>
      <c r="G4071">
        <v>9</v>
      </c>
      <c r="H4071">
        <v>1062</v>
      </c>
    </row>
    <row r="4072" spans="1:8" x14ac:dyDescent="0.35">
      <c r="A4072" t="s">
        <v>6</v>
      </c>
      <c r="B4072" t="s">
        <v>12</v>
      </c>
      <c r="C4072" t="s">
        <v>11</v>
      </c>
      <c r="D4072">
        <v>115</v>
      </c>
      <c r="E4072">
        <v>6</v>
      </c>
      <c r="F4072">
        <v>5.22</v>
      </c>
      <c r="G4072">
        <v>41.27</v>
      </c>
      <c r="H4072">
        <v>4746.05</v>
      </c>
    </row>
    <row r="4073" spans="1:8" x14ac:dyDescent="0.35">
      <c r="A4073" t="s">
        <v>7</v>
      </c>
      <c r="B4073" t="s">
        <v>12</v>
      </c>
      <c r="C4073" t="s">
        <v>10</v>
      </c>
      <c r="D4073">
        <v>57</v>
      </c>
      <c r="E4073">
        <v>3</v>
      </c>
      <c r="F4073">
        <v>5.26</v>
      </c>
      <c r="G4073">
        <v>23.52</v>
      </c>
      <c r="H4073">
        <v>1340.64</v>
      </c>
    </row>
    <row r="4074" spans="1:8" x14ac:dyDescent="0.35">
      <c r="A4074" t="s">
        <v>7</v>
      </c>
      <c r="B4074" t="s">
        <v>12</v>
      </c>
      <c r="C4074" t="s">
        <v>10</v>
      </c>
      <c r="D4074">
        <v>58</v>
      </c>
      <c r="E4074">
        <v>3</v>
      </c>
      <c r="F4074">
        <v>5.17</v>
      </c>
      <c r="G4074">
        <v>64.400000000000006</v>
      </c>
      <c r="H4074">
        <v>3735.2</v>
      </c>
    </row>
    <row r="4075" spans="1:8" x14ac:dyDescent="0.35">
      <c r="A4075" t="s">
        <v>6</v>
      </c>
      <c r="B4075" t="s">
        <v>12</v>
      </c>
      <c r="C4075" t="s">
        <v>11</v>
      </c>
      <c r="D4075">
        <v>69</v>
      </c>
      <c r="E4075">
        <v>2</v>
      </c>
      <c r="F4075">
        <v>2.9</v>
      </c>
      <c r="G4075">
        <v>11.08</v>
      </c>
      <c r="H4075">
        <v>764.52</v>
      </c>
    </row>
    <row r="4076" spans="1:8" x14ac:dyDescent="0.35">
      <c r="A4076" t="s">
        <v>7</v>
      </c>
      <c r="B4076" t="s">
        <v>12</v>
      </c>
      <c r="C4076" t="s">
        <v>10</v>
      </c>
      <c r="D4076">
        <v>206</v>
      </c>
      <c r="E4076">
        <v>0</v>
      </c>
      <c r="F4076">
        <v>0</v>
      </c>
      <c r="G4076">
        <v>30.87</v>
      </c>
      <c r="H4076">
        <v>6359.22</v>
      </c>
    </row>
    <row r="4077" spans="1:8" x14ac:dyDescent="0.35">
      <c r="A4077" t="s">
        <v>8</v>
      </c>
      <c r="B4077" t="s">
        <v>12</v>
      </c>
      <c r="C4077" t="s">
        <v>9</v>
      </c>
      <c r="D4077">
        <v>83</v>
      </c>
      <c r="E4077">
        <v>4</v>
      </c>
      <c r="F4077">
        <v>4.82</v>
      </c>
      <c r="G4077">
        <v>59.78</v>
      </c>
      <c r="H4077">
        <v>4961.74</v>
      </c>
    </row>
    <row r="4078" spans="1:8" x14ac:dyDescent="0.35">
      <c r="A4078" t="s">
        <v>6</v>
      </c>
      <c r="B4078" t="s">
        <v>12</v>
      </c>
      <c r="C4078" t="s">
        <v>11</v>
      </c>
      <c r="D4078">
        <v>161</v>
      </c>
      <c r="E4078">
        <v>11</v>
      </c>
      <c r="F4078">
        <v>6.83</v>
      </c>
      <c r="G4078">
        <v>43.36</v>
      </c>
      <c r="H4078">
        <v>6980.96</v>
      </c>
    </row>
    <row r="4079" spans="1:8" x14ac:dyDescent="0.35">
      <c r="A4079" t="s">
        <v>8</v>
      </c>
      <c r="B4079" t="s">
        <v>12</v>
      </c>
      <c r="C4079" t="s">
        <v>9</v>
      </c>
      <c r="D4079">
        <v>235</v>
      </c>
      <c r="E4079">
        <v>14</v>
      </c>
      <c r="F4079">
        <v>5.96</v>
      </c>
      <c r="G4079">
        <v>30.18</v>
      </c>
      <c r="H4079">
        <v>7092.3</v>
      </c>
    </row>
    <row r="4080" spans="1:8" x14ac:dyDescent="0.35">
      <c r="A4080" t="s">
        <v>6</v>
      </c>
      <c r="B4080" t="s">
        <v>12</v>
      </c>
      <c r="C4080" t="s">
        <v>11</v>
      </c>
      <c r="D4080">
        <v>250</v>
      </c>
      <c r="E4080">
        <v>24</v>
      </c>
      <c r="F4080">
        <v>9.6</v>
      </c>
      <c r="G4080">
        <v>16.78</v>
      </c>
      <c r="H4080">
        <v>4195</v>
      </c>
    </row>
    <row r="4081" spans="1:8" x14ac:dyDescent="0.35">
      <c r="A4081" t="s">
        <v>7</v>
      </c>
      <c r="B4081" t="s">
        <v>12</v>
      </c>
      <c r="C4081" t="s">
        <v>9</v>
      </c>
      <c r="D4081">
        <v>90</v>
      </c>
      <c r="E4081">
        <v>3</v>
      </c>
      <c r="F4081">
        <v>3.33</v>
      </c>
      <c r="G4081">
        <v>51.9</v>
      </c>
      <c r="H4081">
        <v>4671</v>
      </c>
    </row>
    <row r="4082" spans="1:8" x14ac:dyDescent="0.35">
      <c r="A4082" t="s">
        <v>6</v>
      </c>
      <c r="B4082" t="s">
        <v>12</v>
      </c>
      <c r="C4082" t="s">
        <v>11</v>
      </c>
      <c r="D4082">
        <v>151</v>
      </c>
      <c r="E4082">
        <v>10</v>
      </c>
      <c r="F4082">
        <v>6.62</v>
      </c>
      <c r="G4082">
        <v>62.97</v>
      </c>
      <c r="H4082">
        <v>9508.4699999999993</v>
      </c>
    </row>
    <row r="4083" spans="1:8" x14ac:dyDescent="0.35">
      <c r="A4083" t="s">
        <v>6</v>
      </c>
      <c r="B4083" t="s">
        <v>12</v>
      </c>
      <c r="C4083" t="s">
        <v>11</v>
      </c>
      <c r="D4083">
        <v>238</v>
      </c>
      <c r="E4083">
        <v>9</v>
      </c>
      <c r="F4083">
        <v>3.78</v>
      </c>
      <c r="G4083">
        <v>9.7799999999999994</v>
      </c>
      <c r="H4083">
        <v>2327.64</v>
      </c>
    </row>
    <row r="4084" spans="1:8" x14ac:dyDescent="0.35">
      <c r="A4084" t="s">
        <v>7</v>
      </c>
      <c r="B4084" t="s">
        <v>12</v>
      </c>
      <c r="C4084" t="s">
        <v>9</v>
      </c>
      <c r="D4084">
        <v>281</v>
      </c>
      <c r="E4084">
        <v>8</v>
      </c>
      <c r="F4084">
        <v>2.85</v>
      </c>
      <c r="G4084">
        <v>34.630000000000003</v>
      </c>
      <c r="H4084">
        <v>9731.0300000000007</v>
      </c>
    </row>
    <row r="4085" spans="1:8" x14ac:dyDescent="0.35">
      <c r="A4085" t="s">
        <v>6</v>
      </c>
      <c r="B4085" t="s">
        <v>12</v>
      </c>
      <c r="C4085" t="s">
        <v>11</v>
      </c>
      <c r="D4085">
        <v>114</v>
      </c>
      <c r="E4085">
        <v>10</v>
      </c>
      <c r="F4085">
        <v>8.77</v>
      </c>
      <c r="G4085">
        <v>29.2</v>
      </c>
      <c r="H4085">
        <v>3328.8</v>
      </c>
    </row>
    <row r="4086" spans="1:8" x14ac:dyDescent="0.35">
      <c r="A4086" t="s">
        <v>8</v>
      </c>
      <c r="B4086" t="s">
        <v>12</v>
      </c>
      <c r="C4086" t="s">
        <v>9</v>
      </c>
      <c r="D4086">
        <v>260</v>
      </c>
      <c r="E4086">
        <v>24</v>
      </c>
      <c r="F4086">
        <v>9.23</v>
      </c>
      <c r="G4086">
        <v>30.86</v>
      </c>
      <c r="H4086">
        <v>8023.6</v>
      </c>
    </row>
    <row r="4087" spans="1:8" x14ac:dyDescent="0.35">
      <c r="A4087" t="s">
        <v>8</v>
      </c>
      <c r="B4087" t="s">
        <v>12</v>
      </c>
      <c r="C4087" t="s">
        <v>9</v>
      </c>
      <c r="D4087">
        <v>258</v>
      </c>
      <c r="E4087">
        <v>10</v>
      </c>
      <c r="F4087">
        <v>3.88</v>
      </c>
      <c r="G4087">
        <v>55.87</v>
      </c>
      <c r="H4087">
        <v>14414.46</v>
      </c>
    </row>
    <row r="4088" spans="1:8" x14ac:dyDescent="0.35">
      <c r="A4088" t="s">
        <v>7</v>
      </c>
      <c r="B4088" t="s">
        <v>12</v>
      </c>
      <c r="C4088" t="s">
        <v>10</v>
      </c>
      <c r="D4088">
        <v>182</v>
      </c>
      <c r="E4088">
        <v>8</v>
      </c>
      <c r="F4088">
        <v>4.4000000000000004</v>
      </c>
      <c r="G4088">
        <v>5.16</v>
      </c>
      <c r="H4088">
        <v>939.12</v>
      </c>
    </row>
    <row r="4089" spans="1:8" x14ac:dyDescent="0.35">
      <c r="A4089" t="s">
        <v>6</v>
      </c>
      <c r="B4089" t="s">
        <v>12</v>
      </c>
      <c r="C4089" t="s">
        <v>9</v>
      </c>
      <c r="D4089">
        <v>190</v>
      </c>
      <c r="E4089">
        <v>18</v>
      </c>
      <c r="F4089">
        <v>9.4700000000000006</v>
      </c>
      <c r="G4089">
        <v>44.91</v>
      </c>
      <c r="H4089">
        <v>8532.9</v>
      </c>
    </row>
    <row r="4090" spans="1:8" x14ac:dyDescent="0.35">
      <c r="A4090" t="s">
        <v>7</v>
      </c>
      <c r="B4090" t="s">
        <v>12</v>
      </c>
      <c r="C4090" t="s">
        <v>10</v>
      </c>
      <c r="D4090">
        <v>161</v>
      </c>
      <c r="E4090">
        <v>4</v>
      </c>
      <c r="F4090">
        <v>2.48</v>
      </c>
      <c r="G4090">
        <v>41.58</v>
      </c>
      <c r="H4090">
        <v>6694.38</v>
      </c>
    </row>
    <row r="4091" spans="1:8" x14ac:dyDescent="0.35">
      <c r="A4091" t="s">
        <v>7</v>
      </c>
      <c r="B4091" t="s">
        <v>12</v>
      </c>
      <c r="C4091" t="s">
        <v>9</v>
      </c>
      <c r="D4091">
        <v>242</v>
      </c>
      <c r="E4091">
        <v>16</v>
      </c>
      <c r="F4091">
        <v>6.61</v>
      </c>
      <c r="G4091">
        <v>5.92</v>
      </c>
      <c r="H4091">
        <v>1432.64</v>
      </c>
    </row>
    <row r="4092" spans="1:8" x14ac:dyDescent="0.35">
      <c r="A4092" t="s">
        <v>7</v>
      </c>
      <c r="B4092" t="s">
        <v>12</v>
      </c>
      <c r="C4092" t="s">
        <v>9</v>
      </c>
      <c r="D4092">
        <v>244</v>
      </c>
      <c r="E4092">
        <v>11</v>
      </c>
      <c r="F4092">
        <v>4.51</v>
      </c>
      <c r="G4092">
        <v>49.34</v>
      </c>
      <c r="H4092">
        <v>12038.96</v>
      </c>
    </row>
    <row r="4093" spans="1:8" x14ac:dyDescent="0.35">
      <c r="A4093" t="s">
        <v>7</v>
      </c>
      <c r="B4093" t="s">
        <v>12</v>
      </c>
      <c r="C4093" t="s">
        <v>9</v>
      </c>
      <c r="D4093">
        <v>265</v>
      </c>
      <c r="E4093">
        <v>22</v>
      </c>
      <c r="F4093">
        <v>8.3000000000000007</v>
      </c>
      <c r="G4093">
        <v>47.63</v>
      </c>
      <c r="H4093">
        <v>12621.95</v>
      </c>
    </row>
    <row r="4094" spans="1:8" x14ac:dyDescent="0.35">
      <c r="A4094" t="s">
        <v>8</v>
      </c>
      <c r="B4094" t="s">
        <v>12</v>
      </c>
      <c r="C4094" t="s">
        <v>9</v>
      </c>
      <c r="D4094">
        <v>207</v>
      </c>
      <c r="E4094">
        <v>1</v>
      </c>
      <c r="F4094">
        <v>0.48</v>
      </c>
      <c r="G4094">
        <v>26.85</v>
      </c>
      <c r="H4094">
        <v>5557.95</v>
      </c>
    </row>
    <row r="4095" spans="1:8" x14ac:dyDescent="0.35">
      <c r="A4095" t="s">
        <v>6</v>
      </c>
      <c r="B4095" t="s">
        <v>12</v>
      </c>
      <c r="C4095" t="s">
        <v>9</v>
      </c>
      <c r="D4095">
        <v>250</v>
      </c>
      <c r="E4095">
        <v>6</v>
      </c>
      <c r="F4095">
        <v>2.4</v>
      </c>
      <c r="G4095">
        <v>52.12</v>
      </c>
      <c r="H4095">
        <v>13030</v>
      </c>
    </row>
    <row r="4096" spans="1:8" x14ac:dyDescent="0.35">
      <c r="A4096" t="s">
        <v>6</v>
      </c>
      <c r="B4096" t="s">
        <v>12</v>
      </c>
      <c r="C4096" t="s">
        <v>11</v>
      </c>
      <c r="D4096">
        <v>258</v>
      </c>
      <c r="E4096">
        <v>6</v>
      </c>
      <c r="F4096">
        <v>2.33</v>
      </c>
      <c r="G4096">
        <v>58.9</v>
      </c>
      <c r="H4096">
        <v>15196.2</v>
      </c>
    </row>
    <row r="4097" spans="1:8" x14ac:dyDescent="0.35">
      <c r="A4097" t="s">
        <v>5</v>
      </c>
      <c r="B4097" t="s">
        <v>12</v>
      </c>
      <c r="C4097" t="s">
        <v>9</v>
      </c>
      <c r="D4097">
        <v>211</v>
      </c>
      <c r="E4097">
        <v>19</v>
      </c>
      <c r="F4097">
        <v>9</v>
      </c>
      <c r="G4097">
        <v>31.44</v>
      </c>
      <c r="H4097">
        <v>6633.84</v>
      </c>
    </row>
    <row r="4098" spans="1:8" x14ac:dyDescent="0.35">
      <c r="A4098" t="s">
        <v>7</v>
      </c>
      <c r="B4098" t="s">
        <v>12</v>
      </c>
      <c r="C4098" t="s">
        <v>9</v>
      </c>
      <c r="D4098">
        <v>300</v>
      </c>
      <c r="E4098">
        <v>1</v>
      </c>
      <c r="F4098">
        <v>0.33</v>
      </c>
      <c r="G4098">
        <v>59.28</v>
      </c>
      <c r="H4098">
        <v>17784</v>
      </c>
    </row>
    <row r="4099" spans="1:8" x14ac:dyDescent="0.35">
      <c r="A4099" t="s">
        <v>5</v>
      </c>
      <c r="B4099" t="s">
        <v>12</v>
      </c>
      <c r="C4099" t="s">
        <v>9</v>
      </c>
      <c r="D4099">
        <v>55</v>
      </c>
      <c r="E4099">
        <v>0</v>
      </c>
      <c r="F4099">
        <v>0</v>
      </c>
      <c r="G4099">
        <v>53.27</v>
      </c>
      <c r="H4099">
        <v>2929.85</v>
      </c>
    </row>
    <row r="4100" spans="1:8" x14ac:dyDescent="0.35">
      <c r="A4100" t="s">
        <v>7</v>
      </c>
      <c r="B4100" t="s">
        <v>12</v>
      </c>
      <c r="C4100" t="s">
        <v>10</v>
      </c>
      <c r="D4100">
        <v>247</v>
      </c>
      <c r="E4100">
        <v>15</v>
      </c>
      <c r="F4100">
        <v>6.07</v>
      </c>
      <c r="G4100">
        <v>23.62</v>
      </c>
      <c r="H4100">
        <v>5834.14</v>
      </c>
    </row>
    <row r="4101" spans="1:8" x14ac:dyDescent="0.35">
      <c r="A4101" t="s">
        <v>8</v>
      </c>
      <c r="B4101" t="s">
        <v>12</v>
      </c>
      <c r="C4101" t="s">
        <v>9</v>
      </c>
      <c r="D4101">
        <v>150</v>
      </c>
      <c r="E4101">
        <v>10</v>
      </c>
      <c r="F4101">
        <v>6.67</v>
      </c>
      <c r="G4101">
        <v>23.34</v>
      </c>
      <c r="H4101">
        <v>3501</v>
      </c>
    </row>
    <row r="4102" spans="1:8" x14ac:dyDescent="0.35">
      <c r="A4102" t="s">
        <v>5</v>
      </c>
      <c r="B4102" t="s">
        <v>12</v>
      </c>
      <c r="C4102" t="s">
        <v>9</v>
      </c>
      <c r="D4102">
        <v>204</v>
      </c>
      <c r="E4102">
        <v>14</v>
      </c>
      <c r="F4102">
        <v>6.86</v>
      </c>
      <c r="G4102">
        <v>69.34</v>
      </c>
      <c r="H4102">
        <v>14145.36</v>
      </c>
    </row>
    <row r="4103" spans="1:8" x14ac:dyDescent="0.35">
      <c r="A4103" t="s">
        <v>7</v>
      </c>
      <c r="B4103" t="s">
        <v>12</v>
      </c>
      <c r="C4103" t="s">
        <v>10</v>
      </c>
      <c r="D4103">
        <v>249</v>
      </c>
      <c r="E4103">
        <v>8</v>
      </c>
      <c r="F4103">
        <v>3.21</v>
      </c>
      <c r="G4103">
        <v>35.35</v>
      </c>
      <c r="H4103">
        <v>8802.15</v>
      </c>
    </row>
    <row r="4104" spans="1:8" x14ac:dyDescent="0.35">
      <c r="A4104" t="s">
        <v>8</v>
      </c>
      <c r="B4104" t="s">
        <v>12</v>
      </c>
      <c r="C4104" t="s">
        <v>9</v>
      </c>
      <c r="D4104">
        <v>297</v>
      </c>
      <c r="E4104">
        <v>7</v>
      </c>
      <c r="F4104">
        <v>2.36</v>
      </c>
      <c r="G4104">
        <v>14.16</v>
      </c>
      <c r="H4104">
        <v>4205.5200000000004</v>
      </c>
    </row>
    <row r="4105" spans="1:8" x14ac:dyDescent="0.35">
      <c r="A4105" t="s">
        <v>8</v>
      </c>
      <c r="B4105" t="s">
        <v>12</v>
      </c>
      <c r="C4105" t="s">
        <v>9</v>
      </c>
      <c r="D4105">
        <v>267</v>
      </c>
      <c r="E4105">
        <v>9</v>
      </c>
      <c r="F4105">
        <v>3.37</v>
      </c>
      <c r="G4105">
        <v>62.13</v>
      </c>
      <c r="H4105">
        <v>16588.71</v>
      </c>
    </row>
    <row r="4106" spans="1:8" x14ac:dyDescent="0.35">
      <c r="A4106" t="s">
        <v>6</v>
      </c>
      <c r="B4106" t="s">
        <v>12</v>
      </c>
      <c r="C4106" t="s">
        <v>11</v>
      </c>
      <c r="D4106">
        <v>158</v>
      </c>
      <c r="E4106">
        <v>13</v>
      </c>
      <c r="F4106">
        <v>8.23</v>
      </c>
      <c r="G4106">
        <v>42.51</v>
      </c>
      <c r="H4106">
        <v>6716.58</v>
      </c>
    </row>
    <row r="4107" spans="1:8" x14ac:dyDescent="0.35">
      <c r="A4107" t="s">
        <v>6</v>
      </c>
      <c r="B4107" t="s">
        <v>12</v>
      </c>
      <c r="C4107" t="s">
        <v>11</v>
      </c>
      <c r="D4107">
        <v>109</v>
      </c>
      <c r="E4107">
        <v>1</v>
      </c>
      <c r="F4107">
        <v>0.92</v>
      </c>
      <c r="G4107">
        <v>34.53</v>
      </c>
      <c r="H4107">
        <v>3763.77</v>
      </c>
    </row>
    <row r="4108" spans="1:8" x14ac:dyDescent="0.35">
      <c r="A4108" t="s">
        <v>8</v>
      </c>
      <c r="B4108" t="s">
        <v>12</v>
      </c>
      <c r="C4108" t="s">
        <v>9</v>
      </c>
      <c r="D4108">
        <v>245</v>
      </c>
      <c r="E4108">
        <v>5</v>
      </c>
      <c r="F4108">
        <v>2.04</v>
      </c>
      <c r="G4108">
        <v>45.69</v>
      </c>
      <c r="H4108">
        <v>11194.05</v>
      </c>
    </row>
    <row r="4109" spans="1:8" x14ac:dyDescent="0.35">
      <c r="A4109" t="s">
        <v>6</v>
      </c>
      <c r="B4109" t="s">
        <v>12</v>
      </c>
      <c r="C4109" t="s">
        <v>9</v>
      </c>
      <c r="D4109">
        <v>66</v>
      </c>
      <c r="E4109">
        <v>1</v>
      </c>
      <c r="F4109">
        <v>1.52</v>
      </c>
      <c r="G4109">
        <v>30.75</v>
      </c>
      <c r="H4109">
        <v>2029.5</v>
      </c>
    </row>
    <row r="4110" spans="1:8" x14ac:dyDescent="0.35">
      <c r="A4110" t="s">
        <v>8</v>
      </c>
      <c r="B4110" t="s">
        <v>12</v>
      </c>
      <c r="C4110" t="s">
        <v>9</v>
      </c>
      <c r="D4110">
        <v>236</v>
      </c>
      <c r="E4110">
        <v>15</v>
      </c>
      <c r="F4110">
        <v>6.36</v>
      </c>
      <c r="G4110">
        <v>36.33</v>
      </c>
      <c r="H4110">
        <v>8573.8799999999992</v>
      </c>
    </row>
    <row r="4111" spans="1:8" x14ac:dyDescent="0.35">
      <c r="A4111" t="s">
        <v>6</v>
      </c>
      <c r="B4111" t="s">
        <v>12</v>
      </c>
      <c r="C4111" t="s">
        <v>9</v>
      </c>
      <c r="D4111">
        <v>184</v>
      </c>
      <c r="E4111">
        <v>12</v>
      </c>
      <c r="F4111">
        <v>6.52</v>
      </c>
      <c r="G4111">
        <v>68.81</v>
      </c>
      <c r="H4111">
        <v>12661.04</v>
      </c>
    </row>
    <row r="4112" spans="1:8" x14ac:dyDescent="0.35">
      <c r="A4112" t="s">
        <v>7</v>
      </c>
      <c r="B4112" t="s">
        <v>12</v>
      </c>
      <c r="C4112" t="s">
        <v>10</v>
      </c>
      <c r="D4112">
        <v>262</v>
      </c>
      <c r="E4112">
        <v>3</v>
      </c>
      <c r="F4112">
        <v>1.1499999999999999</v>
      </c>
      <c r="G4112">
        <v>62.49</v>
      </c>
      <c r="H4112">
        <v>16372.38</v>
      </c>
    </row>
    <row r="4113" spans="1:8" x14ac:dyDescent="0.35">
      <c r="A4113" t="s">
        <v>8</v>
      </c>
      <c r="B4113" t="s">
        <v>12</v>
      </c>
      <c r="C4113" t="s">
        <v>9</v>
      </c>
      <c r="D4113">
        <v>288</v>
      </c>
      <c r="E4113">
        <v>13</v>
      </c>
      <c r="F4113">
        <v>4.51</v>
      </c>
      <c r="G4113">
        <v>31.07</v>
      </c>
      <c r="H4113">
        <v>8948.16</v>
      </c>
    </row>
    <row r="4114" spans="1:8" x14ac:dyDescent="0.35">
      <c r="A4114" t="s">
        <v>6</v>
      </c>
      <c r="B4114" t="s">
        <v>12</v>
      </c>
      <c r="C4114" t="s">
        <v>9</v>
      </c>
      <c r="D4114">
        <v>63</v>
      </c>
      <c r="E4114">
        <v>6</v>
      </c>
      <c r="F4114">
        <v>9.52</v>
      </c>
      <c r="G4114">
        <v>37.01</v>
      </c>
      <c r="H4114">
        <v>2331.63</v>
      </c>
    </row>
    <row r="4115" spans="1:8" x14ac:dyDescent="0.35">
      <c r="A4115" t="s">
        <v>6</v>
      </c>
      <c r="B4115" t="s">
        <v>12</v>
      </c>
      <c r="C4115" t="s">
        <v>9</v>
      </c>
      <c r="D4115">
        <v>182</v>
      </c>
      <c r="E4115">
        <v>2</v>
      </c>
      <c r="F4115">
        <v>1.1000000000000001</v>
      </c>
      <c r="G4115">
        <v>13.6</v>
      </c>
      <c r="H4115">
        <v>2475.1999999999998</v>
      </c>
    </row>
    <row r="4116" spans="1:8" x14ac:dyDescent="0.35">
      <c r="A4116" t="s">
        <v>7</v>
      </c>
      <c r="B4116" t="s">
        <v>12</v>
      </c>
      <c r="C4116" t="s">
        <v>10</v>
      </c>
      <c r="D4116">
        <v>63</v>
      </c>
      <c r="E4116">
        <v>4</v>
      </c>
      <c r="F4116">
        <v>6.35</v>
      </c>
      <c r="G4116">
        <v>37.950000000000003</v>
      </c>
      <c r="H4116">
        <v>2390.85</v>
      </c>
    </row>
    <row r="4117" spans="1:8" x14ac:dyDescent="0.35">
      <c r="A4117" t="s">
        <v>6</v>
      </c>
      <c r="B4117" t="s">
        <v>12</v>
      </c>
      <c r="C4117" t="s">
        <v>11</v>
      </c>
      <c r="D4117">
        <v>205</v>
      </c>
      <c r="E4117">
        <v>11</v>
      </c>
      <c r="F4117">
        <v>5.37</v>
      </c>
      <c r="G4117">
        <v>61.88</v>
      </c>
      <c r="H4117">
        <v>12685.4</v>
      </c>
    </row>
    <row r="4118" spans="1:8" x14ac:dyDescent="0.35">
      <c r="A4118" t="s">
        <v>5</v>
      </c>
      <c r="B4118" t="s">
        <v>12</v>
      </c>
      <c r="C4118" t="s">
        <v>9</v>
      </c>
      <c r="D4118">
        <v>177</v>
      </c>
      <c r="E4118">
        <v>9</v>
      </c>
      <c r="F4118">
        <v>5.08</v>
      </c>
      <c r="G4118">
        <v>26.27</v>
      </c>
      <c r="H4118">
        <v>4649.79</v>
      </c>
    </row>
    <row r="4119" spans="1:8" x14ac:dyDescent="0.35">
      <c r="A4119" t="s">
        <v>7</v>
      </c>
      <c r="B4119" t="s">
        <v>12</v>
      </c>
      <c r="C4119" t="s">
        <v>10</v>
      </c>
      <c r="D4119">
        <v>135</v>
      </c>
      <c r="E4119">
        <v>2</v>
      </c>
      <c r="F4119">
        <v>1.48</v>
      </c>
      <c r="G4119">
        <v>25.85</v>
      </c>
      <c r="H4119">
        <v>3489.75</v>
      </c>
    </row>
    <row r="4120" spans="1:8" x14ac:dyDescent="0.35">
      <c r="A4120" t="s">
        <v>7</v>
      </c>
      <c r="B4120" t="s">
        <v>12</v>
      </c>
      <c r="C4120" t="s">
        <v>9</v>
      </c>
      <c r="D4120">
        <v>195</v>
      </c>
      <c r="E4120">
        <v>6</v>
      </c>
      <c r="F4120">
        <v>3.08</v>
      </c>
      <c r="G4120">
        <v>43.84</v>
      </c>
      <c r="H4120">
        <v>8548.7999999999993</v>
      </c>
    </row>
    <row r="4121" spans="1:8" x14ac:dyDescent="0.35">
      <c r="A4121" t="s">
        <v>7</v>
      </c>
      <c r="B4121" t="s">
        <v>12</v>
      </c>
      <c r="C4121" t="s">
        <v>10</v>
      </c>
      <c r="D4121">
        <v>157</v>
      </c>
      <c r="E4121">
        <v>11</v>
      </c>
      <c r="F4121">
        <v>7.01</v>
      </c>
      <c r="G4121">
        <v>23.82</v>
      </c>
      <c r="H4121">
        <v>3739.74</v>
      </c>
    </row>
    <row r="4122" spans="1:8" x14ac:dyDescent="0.35">
      <c r="A4122" t="s">
        <v>8</v>
      </c>
      <c r="B4122" t="s">
        <v>12</v>
      </c>
      <c r="C4122" t="s">
        <v>9</v>
      </c>
      <c r="D4122">
        <v>192</v>
      </c>
      <c r="E4122">
        <v>3</v>
      </c>
      <c r="F4122">
        <v>1.56</v>
      </c>
      <c r="G4122">
        <v>13.82</v>
      </c>
      <c r="H4122">
        <v>2653.44</v>
      </c>
    </row>
    <row r="4123" spans="1:8" x14ac:dyDescent="0.35">
      <c r="A4123" t="s">
        <v>5</v>
      </c>
      <c r="B4123" t="s">
        <v>12</v>
      </c>
      <c r="C4123" t="s">
        <v>9</v>
      </c>
      <c r="D4123">
        <v>111</v>
      </c>
      <c r="E4123">
        <v>0</v>
      </c>
      <c r="F4123">
        <v>0</v>
      </c>
      <c r="G4123">
        <v>42.48</v>
      </c>
      <c r="H4123">
        <v>4715.28</v>
      </c>
    </row>
    <row r="4124" spans="1:8" x14ac:dyDescent="0.35">
      <c r="A4124" t="s">
        <v>7</v>
      </c>
      <c r="B4124" t="s">
        <v>12</v>
      </c>
      <c r="C4124" t="s">
        <v>9</v>
      </c>
      <c r="D4124">
        <v>248</v>
      </c>
      <c r="E4124">
        <v>21</v>
      </c>
      <c r="F4124">
        <v>8.4700000000000006</v>
      </c>
      <c r="G4124">
        <v>65.16</v>
      </c>
      <c r="H4124">
        <v>16159.68</v>
      </c>
    </row>
    <row r="4125" spans="1:8" x14ac:dyDescent="0.35">
      <c r="A4125" t="s">
        <v>7</v>
      </c>
      <c r="B4125" t="s">
        <v>12</v>
      </c>
      <c r="C4125" t="s">
        <v>9</v>
      </c>
      <c r="D4125">
        <v>137</v>
      </c>
      <c r="E4125">
        <v>13</v>
      </c>
      <c r="F4125">
        <v>9.49</v>
      </c>
      <c r="G4125">
        <v>26.27</v>
      </c>
      <c r="H4125">
        <v>3598.99</v>
      </c>
    </row>
    <row r="4126" spans="1:8" x14ac:dyDescent="0.35">
      <c r="A4126" t="s">
        <v>5</v>
      </c>
      <c r="B4126" t="s">
        <v>12</v>
      </c>
      <c r="C4126" t="s">
        <v>9</v>
      </c>
      <c r="D4126">
        <v>268</v>
      </c>
      <c r="E4126">
        <v>14</v>
      </c>
      <c r="F4126">
        <v>5.22</v>
      </c>
      <c r="G4126">
        <v>48.96</v>
      </c>
      <c r="H4126">
        <v>13121.28</v>
      </c>
    </row>
    <row r="4127" spans="1:8" x14ac:dyDescent="0.35">
      <c r="A4127" t="s">
        <v>6</v>
      </c>
      <c r="B4127" t="s">
        <v>12</v>
      </c>
      <c r="C4127" t="s">
        <v>11</v>
      </c>
      <c r="D4127">
        <v>236</v>
      </c>
      <c r="E4127">
        <v>15</v>
      </c>
      <c r="F4127">
        <v>6.36</v>
      </c>
      <c r="G4127">
        <v>7.34</v>
      </c>
      <c r="H4127">
        <v>1732.24</v>
      </c>
    </row>
    <row r="4128" spans="1:8" x14ac:dyDescent="0.35">
      <c r="A4128" t="s">
        <v>6</v>
      </c>
      <c r="B4128" t="s">
        <v>12</v>
      </c>
      <c r="C4128" t="s">
        <v>9</v>
      </c>
      <c r="D4128">
        <v>260</v>
      </c>
      <c r="E4128">
        <v>13</v>
      </c>
      <c r="F4128">
        <v>5</v>
      </c>
      <c r="G4128">
        <v>25.55</v>
      </c>
      <c r="H4128">
        <v>6643</v>
      </c>
    </row>
    <row r="4129" spans="1:8" x14ac:dyDescent="0.35">
      <c r="A4129" t="s">
        <v>8</v>
      </c>
      <c r="B4129" t="s">
        <v>12</v>
      </c>
      <c r="C4129" t="s">
        <v>9</v>
      </c>
      <c r="D4129">
        <v>100</v>
      </c>
      <c r="E4129">
        <v>0</v>
      </c>
      <c r="F4129">
        <v>0</v>
      </c>
      <c r="G4129">
        <v>18.38</v>
      </c>
      <c r="H4129">
        <v>1838</v>
      </c>
    </row>
    <row r="4130" spans="1:8" x14ac:dyDescent="0.35">
      <c r="A4130" t="s">
        <v>6</v>
      </c>
      <c r="B4130" t="s">
        <v>12</v>
      </c>
      <c r="C4130" t="s">
        <v>9</v>
      </c>
      <c r="D4130">
        <v>64</v>
      </c>
      <c r="E4130">
        <v>4</v>
      </c>
      <c r="F4130">
        <v>6.25</v>
      </c>
      <c r="G4130">
        <v>25.71</v>
      </c>
      <c r="H4130">
        <v>1645.44</v>
      </c>
    </row>
    <row r="4131" spans="1:8" x14ac:dyDescent="0.35">
      <c r="A4131" t="s">
        <v>8</v>
      </c>
      <c r="B4131" t="s">
        <v>12</v>
      </c>
      <c r="C4131" t="s">
        <v>9</v>
      </c>
      <c r="D4131">
        <v>114</v>
      </c>
      <c r="E4131">
        <v>9</v>
      </c>
      <c r="F4131">
        <v>7.89</v>
      </c>
      <c r="G4131">
        <v>56.13</v>
      </c>
      <c r="H4131">
        <v>6398.82</v>
      </c>
    </row>
    <row r="4132" spans="1:8" x14ac:dyDescent="0.35">
      <c r="A4132" t="s">
        <v>7</v>
      </c>
      <c r="B4132" t="s">
        <v>12</v>
      </c>
      <c r="C4132" t="s">
        <v>9</v>
      </c>
      <c r="D4132">
        <v>260</v>
      </c>
      <c r="E4132">
        <v>10</v>
      </c>
      <c r="F4132">
        <v>3.85</v>
      </c>
      <c r="G4132">
        <v>33.43</v>
      </c>
      <c r="H4132">
        <v>8691.7999999999993</v>
      </c>
    </row>
    <row r="4133" spans="1:8" x14ac:dyDescent="0.35">
      <c r="A4133" t="s">
        <v>7</v>
      </c>
      <c r="B4133" t="s">
        <v>12</v>
      </c>
      <c r="C4133" t="s">
        <v>9</v>
      </c>
      <c r="D4133">
        <v>156</v>
      </c>
      <c r="E4133">
        <v>3</v>
      </c>
      <c r="F4133">
        <v>1.92</v>
      </c>
      <c r="G4133">
        <v>53.2</v>
      </c>
      <c r="H4133">
        <v>8299.2000000000007</v>
      </c>
    </row>
    <row r="4134" spans="1:8" x14ac:dyDescent="0.35">
      <c r="A4134" t="s">
        <v>7</v>
      </c>
      <c r="B4134" t="s">
        <v>12</v>
      </c>
      <c r="C4134" t="s">
        <v>10</v>
      </c>
      <c r="D4134">
        <v>277</v>
      </c>
      <c r="E4134">
        <v>17</v>
      </c>
      <c r="F4134">
        <v>6.14</v>
      </c>
      <c r="G4134">
        <v>40.28</v>
      </c>
      <c r="H4134">
        <v>11157.56</v>
      </c>
    </row>
    <row r="4135" spans="1:8" x14ac:dyDescent="0.35">
      <c r="A4135" t="s">
        <v>7</v>
      </c>
      <c r="B4135" t="s">
        <v>12</v>
      </c>
      <c r="C4135" t="s">
        <v>10</v>
      </c>
      <c r="D4135">
        <v>117</v>
      </c>
      <c r="E4135">
        <v>11</v>
      </c>
      <c r="F4135">
        <v>9.4</v>
      </c>
      <c r="G4135">
        <v>17.43</v>
      </c>
      <c r="H4135">
        <v>2039.31</v>
      </c>
    </row>
    <row r="4136" spans="1:8" x14ac:dyDescent="0.35">
      <c r="A4136" t="s">
        <v>7</v>
      </c>
      <c r="B4136" t="s">
        <v>12</v>
      </c>
      <c r="C4136" t="s">
        <v>10</v>
      </c>
      <c r="D4136">
        <v>166</v>
      </c>
      <c r="E4136">
        <v>9</v>
      </c>
      <c r="F4136">
        <v>5.42</v>
      </c>
      <c r="G4136">
        <v>49.79</v>
      </c>
      <c r="H4136">
        <v>8265.14</v>
      </c>
    </row>
    <row r="4137" spans="1:8" x14ac:dyDescent="0.35">
      <c r="A4137" t="s">
        <v>6</v>
      </c>
      <c r="B4137" t="s">
        <v>12</v>
      </c>
      <c r="C4137" t="s">
        <v>11</v>
      </c>
      <c r="D4137">
        <v>87</v>
      </c>
      <c r="E4137">
        <v>0</v>
      </c>
      <c r="F4137">
        <v>0</v>
      </c>
      <c r="G4137">
        <v>20.82</v>
      </c>
      <c r="H4137">
        <v>1811.34</v>
      </c>
    </row>
    <row r="4138" spans="1:8" x14ac:dyDescent="0.35">
      <c r="A4138" t="s">
        <v>6</v>
      </c>
      <c r="B4138" t="s">
        <v>12</v>
      </c>
      <c r="C4138" t="s">
        <v>9</v>
      </c>
      <c r="D4138">
        <v>56</v>
      </c>
      <c r="E4138">
        <v>0</v>
      </c>
      <c r="F4138">
        <v>0</v>
      </c>
      <c r="G4138">
        <v>64.62</v>
      </c>
      <c r="H4138">
        <v>3618.72</v>
      </c>
    </row>
    <row r="4139" spans="1:8" x14ac:dyDescent="0.35">
      <c r="A4139" t="s">
        <v>8</v>
      </c>
      <c r="B4139" t="s">
        <v>12</v>
      </c>
      <c r="C4139" t="s">
        <v>9</v>
      </c>
      <c r="D4139">
        <v>130</v>
      </c>
      <c r="E4139">
        <v>12</v>
      </c>
      <c r="F4139">
        <v>9.23</v>
      </c>
      <c r="G4139">
        <v>48.27</v>
      </c>
      <c r="H4139">
        <v>6275.1</v>
      </c>
    </row>
    <row r="4140" spans="1:8" x14ac:dyDescent="0.35">
      <c r="A4140" t="s">
        <v>7</v>
      </c>
      <c r="B4140" t="s">
        <v>12</v>
      </c>
      <c r="C4140" t="s">
        <v>10</v>
      </c>
      <c r="D4140">
        <v>266</v>
      </c>
      <c r="E4140">
        <v>21</v>
      </c>
      <c r="F4140">
        <v>7.89</v>
      </c>
      <c r="G4140">
        <v>15.37</v>
      </c>
      <c r="H4140">
        <v>4088.42</v>
      </c>
    </row>
    <row r="4141" spans="1:8" x14ac:dyDescent="0.35">
      <c r="A4141" t="s">
        <v>5</v>
      </c>
      <c r="B4141" t="s">
        <v>12</v>
      </c>
      <c r="C4141" t="s">
        <v>9</v>
      </c>
      <c r="D4141">
        <v>284</v>
      </c>
      <c r="E4141">
        <v>18</v>
      </c>
      <c r="F4141">
        <v>6.34</v>
      </c>
      <c r="G4141">
        <v>68.290000000000006</v>
      </c>
      <c r="H4141">
        <v>19394.36</v>
      </c>
    </row>
    <row r="4142" spans="1:8" x14ac:dyDescent="0.35">
      <c r="A4142" t="s">
        <v>6</v>
      </c>
      <c r="B4142" t="s">
        <v>12</v>
      </c>
      <c r="C4142" t="s">
        <v>9</v>
      </c>
      <c r="D4142">
        <v>125</v>
      </c>
      <c r="E4142">
        <v>8</v>
      </c>
      <c r="F4142">
        <v>6.4</v>
      </c>
      <c r="G4142">
        <v>23.45</v>
      </c>
      <c r="H4142">
        <v>2931.25</v>
      </c>
    </row>
    <row r="4143" spans="1:8" x14ac:dyDescent="0.35">
      <c r="A4143" t="s">
        <v>5</v>
      </c>
      <c r="B4143" t="s">
        <v>12</v>
      </c>
      <c r="C4143" t="s">
        <v>9</v>
      </c>
      <c r="D4143">
        <v>174</v>
      </c>
      <c r="E4143">
        <v>1</v>
      </c>
      <c r="F4143">
        <v>0.56999999999999995</v>
      </c>
      <c r="G4143">
        <v>49.61</v>
      </c>
      <c r="H4143">
        <v>8632.14</v>
      </c>
    </row>
    <row r="4144" spans="1:8" x14ac:dyDescent="0.35">
      <c r="A4144" t="s">
        <v>7</v>
      </c>
      <c r="B4144" t="s">
        <v>12</v>
      </c>
      <c r="C4144" t="s">
        <v>9</v>
      </c>
      <c r="D4144">
        <v>168</v>
      </c>
      <c r="E4144">
        <v>12</v>
      </c>
      <c r="F4144">
        <v>7.14</v>
      </c>
      <c r="G4144">
        <v>10.19</v>
      </c>
      <c r="H4144">
        <v>1711.92</v>
      </c>
    </row>
    <row r="4145" spans="1:8" x14ac:dyDescent="0.35">
      <c r="A4145" t="s">
        <v>7</v>
      </c>
      <c r="B4145" t="s">
        <v>12</v>
      </c>
      <c r="C4145" t="s">
        <v>10</v>
      </c>
      <c r="D4145">
        <v>84</v>
      </c>
      <c r="E4145">
        <v>7</v>
      </c>
      <c r="F4145">
        <v>8.33</v>
      </c>
      <c r="G4145">
        <v>60.36</v>
      </c>
      <c r="H4145">
        <v>5070.24</v>
      </c>
    </row>
    <row r="4146" spans="1:8" x14ac:dyDescent="0.35">
      <c r="A4146" t="s">
        <v>5</v>
      </c>
      <c r="B4146" t="s">
        <v>12</v>
      </c>
      <c r="C4146" t="s">
        <v>9</v>
      </c>
      <c r="D4146">
        <v>53</v>
      </c>
      <c r="E4146">
        <v>2</v>
      </c>
      <c r="F4146">
        <v>3.77</v>
      </c>
      <c r="G4146">
        <v>50.55</v>
      </c>
      <c r="H4146">
        <v>2679.15</v>
      </c>
    </row>
    <row r="4147" spans="1:8" x14ac:dyDescent="0.35">
      <c r="A4147" t="s">
        <v>8</v>
      </c>
      <c r="B4147" t="s">
        <v>12</v>
      </c>
      <c r="C4147" t="s">
        <v>9</v>
      </c>
      <c r="D4147">
        <v>204</v>
      </c>
      <c r="E4147">
        <v>18</v>
      </c>
      <c r="F4147">
        <v>8.82</v>
      </c>
      <c r="G4147">
        <v>61.99</v>
      </c>
      <c r="H4147">
        <v>12645.96</v>
      </c>
    </row>
    <row r="4148" spans="1:8" x14ac:dyDescent="0.35">
      <c r="A4148" t="s">
        <v>7</v>
      </c>
      <c r="B4148" t="s">
        <v>12</v>
      </c>
      <c r="C4148" t="s">
        <v>10</v>
      </c>
      <c r="D4148">
        <v>294</v>
      </c>
      <c r="E4148">
        <v>14</v>
      </c>
      <c r="F4148">
        <v>4.76</v>
      </c>
      <c r="G4148">
        <v>62.53</v>
      </c>
      <c r="H4148">
        <v>18383.82</v>
      </c>
    </row>
    <row r="4149" spans="1:8" x14ac:dyDescent="0.35">
      <c r="A4149" t="s">
        <v>6</v>
      </c>
      <c r="B4149" t="s">
        <v>12</v>
      </c>
      <c r="C4149" t="s">
        <v>11</v>
      </c>
      <c r="D4149">
        <v>123</v>
      </c>
      <c r="E4149">
        <v>5</v>
      </c>
      <c r="F4149">
        <v>4.07</v>
      </c>
      <c r="G4149">
        <v>13.07</v>
      </c>
      <c r="H4149">
        <v>1607.61</v>
      </c>
    </row>
    <row r="4150" spans="1:8" x14ac:dyDescent="0.35">
      <c r="A4150" t="s">
        <v>5</v>
      </c>
      <c r="B4150" t="s">
        <v>12</v>
      </c>
      <c r="C4150" t="s">
        <v>9</v>
      </c>
      <c r="D4150">
        <v>262</v>
      </c>
      <c r="E4150">
        <v>0</v>
      </c>
      <c r="F4150">
        <v>0</v>
      </c>
      <c r="G4150">
        <v>51.13</v>
      </c>
      <c r="H4150">
        <v>13396.06</v>
      </c>
    </row>
    <row r="4151" spans="1:8" x14ac:dyDescent="0.35">
      <c r="A4151" t="s">
        <v>7</v>
      </c>
      <c r="B4151" t="s">
        <v>12</v>
      </c>
      <c r="C4151" t="s">
        <v>10</v>
      </c>
      <c r="D4151">
        <v>55</v>
      </c>
      <c r="E4151">
        <v>2</v>
      </c>
      <c r="F4151">
        <v>3.64</v>
      </c>
      <c r="G4151">
        <v>10.68</v>
      </c>
      <c r="H4151">
        <v>587.4</v>
      </c>
    </row>
    <row r="4152" spans="1:8" x14ac:dyDescent="0.35">
      <c r="A4152" t="s">
        <v>8</v>
      </c>
      <c r="B4152" t="s">
        <v>12</v>
      </c>
      <c r="C4152" t="s">
        <v>9</v>
      </c>
      <c r="D4152">
        <v>137</v>
      </c>
      <c r="E4152">
        <v>8</v>
      </c>
      <c r="F4152">
        <v>5.84</v>
      </c>
      <c r="G4152">
        <v>31.46</v>
      </c>
      <c r="H4152">
        <v>4310.0200000000004</v>
      </c>
    </row>
    <row r="4153" spans="1:8" x14ac:dyDescent="0.35">
      <c r="A4153" t="s">
        <v>6</v>
      </c>
      <c r="B4153" t="s">
        <v>12</v>
      </c>
      <c r="C4153" t="s">
        <v>11</v>
      </c>
      <c r="D4153">
        <v>66</v>
      </c>
      <c r="E4153">
        <v>3</v>
      </c>
      <c r="F4153">
        <v>4.55</v>
      </c>
      <c r="G4153">
        <v>12.09</v>
      </c>
      <c r="H4153">
        <v>797.94</v>
      </c>
    </row>
    <row r="4154" spans="1:8" x14ac:dyDescent="0.35">
      <c r="A4154" t="s">
        <v>7</v>
      </c>
      <c r="B4154" t="s">
        <v>12</v>
      </c>
      <c r="C4154" t="s">
        <v>10</v>
      </c>
      <c r="D4154">
        <v>287</v>
      </c>
      <c r="E4154">
        <v>27</v>
      </c>
      <c r="F4154">
        <v>9.41</v>
      </c>
      <c r="G4154">
        <v>66.11</v>
      </c>
      <c r="H4154">
        <v>18973.57</v>
      </c>
    </row>
    <row r="4155" spans="1:8" x14ac:dyDescent="0.35">
      <c r="A4155" t="s">
        <v>7</v>
      </c>
      <c r="B4155" t="s">
        <v>12</v>
      </c>
      <c r="C4155" t="s">
        <v>10</v>
      </c>
      <c r="D4155">
        <v>92</v>
      </c>
      <c r="E4155">
        <v>7</v>
      </c>
      <c r="F4155">
        <v>7.61</v>
      </c>
      <c r="G4155">
        <v>18.18</v>
      </c>
      <c r="H4155">
        <v>1672.56</v>
      </c>
    </row>
    <row r="4156" spans="1:8" x14ac:dyDescent="0.35">
      <c r="A4156" t="s">
        <v>8</v>
      </c>
      <c r="B4156" t="s">
        <v>12</v>
      </c>
      <c r="C4156" t="s">
        <v>9</v>
      </c>
      <c r="D4156">
        <v>136</v>
      </c>
      <c r="E4156">
        <v>9</v>
      </c>
      <c r="F4156">
        <v>6.62</v>
      </c>
      <c r="G4156">
        <v>58</v>
      </c>
      <c r="H4156">
        <v>7888</v>
      </c>
    </row>
    <row r="4157" spans="1:8" x14ac:dyDescent="0.35">
      <c r="A4157" t="s">
        <v>7</v>
      </c>
      <c r="B4157" t="s">
        <v>12</v>
      </c>
      <c r="C4157" t="s">
        <v>10</v>
      </c>
      <c r="D4157">
        <v>87</v>
      </c>
      <c r="E4157">
        <v>7</v>
      </c>
      <c r="F4157">
        <v>8.0500000000000007</v>
      </c>
      <c r="G4157">
        <v>25.85</v>
      </c>
      <c r="H4157">
        <v>2248.9499999999998</v>
      </c>
    </row>
    <row r="4158" spans="1:8" x14ac:dyDescent="0.35">
      <c r="A4158" t="s">
        <v>8</v>
      </c>
      <c r="B4158" t="s">
        <v>12</v>
      </c>
      <c r="C4158" t="s">
        <v>9</v>
      </c>
      <c r="D4158">
        <v>276</v>
      </c>
      <c r="E4158">
        <v>2</v>
      </c>
      <c r="F4158">
        <v>0.72</v>
      </c>
      <c r="G4158">
        <v>11.09</v>
      </c>
      <c r="H4158">
        <v>3060.84</v>
      </c>
    </row>
    <row r="4159" spans="1:8" x14ac:dyDescent="0.35">
      <c r="A4159" t="s">
        <v>8</v>
      </c>
      <c r="B4159" t="s">
        <v>12</v>
      </c>
      <c r="C4159" t="s">
        <v>9</v>
      </c>
      <c r="D4159">
        <v>123</v>
      </c>
      <c r="E4159">
        <v>3</v>
      </c>
      <c r="F4159">
        <v>2.44</v>
      </c>
      <c r="G4159">
        <v>48.55</v>
      </c>
      <c r="H4159">
        <v>5971.65</v>
      </c>
    </row>
    <row r="4160" spans="1:8" x14ac:dyDescent="0.35">
      <c r="A4160" t="s">
        <v>8</v>
      </c>
      <c r="B4160" t="s">
        <v>12</v>
      </c>
      <c r="C4160" t="s">
        <v>9</v>
      </c>
      <c r="D4160">
        <v>80</v>
      </c>
      <c r="E4160">
        <v>1</v>
      </c>
      <c r="F4160">
        <v>1.25</v>
      </c>
      <c r="G4160">
        <v>45.04</v>
      </c>
      <c r="H4160">
        <v>3603.2</v>
      </c>
    </row>
    <row r="4161" spans="1:8" x14ac:dyDescent="0.35">
      <c r="A4161" t="s">
        <v>8</v>
      </c>
      <c r="B4161" t="s">
        <v>12</v>
      </c>
      <c r="C4161" t="s">
        <v>9</v>
      </c>
      <c r="D4161">
        <v>267</v>
      </c>
      <c r="E4161">
        <v>17</v>
      </c>
      <c r="F4161">
        <v>6.37</v>
      </c>
      <c r="G4161">
        <v>24.08</v>
      </c>
      <c r="H4161">
        <v>6429.36</v>
      </c>
    </row>
    <row r="4162" spans="1:8" x14ac:dyDescent="0.35">
      <c r="A4162" t="s">
        <v>8</v>
      </c>
      <c r="B4162" t="s">
        <v>12</v>
      </c>
      <c r="C4162" t="s">
        <v>9</v>
      </c>
      <c r="D4162">
        <v>72</v>
      </c>
      <c r="E4162">
        <v>7</v>
      </c>
      <c r="F4162">
        <v>9.7200000000000006</v>
      </c>
      <c r="G4162">
        <v>64.7</v>
      </c>
      <c r="H4162">
        <v>4658.3999999999996</v>
      </c>
    </row>
    <row r="4163" spans="1:8" x14ac:dyDescent="0.35">
      <c r="A4163" t="s">
        <v>5</v>
      </c>
      <c r="B4163" t="s">
        <v>12</v>
      </c>
      <c r="C4163" t="s">
        <v>9</v>
      </c>
      <c r="D4163">
        <v>268</v>
      </c>
      <c r="E4163">
        <v>20</v>
      </c>
      <c r="F4163">
        <v>7.46</v>
      </c>
      <c r="G4163">
        <v>12.68</v>
      </c>
      <c r="H4163">
        <v>3398.24</v>
      </c>
    </row>
    <row r="4164" spans="1:8" x14ac:dyDescent="0.35">
      <c r="A4164" t="s">
        <v>7</v>
      </c>
      <c r="B4164" t="s">
        <v>12</v>
      </c>
      <c r="C4164" t="s">
        <v>9</v>
      </c>
      <c r="D4164">
        <v>55</v>
      </c>
      <c r="E4164">
        <v>5</v>
      </c>
      <c r="F4164">
        <v>9.09</v>
      </c>
      <c r="G4164">
        <v>55.83</v>
      </c>
      <c r="H4164">
        <v>3070.65</v>
      </c>
    </row>
    <row r="4165" spans="1:8" x14ac:dyDescent="0.35">
      <c r="A4165" t="s">
        <v>7</v>
      </c>
      <c r="B4165" t="s">
        <v>12</v>
      </c>
      <c r="C4165" t="s">
        <v>9</v>
      </c>
      <c r="D4165">
        <v>158</v>
      </c>
      <c r="E4165">
        <v>10</v>
      </c>
      <c r="F4165">
        <v>6.33</v>
      </c>
      <c r="G4165">
        <v>49.91</v>
      </c>
      <c r="H4165">
        <v>7885.78</v>
      </c>
    </row>
    <row r="4166" spans="1:8" x14ac:dyDescent="0.35">
      <c r="A4166" t="s">
        <v>5</v>
      </c>
      <c r="B4166" t="s">
        <v>12</v>
      </c>
      <c r="C4166" t="s">
        <v>9</v>
      </c>
      <c r="D4166">
        <v>191</v>
      </c>
      <c r="E4166">
        <v>8</v>
      </c>
      <c r="F4166">
        <v>4.1900000000000004</v>
      </c>
      <c r="G4166">
        <v>19.59</v>
      </c>
      <c r="H4166">
        <v>3741.69</v>
      </c>
    </row>
    <row r="4167" spans="1:8" x14ac:dyDescent="0.35">
      <c r="A4167" t="s">
        <v>6</v>
      </c>
      <c r="B4167" t="s">
        <v>12</v>
      </c>
      <c r="C4167" t="s">
        <v>11</v>
      </c>
      <c r="D4167">
        <v>60</v>
      </c>
      <c r="E4167">
        <v>2</v>
      </c>
      <c r="F4167">
        <v>3.33</v>
      </c>
      <c r="G4167">
        <v>48.97</v>
      </c>
      <c r="H4167">
        <v>2938.2</v>
      </c>
    </row>
    <row r="4168" spans="1:8" x14ac:dyDescent="0.35">
      <c r="A4168" t="s">
        <v>7</v>
      </c>
      <c r="B4168" t="s">
        <v>12</v>
      </c>
      <c r="C4168" t="s">
        <v>10</v>
      </c>
      <c r="D4168">
        <v>266</v>
      </c>
      <c r="E4168">
        <v>12</v>
      </c>
      <c r="F4168">
        <v>4.51</v>
      </c>
      <c r="G4168">
        <v>61.21</v>
      </c>
      <c r="H4168">
        <v>16281.86</v>
      </c>
    </row>
    <row r="4169" spans="1:8" x14ac:dyDescent="0.35">
      <c r="A4169" t="s">
        <v>6</v>
      </c>
      <c r="B4169" t="s">
        <v>12</v>
      </c>
      <c r="C4169" t="s">
        <v>11</v>
      </c>
      <c r="D4169">
        <v>296</v>
      </c>
      <c r="E4169">
        <v>17</v>
      </c>
      <c r="F4169">
        <v>5.74</v>
      </c>
      <c r="G4169">
        <v>24.48</v>
      </c>
      <c r="H4169">
        <v>7246.08</v>
      </c>
    </row>
    <row r="4170" spans="1:8" x14ac:dyDescent="0.35">
      <c r="A4170" t="s">
        <v>7</v>
      </c>
      <c r="B4170" t="s">
        <v>12</v>
      </c>
      <c r="C4170" t="s">
        <v>10</v>
      </c>
      <c r="D4170">
        <v>166</v>
      </c>
      <c r="E4170">
        <v>1</v>
      </c>
      <c r="F4170">
        <v>0.6</v>
      </c>
      <c r="G4170">
        <v>37.840000000000003</v>
      </c>
      <c r="H4170">
        <v>6281.44</v>
      </c>
    </row>
    <row r="4171" spans="1:8" x14ac:dyDescent="0.35">
      <c r="A4171" t="s">
        <v>5</v>
      </c>
      <c r="B4171" t="s">
        <v>12</v>
      </c>
      <c r="C4171" t="s">
        <v>9</v>
      </c>
      <c r="D4171">
        <v>159</v>
      </c>
      <c r="E4171">
        <v>14</v>
      </c>
      <c r="F4171">
        <v>8.81</v>
      </c>
      <c r="G4171">
        <v>30.3</v>
      </c>
      <c r="H4171">
        <v>4817.7</v>
      </c>
    </row>
    <row r="4172" spans="1:8" x14ac:dyDescent="0.35">
      <c r="A4172" t="s">
        <v>6</v>
      </c>
      <c r="B4172" t="s">
        <v>12</v>
      </c>
      <c r="C4172" t="s">
        <v>11</v>
      </c>
      <c r="D4172">
        <v>292</v>
      </c>
      <c r="E4172">
        <v>1</v>
      </c>
      <c r="F4172">
        <v>0.34</v>
      </c>
      <c r="G4172">
        <v>49.92</v>
      </c>
      <c r="H4172">
        <v>14576.64</v>
      </c>
    </row>
    <row r="4173" spans="1:8" x14ac:dyDescent="0.35">
      <c r="A4173" t="s">
        <v>7</v>
      </c>
      <c r="B4173" t="s">
        <v>12</v>
      </c>
      <c r="C4173" t="s">
        <v>10</v>
      </c>
      <c r="D4173">
        <v>189</v>
      </c>
      <c r="E4173">
        <v>13</v>
      </c>
      <c r="F4173">
        <v>6.88</v>
      </c>
      <c r="G4173">
        <v>43.82</v>
      </c>
      <c r="H4173">
        <v>8281.98</v>
      </c>
    </row>
    <row r="4174" spans="1:8" x14ac:dyDescent="0.35">
      <c r="A4174" t="s">
        <v>8</v>
      </c>
      <c r="B4174" t="s">
        <v>12</v>
      </c>
      <c r="C4174" t="s">
        <v>9</v>
      </c>
      <c r="D4174">
        <v>138</v>
      </c>
      <c r="E4174">
        <v>7</v>
      </c>
      <c r="F4174">
        <v>5.07</v>
      </c>
      <c r="G4174">
        <v>62.15</v>
      </c>
      <c r="H4174">
        <v>8576.7000000000007</v>
      </c>
    </row>
    <row r="4175" spans="1:8" x14ac:dyDescent="0.35">
      <c r="A4175" t="s">
        <v>5</v>
      </c>
      <c r="B4175" t="s">
        <v>12</v>
      </c>
      <c r="C4175" t="s">
        <v>9</v>
      </c>
      <c r="D4175">
        <v>53</v>
      </c>
      <c r="E4175">
        <v>5</v>
      </c>
      <c r="F4175">
        <v>9.43</v>
      </c>
      <c r="G4175">
        <v>45.7</v>
      </c>
      <c r="H4175">
        <v>2422.1</v>
      </c>
    </row>
    <row r="4176" spans="1:8" x14ac:dyDescent="0.35">
      <c r="A4176" t="s">
        <v>8</v>
      </c>
      <c r="B4176" t="s">
        <v>12</v>
      </c>
      <c r="C4176" t="s">
        <v>9</v>
      </c>
      <c r="D4176">
        <v>123</v>
      </c>
      <c r="E4176">
        <v>5</v>
      </c>
      <c r="F4176">
        <v>4.07</v>
      </c>
      <c r="G4176">
        <v>14.14</v>
      </c>
      <c r="H4176">
        <v>1739.22</v>
      </c>
    </row>
    <row r="4177" spans="1:8" x14ac:dyDescent="0.35">
      <c r="A4177" t="s">
        <v>6</v>
      </c>
      <c r="B4177" t="s">
        <v>12</v>
      </c>
      <c r="C4177" t="s">
        <v>11</v>
      </c>
      <c r="D4177">
        <v>124</v>
      </c>
      <c r="E4177">
        <v>1</v>
      </c>
      <c r="F4177">
        <v>0.81</v>
      </c>
      <c r="G4177">
        <v>13.01</v>
      </c>
      <c r="H4177">
        <v>1613.24</v>
      </c>
    </row>
    <row r="4178" spans="1:8" x14ac:dyDescent="0.35">
      <c r="A4178" t="s">
        <v>5</v>
      </c>
      <c r="B4178" t="s">
        <v>12</v>
      </c>
      <c r="C4178" t="s">
        <v>9</v>
      </c>
      <c r="D4178">
        <v>169</v>
      </c>
      <c r="E4178">
        <v>10</v>
      </c>
      <c r="F4178">
        <v>5.92</v>
      </c>
      <c r="G4178">
        <v>64</v>
      </c>
      <c r="H4178">
        <v>10816</v>
      </c>
    </row>
    <row r="4179" spans="1:8" x14ac:dyDescent="0.35">
      <c r="A4179" t="s">
        <v>7</v>
      </c>
      <c r="B4179" t="s">
        <v>12</v>
      </c>
      <c r="C4179" t="s">
        <v>9</v>
      </c>
      <c r="D4179">
        <v>189</v>
      </c>
      <c r="E4179">
        <v>16</v>
      </c>
      <c r="F4179">
        <v>8.4700000000000006</v>
      </c>
      <c r="G4179">
        <v>38.880000000000003</v>
      </c>
      <c r="H4179">
        <v>7348.32</v>
      </c>
    </row>
    <row r="4180" spans="1:8" x14ac:dyDescent="0.35">
      <c r="A4180" t="s">
        <v>8</v>
      </c>
      <c r="B4180" t="s">
        <v>12</v>
      </c>
      <c r="C4180" t="s">
        <v>9</v>
      </c>
      <c r="D4180">
        <v>174</v>
      </c>
      <c r="E4180">
        <v>15</v>
      </c>
      <c r="F4180">
        <v>8.6199999999999992</v>
      </c>
      <c r="G4180">
        <v>17.07</v>
      </c>
      <c r="H4180">
        <v>2970.18</v>
      </c>
    </row>
    <row r="4181" spans="1:8" x14ac:dyDescent="0.35">
      <c r="A4181" t="s">
        <v>6</v>
      </c>
      <c r="B4181" t="s">
        <v>12</v>
      </c>
      <c r="C4181" t="s">
        <v>11</v>
      </c>
      <c r="D4181">
        <v>243</v>
      </c>
      <c r="E4181">
        <v>14</v>
      </c>
      <c r="F4181">
        <v>5.76</v>
      </c>
      <c r="G4181">
        <v>34.700000000000003</v>
      </c>
      <c r="H4181">
        <v>8432.1</v>
      </c>
    </row>
    <row r="4182" spans="1:8" x14ac:dyDescent="0.35">
      <c r="A4182" t="s">
        <v>8</v>
      </c>
      <c r="B4182" t="s">
        <v>12</v>
      </c>
      <c r="C4182" t="s">
        <v>9</v>
      </c>
      <c r="D4182">
        <v>104</v>
      </c>
      <c r="E4182">
        <v>2</v>
      </c>
      <c r="F4182">
        <v>1.92</v>
      </c>
      <c r="G4182">
        <v>51.59</v>
      </c>
      <c r="H4182">
        <v>5365.36</v>
      </c>
    </row>
    <row r="4183" spans="1:8" x14ac:dyDescent="0.35">
      <c r="A4183" t="s">
        <v>5</v>
      </c>
      <c r="B4183" t="s">
        <v>12</v>
      </c>
      <c r="C4183" t="s">
        <v>9</v>
      </c>
      <c r="D4183">
        <v>228</v>
      </c>
      <c r="E4183">
        <v>13</v>
      </c>
      <c r="F4183">
        <v>5.7</v>
      </c>
      <c r="G4183">
        <v>17.920000000000002</v>
      </c>
      <c r="H4183">
        <v>4085.76</v>
      </c>
    </row>
    <row r="4184" spans="1:8" x14ac:dyDescent="0.35">
      <c r="A4184" t="s">
        <v>6</v>
      </c>
      <c r="B4184" t="s">
        <v>12</v>
      </c>
      <c r="C4184" t="s">
        <v>9</v>
      </c>
      <c r="D4184">
        <v>205</v>
      </c>
      <c r="E4184">
        <v>18</v>
      </c>
      <c r="F4184">
        <v>8.7799999999999994</v>
      </c>
      <c r="G4184">
        <v>42.63</v>
      </c>
      <c r="H4184">
        <v>8739.15</v>
      </c>
    </row>
    <row r="4185" spans="1:8" x14ac:dyDescent="0.35">
      <c r="A4185" t="s">
        <v>7</v>
      </c>
      <c r="B4185" t="s">
        <v>12</v>
      </c>
      <c r="C4185" t="s">
        <v>10</v>
      </c>
      <c r="D4185">
        <v>125</v>
      </c>
      <c r="E4185">
        <v>3</v>
      </c>
      <c r="F4185">
        <v>2.4</v>
      </c>
      <c r="G4185">
        <v>24.18</v>
      </c>
      <c r="H4185">
        <v>3022.5</v>
      </c>
    </row>
    <row r="4186" spans="1:8" x14ac:dyDescent="0.35">
      <c r="A4186" t="s">
        <v>8</v>
      </c>
      <c r="B4186" t="s">
        <v>12</v>
      </c>
      <c r="C4186" t="s">
        <v>9</v>
      </c>
      <c r="D4186">
        <v>128</v>
      </c>
      <c r="E4186">
        <v>10</v>
      </c>
      <c r="F4186">
        <v>7.81</v>
      </c>
      <c r="G4186">
        <v>14.84</v>
      </c>
      <c r="H4186">
        <v>1899.52</v>
      </c>
    </row>
    <row r="4187" spans="1:8" x14ac:dyDescent="0.35">
      <c r="A4187" t="s">
        <v>5</v>
      </c>
      <c r="B4187" t="s">
        <v>12</v>
      </c>
      <c r="C4187" t="s">
        <v>9</v>
      </c>
      <c r="D4187">
        <v>62</v>
      </c>
      <c r="E4187">
        <v>3</v>
      </c>
      <c r="F4187">
        <v>4.84</v>
      </c>
      <c r="G4187">
        <v>58.21</v>
      </c>
      <c r="H4187">
        <v>3609.02</v>
      </c>
    </row>
    <row r="4188" spans="1:8" x14ac:dyDescent="0.35">
      <c r="A4188" t="s">
        <v>8</v>
      </c>
      <c r="B4188" t="s">
        <v>12</v>
      </c>
      <c r="C4188" t="s">
        <v>9</v>
      </c>
      <c r="D4188">
        <v>75</v>
      </c>
      <c r="E4188">
        <v>7</v>
      </c>
      <c r="F4188">
        <v>9.33</v>
      </c>
      <c r="G4188">
        <v>48.96</v>
      </c>
      <c r="H4188">
        <v>3672</v>
      </c>
    </row>
    <row r="4189" spans="1:8" x14ac:dyDescent="0.35">
      <c r="A4189" t="s">
        <v>5</v>
      </c>
      <c r="B4189" t="s">
        <v>12</v>
      </c>
      <c r="C4189" t="s">
        <v>9</v>
      </c>
      <c r="D4189">
        <v>209</v>
      </c>
      <c r="E4189">
        <v>8</v>
      </c>
      <c r="F4189">
        <v>3.83</v>
      </c>
      <c r="G4189">
        <v>11.68</v>
      </c>
      <c r="H4189">
        <v>2441.12</v>
      </c>
    </row>
    <row r="4190" spans="1:8" x14ac:dyDescent="0.35">
      <c r="A4190" t="s">
        <v>6</v>
      </c>
      <c r="B4190" t="s">
        <v>12</v>
      </c>
      <c r="C4190" t="s">
        <v>11</v>
      </c>
      <c r="D4190">
        <v>237</v>
      </c>
      <c r="E4190">
        <v>22</v>
      </c>
      <c r="F4190">
        <v>9.2799999999999994</v>
      </c>
      <c r="G4190">
        <v>52.51</v>
      </c>
      <c r="H4190">
        <v>12444.87</v>
      </c>
    </row>
    <row r="4191" spans="1:8" x14ac:dyDescent="0.35">
      <c r="A4191" t="s">
        <v>5</v>
      </c>
      <c r="B4191" t="s">
        <v>12</v>
      </c>
      <c r="C4191" t="s">
        <v>9</v>
      </c>
      <c r="D4191">
        <v>97</v>
      </c>
      <c r="E4191">
        <v>7</v>
      </c>
      <c r="F4191">
        <v>7.22</v>
      </c>
      <c r="G4191">
        <v>6.74</v>
      </c>
      <c r="H4191">
        <v>653.78</v>
      </c>
    </row>
    <row r="4192" spans="1:8" x14ac:dyDescent="0.35">
      <c r="A4192" t="s">
        <v>7</v>
      </c>
      <c r="B4192" t="s">
        <v>12</v>
      </c>
      <c r="C4192" t="s">
        <v>10</v>
      </c>
      <c r="D4192">
        <v>62</v>
      </c>
      <c r="E4192">
        <v>0</v>
      </c>
      <c r="F4192">
        <v>0</v>
      </c>
      <c r="G4192">
        <v>14.39</v>
      </c>
      <c r="H4192">
        <v>892.18</v>
      </c>
    </row>
    <row r="4193" spans="1:8" x14ac:dyDescent="0.35">
      <c r="A4193" t="s">
        <v>7</v>
      </c>
      <c r="B4193" t="s">
        <v>12</v>
      </c>
      <c r="C4193" t="s">
        <v>10</v>
      </c>
      <c r="D4193">
        <v>265</v>
      </c>
      <c r="E4193">
        <v>1</v>
      </c>
      <c r="F4193">
        <v>0.38</v>
      </c>
      <c r="G4193">
        <v>55.03</v>
      </c>
      <c r="H4193">
        <v>14582.95</v>
      </c>
    </row>
    <row r="4194" spans="1:8" x14ac:dyDescent="0.35">
      <c r="A4194" t="s">
        <v>7</v>
      </c>
      <c r="B4194" t="s">
        <v>12</v>
      </c>
      <c r="C4194" t="s">
        <v>9</v>
      </c>
      <c r="D4194">
        <v>298</v>
      </c>
      <c r="E4194">
        <v>1</v>
      </c>
      <c r="F4194">
        <v>0.34</v>
      </c>
      <c r="G4194">
        <v>54.4</v>
      </c>
      <c r="H4194">
        <v>16211.2</v>
      </c>
    </row>
    <row r="4195" spans="1:8" x14ac:dyDescent="0.35">
      <c r="A4195" t="s">
        <v>7</v>
      </c>
      <c r="B4195" t="s">
        <v>12</v>
      </c>
      <c r="C4195" t="s">
        <v>9</v>
      </c>
      <c r="D4195">
        <v>262</v>
      </c>
      <c r="E4195">
        <v>10</v>
      </c>
      <c r="F4195">
        <v>3.82</v>
      </c>
      <c r="G4195">
        <v>28.05</v>
      </c>
      <c r="H4195">
        <v>7349.1</v>
      </c>
    </row>
    <row r="4196" spans="1:8" x14ac:dyDescent="0.35">
      <c r="A4196" t="s">
        <v>7</v>
      </c>
      <c r="B4196" t="s">
        <v>12</v>
      </c>
      <c r="C4196" t="s">
        <v>10</v>
      </c>
      <c r="D4196">
        <v>113</v>
      </c>
      <c r="E4196">
        <v>9</v>
      </c>
      <c r="F4196">
        <v>7.96</v>
      </c>
      <c r="G4196">
        <v>51.86</v>
      </c>
      <c r="H4196">
        <v>5860.18</v>
      </c>
    </row>
    <row r="4197" spans="1:8" x14ac:dyDescent="0.35">
      <c r="A4197" t="s">
        <v>6</v>
      </c>
      <c r="B4197" t="s">
        <v>12</v>
      </c>
      <c r="C4197" t="s">
        <v>9</v>
      </c>
      <c r="D4197">
        <v>50</v>
      </c>
      <c r="E4197">
        <v>2</v>
      </c>
      <c r="F4197">
        <v>4</v>
      </c>
      <c r="G4197">
        <v>21.45</v>
      </c>
      <c r="H4197">
        <v>1072.5</v>
      </c>
    </row>
    <row r="4198" spans="1:8" x14ac:dyDescent="0.35">
      <c r="A4198" t="s">
        <v>8</v>
      </c>
      <c r="B4198" t="s">
        <v>12</v>
      </c>
      <c r="C4198" t="s">
        <v>9</v>
      </c>
      <c r="D4198">
        <v>288</v>
      </c>
      <c r="E4198">
        <v>1</v>
      </c>
      <c r="F4198">
        <v>0.35</v>
      </c>
      <c r="G4198">
        <v>67.760000000000005</v>
      </c>
      <c r="H4198">
        <v>19514.88</v>
      </c>
    </row>
    <row r="4199" spans="1:8" x14ac:dyDescent="0.35">
      <c r="A4199" t="s">
        <v>6</v>
      </c>
      <c r="B4199" t="s">
        <v>12</v>
      </c>
      <c r="C4199" t="s">
        <v>11</v>
      </c>
      <c r="D4199">
        <v>95</v>
      </c>
      <c r="E4199">
        <v>1</v>
      </c>
      <c r="F4199">
        <v>1.05</v>
      </c>
      <c r="G4199">
        <v>24.07</v>
      </c>
      <c r="H4199">
        <v>2286.65</v>
      </c>
    </row>
    <row r="4200" spans="1:8" x14ac:dyDescent="0.35">
      <c r="A4200" t="s">
        <v>7</v>
      </c>
      <c r="B4200" t="s">
        <v>12</v>
      </c>
      <c r="C4200" t="s">
        <v>10</v>
      </c>
      <c r="D4200">
        <v>129</v>
      </c>
      <c r="E4200">
        <v>8</v>
      </c>
      <c r="F4200">
        <v>6.2</v>
      </c>
      <c r="G4200">
        <v>11.94</v>
      </c>
      <c r="H4200">
        <v>1540.26</v>
      </c>
    </row>
    <row r="4201" spans="1:8" x14ac:dyDescent="0.35">
      <c r="A4201" t="s">
        <v>8</v>
      </c>
      <c r="B4201" t="s">
        <v>12</v>
      </c>
      <c r="C4201" t="s">
        <v>9</v>
      </c>
      <c r="D4201">
        <v>285</v>
      </c>
      <c r="E4201">
        <v>15</v>
      </c>
      <c r="F4201">
        <v>5.26</v>
      </c>
      <c r="G4201">
        <v>28.28</v>
      </c>
      <c r="H4201">
        <v>8059.8</v>
      </c>
    </row>
    <row r="4202" spans="1:8" x14ac:dyDescent="0.35">
      <c r="A4202" t="s">
        <v>5</v>
      </c>
      <c r="B4202" t="s">
        <v>12</v>
      </c>
      <c r="C4202" t="s">
        <v>9</v>
      </c>
      <c r="D4202">
        <v>134</v>
      </c>
      <c r="E4202">
        <v>0</v>
      </c>
      <c r="F4202">
        <v>0</v>
      </c>
      <c r="G4202">
        <v>27.04</v>
      </c>
      <c r="H4202">
        <v>3623.36</v>
      </c>
    </row>
    <row r="4203" spans="1:8" x14ac:dyDescent="0.35">
      <c r="A4203" t="s">
        <v>6</v>
      </c>
      <c r="B4203" t="s">
        <v>12</v>
      </c>
      <c r="C4203" t="s">
        <v>11</v>
      </c>
      <c r="D4203">
        <v>229</v>
      </c>
      <c r="E4203">
        <v>19</v>
      </c>
      <c r="F4203">
        <v>8.3000000000000007</v>
      </c>
      <c r="G4203">
        <v>57.69</v>
      </c>
      <c r="H4203">
        <v>13211.01</v>
      </c>
    </row>
    <row r="4204" spans="1:8" x14ac:dyDescent="0.35">
      <c r="A4204" t="s">
        <v>7</v>
      </c>
      <c r="B4204" t="s">
        <v>12</v>
      </c>
      <c r="C4204" t="s">
        <v>9</v>
      </c>
      <c r="D4204">
        <v>267</v>
      </c>
      <c r="E4204">
        <v>4</v>
      </c>
      <c r="F4204">
        <v>1.5</v>
      </c>
      <c r="G4204">
        <v>10.14</v>
      </c>
      <c r="H4204">
        <v>2707.38</v>
      </c>
    </row>
    <row r="4205" spans="1:8" x14ac:dyDescent="0.35">
      <c r="A4205" t="s">
        <v>7</v>
      </c>
      <c r="B4205" t="s">
        <v>12</v>
      </c>
      <c r="C4205" t="s">
        <v>9</v>
      </c>
      <c r="D4205">
        <v>133</v>
      </c>
      <c r="E4205">
        <v>9</v>
      </c>
      <c r="F4205">
        <v>6.77</v>
      </c>
      <c r="G4205">
        <v>40.42</v>
      </c>
      <c r="H4205">
        <v>5375.86</v>
      </c>
    </row>
    <row r="4206" spans="1:8" x14ac:dyDescent="0.35">
      <c r="A4206" t="s">
        <v>7</v>
      </c>
      <c r="B4206" t="s">
        <v>12</v>
      </c>
      <c r="C4206" t="s">
        <v>9</v>
      </c>
      <c r="D4206">
        <v>153</v>
      </c>
      <c r="E4206">
        <v>9</v>
      </c>
      <c r="F4206">
        <v>5.88</v>
      </c>
      <c r="G4206">
        <v>61</v>
      </c>
      <c r="H4206">
        <v>9333</v>
      </c>
    </row>
    <row r="4207" spans="1:8" x14ac:dyDescent="0.35">
      <c r="A4207" t="s">
        <v>5</v>
      </c>
      <c r="B4207" t="s">
        <v>12</v>
      </c>
      <c r="C4207" t="s">
        <v>9</v>
      </c>
      <c r="D4207">
        <v>268</v>
      </c>
      <c r="E4207">
        <v>7</v>
      </c>
      <c r="F4207">
        <v>2.61</v>
      </c>
      <c r="G4207">
        <v>50.55</v>
      </c>
      <c r="H4207">
        <v>13547.4</v>
      </c>
    </row>
    <row r="4208" spans="1:8" x14ac:dyDescent="0.35">
      <c r="A4208" t="s">
        <v>7</v>
      </c>
      <c r="B4208" t="s">
        <v>12</v>
      </c>
      <c r="C4208" t="s">
        <v>9</v>
      </c>
      <c r="D4208">
        <v>265</v>
      </c>
      <c r="E4208">
        <v>22</v>
      </c>
      <c r="F4208">
        <v>8.3000000000000007</v>
      </c>
      <c r="G4208">
        <v>28.81</v>
      </c>
      <c r="H4208">
        <v>7634.65</v>
      </c>
    </row>
    <row r="4209" spans="1:8" x14ac:dyDescent="0.35">
      <c r="A4209" t="s">
        <v>8</v>
      </c>
      <c r="B4209" t="s">
        <v>12</v>
      </c>
      <c r="C4209" t="s">
        <v>9</v>
      </c>
      <c r="D4209">
        <v>246</v>
      </c>
      <c r="E4209">
        <v>21</v>
      </c>
      <c r="F4209">
        <v>8.5399999999999991</v>
      </c>
      <c r="G4209">
        <v>36.33</v>
      </c>
      <c r="H4209">
        <v>8937.18</v>
      </c>
    </row>
    <row r="4210" spans="1:8" x14ac:dyDescent="0.35">
      <c r="A4210" t="s">
        <v>6</v>
      </c>
      <c r="B4210" t="s">
        <v>12</v>
      </c>
      <c r="C4210" t="s">
        <v>9</v>
      </c>
      <c r="D4210">
        <v>108</v>
      </c>
      <c r="E4210">
        <v>2</v>
      </c>
      <c r="F4210">
        <v>1.85</v>
      </c>
      <c r="G4210">
        <v>26.03</v>
      </c>
      <c r="H4210">
        <v>2811.24</v>
      </c>
    </row>
    <row r="4211" spans="1:8" x14ac:dyDescent="0.35">
      <c r="A4211" t="s">
        <v>7</v>
      </c>
      <c r="B4211" t="s">
        <v>12</v>
      </c>
      <c r="C4211" t="s">
        <v>10</v>
      </c>
      <c r="D4211">
        <v>111</v>
      </c>
      <c r="E4211">
        <v>4</v>
      </c>
      <c r="F4211">
        <v>3.6</v>
      </c>
      <c r="G4211">
        <v>29.3</v>
      </c>
      <c r="H4211">
        <v>3252.3</v>
      </c>
    </row>
    <row r="4212" spans="1:8" x14ac:dyDescent="0.35">
      <c r="A4212" t="s">
        <v>5</v>
      </c>
      <c r="B4212" t="s">
        <v>12</v>
      </c>
      <c r="C4212" t="s">
        <v>9</v>
      </c>
      <c r="D4212">
        <v>143</v>
      </c>
      <c r="E4212">
        <v>5</v>
      </c>
      <c r="F4212">
        <v>3.5</v>
      </c>
      <c r="G4212">
        <v>25.78</v>
      </c>
      <c r="H4212">
        <v>3686.54</v>
      </c>
    </row>
    <row r="4213" spans="1:8" x14ac:dyDescent="0.35">
      <c r="A4213" t="s">
        <v>6</v>
      </c>
      <c r="B4213" t="s">
        <v>12</v>
      </c>
      <c r="C4213" t="s">
        <v>11</v>
      </c>
      <c r="D4213">
        <v>123</v>
      </c>
      <c r="E4213">
        <v>6</v>
      </c>
      <c r="F4213">
        <v>4.88</v>
      </c>
      <c r="G4213">
        <v>11.98</v>
      </c>
      <c r="H4213">
        <v>1473.54</v>
      </c>
    </row>
    <row r="4214" spans="1:8" x14ac:dyDescent="0.35">
      <c r="A4214" t="s">
        <v>7</v>
      </c>
      <c r="B4214" t="s">
        <v>12</v>
      </c>
      <c r="C4214" t="s">
        <v>10</v>
      </c>
      <c r="D4214">
        <v>166</v>
      </c>
      <c r="E4214">
        <v>4</v>
      </c>
      <c r="F4214">
        <v>2.41</v>
      </c>
      <c r="G4214">
        <v>63.43</v>
      </c>
      <c r="H4214">
        <v>10529.38</v>
      </c>
    </row>
    <row r="4215" spans="1:8" x14ac:dyDescent="0.35">
      <c r="A4215" t="s">
        <v>8</v>
      </c>
      <c r="B4215" t="s">
        <v>12</v>
      </c>
      <c r="C4215" t="s">
        <v>9</v>
      </c>
      <c r="D4215">
        <v>252</v>
      </c>
      <c r="E4215">
        <v>0</v>
      </c>
      <c r="F4215">
        <v>0</v>
      </c>
      <c r="G4215">
        <v>39.68</v>
      </c>
      <c r="H4215">
        <v>9999.36</v>
      </c>
    </row>
    <row r="4216" spans="1:8" x14ac:dyDescent="0.35">
      <c r="A4216" t="s">
        <v>8</v>
      </c>
      <c r="B4216" t="s">
        <v>12</v>
      </c>
      <c r="C4216" t="s">
        <v>9</v>
      </c>
      <c r="D4216">
        <v>240</v>
      </c>
      <c r="E4216">
        <v>0</v>
      </c>
      <c r="F4216">
        <v>0</v>
      </c>
      <c r="G4216">
        <v>17.920000000000002</v>
      </c>
      <c r="H4216">
        <v>4300.8</v>
      </c>
    </row>
    <row r="4217" spans="1:8" x14ac:dyDescent="0.35">
      <c r="A4217" t="s">
        <v>8</v>
      </c>
      <c r="B4217" t="s">
        <v>12</v>
      </c>
      <c r="C4217" t="s">
        <v>9</v>
      </c>
      <c r="D4217">
        <v>221</v>
      </c>
      <c r="E4217">
        <v>4</v>
      </c>
      <c r="F4217">
        <v>1.81</v>
      </c>
      <c r="G4217">
        <v>14.7</v>
      </c>
      <c r="H4217">
        <v>3248.7</v>
      </c>
    </row>
    <row r="4218" spans="1:8" x14ac:dyDescent="0.35">
      <c r="A4218" t="s">
        <v>6</v>
      </c>
      <c r="B4218" t="s">
        <v>12</v>
      </c>
      <c r="C4218" t="s">
        <v>9</v>
      </c>
      <c r="D4218">
        <v>246</v>
      </c>
      <c r="E4218">
        <v>6</v>
      </c>
      <c r="F4218">
        <v>2.44</v>
      </c>
      <c r="G4218">
        <v>36.83</v>
      </c>
      <c r="H4218">
        <v>9060.18</v>
      </c>
    </row>
    <row r="4219" spans="1:8" x14ac:dyDescent="0.35">
      <c r="A4219" t="s">
        <v>5</v>
      </c>
      <c r="B4219" t="s">
        <v>12</v>
      </c>
      <c r="C4219" t="s">
        <v>9</v>
      </c>
      <c r="D4219">
        <v>259</v>
      </c>
      <c r="E4219">
        <v>25</v>
      </c>
      <c r="F4219">
        <v>9.65</v>
      </c>
      <c r="G4219">
        <v>56.94</v>
      </c>
      <c r="H4219">
        <v>14747.46</v>
      </c>
    </row>
    <row r="4220" spans="1:8" x14ac:dyDescent="0.35">
      <c r="A4220" t="s">
        <v>5</v>
      </c>
      <c r="B4220" t="s">
        <v>12</v>
      </c>
      <c r="C4220" t="s">
        <v>9</v>
      </c>
      <c r="D4220">
        <v>214</v>
      </c>
      <c r="E4220">
        <v>9</v>
      </c>
      <c r="F4220">
        <v>4.21</v>
      </c>
      <c r="G4220">
        <v>41.91</v>
      </c>
      <c r="H4220">
        <v>8968.74</v>
      </c>
    </row>
    <row r="4221" spans="1:8" x14ac:dyDescent="0.35">
      <c r="A4221" t="s">
        <v>6</v>
      </c>
      <c r="B4221" t="s">
        <v>12</v>
      </c>
      <c r="C4221" t="s">
        <v>9</v>
      </c>
      <c r="D4221">
        <v>265</v>
      </c>
      <c r="E4221">
        <v>21</v>
      </c>
      <c r="F4221">
        <v>7.92</v>
      </c>
      <c r="G4221">
        <v>57.4</v>
      </c>
      <c r="H4221">
        <v>15211</v>
      </c>
    </row>
    <row r="4222" spans="1:8" x14ac:dyDescent="0.35">
      <c r="A4222" t="s">
        <v>6</v>
      </c>
      <c r="B4222" t="s">
        <v>12</v>
      </c>
      <c r="C4222" t="s">
        <v>9</v>
      </c>
      <c r="D4222">
        <v>89</v>
      </c>
      <c r="E4222">
        <v>3</v>
      </c>
      <c r="F4222">
        <v>3.37</v>
      </c>
      <c r="G4222">
        <v>42.7</v>
      </c>
      <c r="H4222">
        <v>3800.3</v>
      </c>
    </row>
    <row r="4223" spans="1:8" x14ac:dyDescent="0.35">
      <c r="A4223" t="s">
        <v>5</v>
      </c>
      <c r="B4223" t="s">
        <v>12</v>
      </c>
      <c r="C4223" t="s">
        <v>9</v>
      </c>
      <c r="D4223">
        <v>225</v>
      </c>
      <c r="E4223">
        <v>20</v>
      </c>
      <c r="F4223">
        <v>8.89</v>
      </c>
      <c r="G4223">
        <v>52.5</v>
      </c>
      <c r="H4223">
        <v>11812.5</v>
      </c>
    </row>
    <row r="4224" spans="1:8" x14ac:dyDescent="0.35">
      <c r="A4224" t="s">
        <v>5</v>
      </c>
      <c r="B4224" t="s">
        <v>12</v>
      </c>
      <c r="C4224" t="s">
        <v>9</v>
      </c>
      <c r="D4224">
        <v>131</v>
      </c>
      <c r="E4224">
        <v>3</v>
      </c>
      <c r="F4224">
        <v>2.29</v>
      </c>
      <c r="G4224">
        <v>40.130000000000003</v>
      </c>
      <c r="H4224">
        <v>5257.03</v>
      </c>
    </row>
    <row r="4225" spans="1:8" x14ac:dyDescent="0.35">
      <c r="A4225" t="s">
        <v>8</v>
      </c>
      <c r="B4225" t="s">
        <v>12</v>
      </c>
      <c r="C4225" t="s">
        <v>9</v>
      </c>
      <c r="D4225">
        <v>98</v>
      </c>
      <c r="E4225">
        <v>8</v>
      </c>
      <c r="F4225">
        <v>8.16</v>
      </c>
      <c r="G4225">
        <v>40.26</v>
      </c>
      <c r="H4225">
        <v>3945.48</v>
      </c>
    </row>
    <row r="4226" spans="1:8" x14ac:dyDescent="0.35">
      <c r="A4226" t="s">
        <v>7</v>
      </c>
      <c r="B4226" t="s">
        <v>12</v>
      </c>
      <c r="C4226" t="s">
        <v>10</v>
      </c>
      <c r="D4226">
        <v>151</v>
      </c>
      <c r="E4226">
        <v>6</v>
      </c>
      <c r="F4226">
        <v>3.97</v>
      </c>
      <c r="G4226">
        <v>58.58</v>
      </c>
      <c r="H4226">
        <v>8845.58</v>
      </c>
    </row>
    <row r="4227" spans="1:8" x14ac:dyDescent="0.35">
      <c r="A4227" t="s">
        <v>5</v>
      </c>
      <c r="B4227" t="s">
        <v>12</v>
      </c>
      <c r="C4227" t="s">
        <v>9</v>
      </c>
      <c r="D4227">
        <v>219</v>
      </c>
      <c r="E4227">
        <v>17</v>
      </c>
      <c r="F4227">
        <v>7.76</v>
      </c>
      <c r="G4227">
        <v>26.53</v>
      </c>
      <c r="H4227">
        <v>5810.07</v>
      </c>
    </row>
    <row r="4228" spans="1:8" x14ac:dyDescent="0.35">
      <c r="A4228" t="s">
        <v>6</v>
      </c>
      <c r="B4228" t="s">
        <v>12</v>
      </c>
      <c r="C4228" t="s">
        <v>9</v>
      </c>
      <c r="D4228">
        <v>143</v>
      </c>
      <c r="E4228">
        <v>13</v>
      </c>
      <c r="F4228">
        <v>9.09</v>
      </c>
      <c r="G4228">
        <v>14.99</v>
      </c>
      <c r="H4228">
        <v>2143.5700000000002</v>
      </c>
    </row>
    <row r="4229" spans="1:8" x14ac:dyDescent="0.35">
      <c r="A4229" t="s">
        <v>7</v>
      </c>
      <c r="B4229" t="s">
        <v>12</v>
      </c>
      <c r="C4229" t="s">
        <v>9</v>
      </c>
      <c r="D4229">
        <v>178</v>
      </c>
      <c r="E4229">
        <v>0</v>
      </c>
      <c r="F4229">
        <v>0</v>
      </c>
      <c r="G4229">
        <v>29.12</v>
      </c>
      <c r="H4229">
        <v>5183.3599999999997</v>
      </c>
    </row>
    <row r="4230" spans="1:8" x14ac:dyDescent="0.35">
      <c r="A4230" t="s">
        <v>6</v>
      </c>
      <c r="B4230" t="s">
        <v>12</v>
      </c>
      <c r="C4230" t="s">
        <v>11</v>
      </c>
      <c r="D4230">
        <v>283</v>
      </c>
      <c r="E4230">
        <v>13</v>
      </c>
      <c r="F4230">
        <v>4.59</v>
      </c>
      <c r="G4230">
        <v>29.49</v>
      </c>
      <c r="H4230">
        <v>8345.67</v>
      </c>
    </row>
    <row r="4231" spans="1:8" x14ac:dyDescent="0.35">
      <c r="A4231" t="s">
        <v>6</v>
      </c>
      <c r="B4231" t="s">
        <v>12</v>
      </c>
      <c r="C4231" t="s">
        <v>11</v>
      </c>
      <c r="D4231">
        <v>86</v>
      </c>
      <c r="E4231">
        <v>5</v>
      </c>
      <c r="F4231">
        <v>5.81</v>
      </c>
      <c r="G4231">
        <v>32.26</v>
      </c>
      <c r="H4231">
        <v>2774.36</v>
      </c>
    </row>
    <row r="4232" spans="1:8" x14ac:dyDescent="0.35">
      <c r="A4232" t="s">
        <v>7</v>
      </c>
      <c r="B4232" t="s">
        <v>12</v>
      </c>
      <c r="C4232" t="s">
        <v>9</v>
      </c>
      <c r="D4232">
        <v>60</v>
      </c>
      <c r="E4232">
        <v>0</v>
      </c>
      <c r="F4232">
        <v>0</v>
      </c>
      <c r="G4232">
        <v>65.61</v>
      </c>
      <c r="H4232">
        <v>3936.6</v>
      </c>
    </row>
    <row r="4233" spans="1:8" x14ac:dyDescent="0.35">
      <c r="A4233" t="s">
        <v>6</v>
      </c>
      <c r="B4233" t="s">
        <v>12</v>
      </c>
      <c r="C4233" t="s">
        <v>9</v>
      </c>
      <c r="D4233">
        <v>208</v>
      </c>
      <c r="E4233">
        <v>17</v>
      </c>
      <c r="F4233">
        <v>8.17</v>
      </c>
      <c r="G4233">
        <v>63.92</v>
      </c>
      <c r="H4233">
        <v>13295.36</v>
      </c>
    </row>
    <row r="4234" spans="1:8" x14ac:dyDescent="0.35">
      <c r="A4234" t="s">
        <v>6</v>
      </c>
      <c r="B4234" t="s">
        <v>12</v>
      </c>
      <c r="C4234" t="s">
        <v>11</v>
      </c>
      <c r="D4234">
        <v>143</v>
      </c>
      <c r="E4234">
        <v>6</v>
      </c>
      <c r="F4234">
        <v>4.2</v>
      </c>
      <c r="G4234">
        <v>57.59</v>
      </c>
      <c r="H4234">
        <v>8235.3700000000008</v>
      </c>
    </row>
    <row r="4235" spans="1:8" x14ac:dyDescent="0.35">
      <c r="A4235" t="s">
        <v>8</v>
      </c>
      <c r="B4235" t="s">
        <v>12</v>
      </c>
      <c r="C4235" t="s">
        <v>9</v>
      </c>
      <c r="D4235">
        <v>252</v>
      </c>
      <c r="E4235">
        <v>2</v>
      </c>
      <c r="F4235">
        <v>0.79</v>
      </c>
      <c r="G4235">
        <v>38.799999999999997</v>
      </c>
      <c r="H4235">
        <v>9777.6</v>
      </c>
    </row>
    <row r="4236" spans="1:8" x14ac:dyDescent="0.35">
      <c r="A4236" t="s">
        <v>8</v>
      </c>
      <c r="B4236" t="s">
        <v>12</v>
      </c>
      <c r="C4236" t="s">
        <v>9</v>
      </c>
      <c r="D4236">
        <v>181</v>
      </c>
      <c r="E4236">
        <v>9</v>
      </c>
      <c r="F4236">
        <v>4.97</v>
      </c>
      <c r="G4236">
        <v>42.96</v>
      </c>
      <c r="H4236">
        <v>7775.76</v>
      </c>
    </row>
    <row r="4237" spans="1:8" x14ac:dyDescent="0.35">
      <c r="A4237" t="s">
        <v>7</v>
      </c>
      <c r="B4237" t="s">
        <v>12</v>
      </c>
      <c r="C4237" t="s">
        <v>10</v>
      </c>
      <c r="D4237">
        <v>147</v>
      </c>
      <c r="E4237">
        <v>6</v>
      </c>
      <c r="F4237">
        <v>4.08</v>
      </c>
      <c r="G4237">
        <v>66.91</v>
      </c>
      <c r="H4237">
        <v>9835.77</v>
      </c>
    </row>
    <row r="4238" spans="1:8" x14ac:dyDescent="0.35">
      <c r="A4238" t="s">
        <v>7</v>
      </c>
      <c r="B4238" t="s">
        <v>12</v>
      </c>
      <c r="C4238" t="s">
        <v>10</v>
      </c>
      <c r="D4238">
        <v>239</v>
      </c>
      <c r="E4238">
        <v>9</v>
      </c>
      <c r="F4238">
        <v>3.77</v>
      </c>
      <c r="G4238">
        <v>18.86</v>
      </c>
      <c r="H4238">
        <v>4507.54</v>
      </c>
    </row>
    <row r="4239" spans="1:8" x14ac:dyDescent="0.35">
      <c r="A4239" t="s">
        <v>7</v>
      </c>
      <c r="B4239" t="s">
        <v>12</v>
      </c>
      <c r="C4239" t="s">
        <v>9</v>
      </c>
      <c r="D4239">
        <v>193</v>
      </c>
      <c r="E4239">
        <v>19</v>
      </c>
      <c r="F4239">
        <v>9.84</v>
      </c>
      <c r="G4239">
        <v>54.3</v>
      </c>
      <c r="H4239">
        <v>10479.9</v>
      </c>
    </row>
    <row r="4240" spans="1:8" x14ac:dyDescent="0.35">
      <c r="A4240" t="s">
        <v>6</v>
      </c>
      <c r="B4240" t="s">
        <v>12</v>
      </c>
      <c r="C4240" t="s">
        <v>9</v>
      </c>
      <c r="D4240">
        <v>133</v>
      </c>
      <c r="E4240">
        <v>13</v>
      </c>
      <c r="F4240">
        <v>9.77</v>
      </c>
      <c r="G4240">
        <v>47.23</v>
      </c>
      <c r="H4240">
        <v>6281.59</v>
      </c>
    </row>
    <row r="4241" spans="1:8" x14ac:dyDescent="0.35">
      <c r="A4241" t="s">
        <v>5</v>
      </c>
      <c r="B4241" t="s">
        <v>12</v>
      </c>
      <c r="C4241" t="s">
        <v>9</v>
      </c>
      <c r="D4241">
        <v>238</v>
      </c>
      <c r="E4241">
        <v>22</v>
      </c>
      <c r="F4241">
        <v>9.24</v>
      </c>
      <c r="G4241">
        <v>60.27</v>
      </c>
      <c r="H4241">
        <v>14344.26</v>
      </c>
    </row>
    <row r="4242" spans="1:8" x14ac:dyDescent="0.35">
      <c r="A4242" t="s">
        <v>5</v>
      </c>
      <c r="B4242" t="s">
        <v>12</v>
      </c>
      <c r="C4242" t="s">
        <v>9</v>
      </c>
      <c r="D4242">
        <v>211</v>
      </c>
      <c r="E4242">
        <v>18</v>
      </c>
      <c r="F4242">
        <v>8.5299999999999994</v>
      </c>
      <c r="G4242">
        <v>10.33</v>
      </c>
      <c r="H4242">
        <v>2179.63</v>
      </c>
    </row>
    <row r="4243" spans="1:8" x14ac:dyDescent="0.35">
      <c r="A4243" t="s">
        <v>7</v>
      </c>
      <c r="B4243" t="s">
        <v>12</v>
      </c>
      <c r="C4243" t="s">
        <v>9</v>
      </c>
      <c r="D4243">
        <v>199</v>
      </c>
      <c r="E4243">
        <v>14</v>
      </c>
      <c r="F4243">
        <v>7.04</v>
      </c>
      <c r="G4243">
        <v>25.6</v>
      </c>
      <c r="H4243">
        <v>5094.3999999999996</v>
      </c>
    </row>
    <row r="4244" spans="1:8" x14ac:dyDescent="0.35">
      <c r="A4244" t="s">
        <v>5</v>
      </c>
      <c r="B4244" t="s">
        <v>12</v>
      </c>
      <c r="C4244" t="s">
        <v>9</v>
      </c>
      <c r="D4244">
        <v>299</v>
      </c>
      <c r="E4244">
        <v>21</v>
      </c>
      <c r="F4244">
        <v>7.02</v>
      </c>
      <c r="G4244">
        <v>32.369999999999997</v>
      </c>
      <c r="H4244">
        <v>9678.6299999999992</v>
      </c>
    </row>
    <row r="4245" spans="1:8" x14ac:dyDescent="0.35">
      <c r="A4245" t="s">
        <v>5</v>
      </c>
      <c r="B4245" t="s">
        <v>12</v>
      </c>
      <c r="C4245" t="s">
        <v>9</v>
      </c>
      <c r="D4245">
        <v>79</v>
      </c>
      <c r="E4245">
        <v>6</v>
      </c>
      <c r="F4245">
        <v>7.59</v>
      </c>
      <c r="G4245">
        <v>69.739999999999995</v>
      </c>
      <c r="H4245">
        <v>5509.46</v>
      </c>
    </row>
    <row r="4246" spans="1:8" x14ac:dyDescent="0.35">
      <c r="A4246" t="s">
        <v>7</v>
      </c>
      <c r="B4246" t="s">
        <v>12</v>
      </c>
      <c r="C4246" t="s">
        <v>9</v>
      </c>
      <c r="D4246">
        <v>104</v>
      </c>
      <c r="E4246">
        <v>4</v>
      </c>
      <c r="F4246">
        <v>3.85</v>
      </c>
      <c r="G4246">
        <v>57.82</v>
      </c>
      <c r="H4246">
        <v>6013.28</v>
      </c>
    </row>
    <row r="4247" spans="1:8" x14ac:dyDescent="0.35">
      <c r="A4247" t="s">
        <v>7</v>
      </c>
      <c r="B4247" t="s">
        <v>12</v>
      </c>
      <c r="C4247" t="s">
        <v>9</v>
      </c>
      <c r="D4247">
        <v>63</v>
      </c>
      <c r="E4247">
        <v>3</v>
      </c>
      <c r="F4247">
        <v>4.76</v>
      </c>
      <c r="G4247">
        <v>34.21</v>
      </c>
      <c r="H4247">
        <v>2155.23</v>
      </c>
    </row>
    <row r="4248" spans="1:8" x14ac:dyDescent="0.35">
      <c r="A4248" t="s">
        <v>5</v>
      </c>
      <c r="B4248" t="s">
        <v>12</v>
      </c>
      <c r="C4248" t="s">
        <v>9</v>
      </c>
      <c r="D4248">
        <v>157</v>
      </c>
      <c r="E4248">
        <v>6</v>
      </c>
      <c r="F4248">
        <v>3.82</v>
      </c>
      <c r="G4248">
        <v>9.5399999999999991</v>
      </c>
      <c r="H4248">
        <v>1497.78</v>
      </c>
    </row>
    <row r="4249" spans="1:8" x14ac:dyDescent="0.35">
      <c r="A4249" t="s">
        <v>6</v>
      </c>
      <c r="B4249" t="s">
        <v>12</v>
      </c>
      <c r="C4249" t="s">
        <v>11</v>
      </c>
      <c r="D4249">
        <v>87</v>
      </c>
      <c r="E4249">
        <v>4</v>
      </c>
      <c r="F4249">
        <v>4.5999999999999996</v>
      </c>
      <c r="G4249">
        <v>22.92</v>
      </c>
      <c r="H4249">
        <v>1994.04</v>
      </c>
    </row>
    <row r="4250" spans="1:8" x14ac:dyDescent="0.35">
      <c r="A4250" t="s">
        <v>7</v>
      </c>
      <c r="B4250" t="s">
        <v>12</v>
      </c>
      <c r="C4250" t="s">
        <v>10</v>
      </c>
      <c r="D4250">
        <v>171</v>
      </c>
      <c r="E4250">
        <v>13</v>
      </c>
      <c r="F4250">
        <v>7.6</v>
      </c>
      <c r="G4250">
        <v>7.47</v>
      </c>
      <c r="H4250">
        <v>1277.3699999999999</v>
      </c>
    </row>
    <row r="4251" spans="1:8" x14ac:dyDescent="0.35">
      <c r="A4251" t="s">
        <v>7</v>
      </c>
      <c r="B4251" t="s">
        <v>12</v>
      </c>
      <c r="C4251" t="s">
        <v>9</v>
      </c>
      <c r="D4251">
        <v>175</v>
      </c>
      <c r="E4251">
        <v>4</v>
      </c>
      <c r="F4251">
        <v>2.29</v>
      </c>
      <c r="G4251">
        <v>45.54</v>
      </c>
      <c r="H4251">
        <v>7969.5</v>
      </c>
    </row>
    <row r="4252" spans="1:8" x14ac:dyDescent="0.35">
      <c r="A4252" t="s">
        <v>8</v>
      </c>
      <c r="B4252" t="s">
        <v>12</v>
      </c>
      <c r="C4252" t="s">
        <v>9</v>
      </c>
      <c r="D4252">
        <v>124</v>
      </c>
      <c r="E4252">
        <v>6</v>
      </c>
      <c r="F4252">
        <v>4.84</v>
      </c>
      <c r="G4252">
        <v>43.15</v>
      </c>
      <c r="H4252">
        <v>5350.6</v>
      </c>
    </row>
    <row r="4253" spans="1:8" x14ac:dyDescent="0.35">
      <c r="A4253" t="s">
        <v>7</v>
      </c>
      <c r="B4253" t="s">
        <v>12</v>
      </c>
      <c r="C4253" t="s">
        <v>9</v>
      </c>
      <c r="D4253">
        <v>199</v>
      </c>
      <c r="E4253">
        <v>1</v>
      </c>
      <c r="F4253">
        <v>0.5</v>
      </c>
      <c r="G4253">
        <v>24.39</v>
      </c>
      <c r="H4253">
        <v>4853.6099999999997</v>
      </c>
    </row>
    <row r="4254" spans="1:8" x14ac:dyDescent="0.35">
      <c r="A4254" t="s">
        <v>5</v>
      </c>
      <c r="B4254" t="s">
        <v>12</v>
      </c>
      <c r="C4254" t="s">
        <v>9</v>
      </c>
      <c r="D4254">
        <v>275</v>
      </c>
      <c r="E4254">
        <v>13</v>
      </c>
      <c r="F4254">
        <v>4.7300000000000004</v>
      </c>
      <c r="G4254">
        <v>54.9</v>
      </c>
      <c r="H4254">
        <v>15097.5</v>
      </c>
    </row>
    <row r="4255" spans="1:8" x14ac:dyDescent="0.35">
      <c r="A4255" t="s">
        <v>7</v>
      </c>
      <c r="B4255" t="s">
        <v>12</v>
      </c>
      <c r="C4255" t="s">
        <v>10</v>
      </c>
      <c r="D4255">
        <v>245</v>
      </c>
      <c r="E4255">
        <v>1</v>
      </c>
      <c r="F4255">
        <v>0.41</v>
      </c>
      <c r="G4255">
        <v>57.81</v>
      </c>
      <c r="H4255">
        <v>14163.45</v>
      </c>
    </row>
    <row r="4256" spans="1:8" x14ac:dyDescent="0.35">
      <c r="A4256" t="s">
        <v>6</v>
      </c>
      <c r="B4256" t="s">
        <v>12</v>
      </c>
      <c r="C4256" t="s">
        <v>9</v>
      </c>
      <c r="D4256">
        <v>74</v>
      </c>
      <c r="E4256">
        <v>5</v>
      </c>
      <c r="F4256">
        <v>6.76</v>
      </c>
      <c r="G4256">
        <v>40.619999999999997</v>
      </c>
      <c r="H4256">
        <v>3005.88</v>
      </c>
    </row>
    <row r="4257" spans="1:8" x14ac:dyDescent="0.35">
      <c r="A4257" t="s">
        <v>5</v>
      </c>
      <c r="B4257" t="s">
        <v>12</v>
      </c>
      <c r="C4257" t="s">
        <v>9</v>
      </c>
      <c r="D4257">
        <v>291</v>
      </c>
      <c r="E4257">
        <v>15</v>
      </c>
      <c r="F4257">
        <v>5.15</v>
      </c>
      <c r="G4257">
        <v>60.74</v>
      </c>
      <c r="H4257">
        <v>17675.34</v>
      </c>
    </row>
    <row r="4258" spans="1:8" x14ac:dyDescent="0.35">
      <c r="A4258" t="s">
        <v>6</v>
      </c>
      <c r="B4258" t="s">
        <v>12</v>
      </c>
      <c r="C4258" t="s">
        <v>9</v>
      </c>
      <c r="D4258">
        <v>73</v>
      </c>
      <c r="E4258">
        <v>1</v>
      </c>
      <c r="F4258">
        <v>1.37</v>
      </c>
      <c r="G4258">
        <v>69.989999999999995</v>
      </c>
      <c r="H4258">
        <v>5109.2700000000004</v>
      </c>
    </row>
    <row r="4259" spans="1:8" x14ac:dyDescent="0.35">
      <c r="A4259" t="s">
        <v>6</v>
      </c>
      <c r="B4259" t="s">
        <v>12</v>
      </c>
      <c r="C4259" t="s">
        <v>11</v>
      </c>
      <c r="D4259">
        <v>130</v>
      </c>
      <c r="E4259">
        <v>2</v>
      </c>
      <c r="F4259">
        <v>1.54</v>
      </c>
      <c r="G4259">
        <v>67.78</v>
      </c>
      <c r="H4259">
        <v>8811.4</v>
      </c>
    </row>
    <row r="4260" spans="1:8" x14ac:dyDescent="0.35">
      <c r="A4260" t="s">
        <v>7</v>
      </c>
      <c r="B4260" t="s">
        <v>12</v>
      </c>
      <c r="C4260" t="s">
        <v>9</v>
      </c>
      <c r="D4260">
        <v>171</v>
      </c>
      <c r="E4260">
        <v>6</v>
      </c>
      <c r="F4260">
        <v>3.51</v>
      </c>
      <c r="G4260">
        <v>42.88</v>
      </c>
      <c r="H4260">
        <v>7332.48</v>
      </c>
    </row>
    <row r="4261" spans="1:8" x14ac:dyDescent="0.35">
      <c r="A4261" t="s">
        <v>7</v>
      </c>
      <c r="B4261" t="s">
        <v>12</v>
      </c>
      <c r="C4261" t="s">
        <v>9</v>
      </c>
      <c r="D4261">
        <v>56</v>
      </c>
      <c r="E4261">
        <v>3</v>
      </c>
      <c r="F4261">
        <v>5.36</v>
      </c>
      <c r="G4261">
        <v>61.13</v>
      </c>
      <c r="H4261">
        <v>3423.28</v>
      </c>
    </row>
    <row r="4262" spans="1:8" x14ac:dyDescent="0.35">
      <c r="A4262" t="s">
        <v>8</v>
      </c>
      <c r="B4262" t="s">
        <v>12</v>
      </c>
      <c r="C4262" t="s">
        <v>9</v>
      </c>
      <c r="D4262">
        <v>162</v>
      </c>
      <c r="E4262">
        <v>0</v>
      </c>
      <c r="F4262">
        <v>0</v>
      </c>
      <c r="G4262">
        <v>59.21</v>
      </c>
      <c r="H4262">
        <v>9592.02</v>
      </c>
    </row>
    <row r="4263" spans="1:8" x14ac:dyDescent="0.35">
      <c r="A4263" t="s">
        <v>6</v>
      </c>
      <c r="B4263" t="s">
        <v>12</v>
      </c>
      <c r="C4263" t="s">
        <v>11</v>
      </c>
      <c r="D4263">
        <v>196</v>
      </c>
      <c r="E4263">
        <v>4</v>
      </c>
      <c r="F4263">
        <v>2.04</v>
      </c>
      <c r="G4263">
        <v>58.65</v>
      </c>
      <c r="H4263">
        <v>11495.4</v>
      </c>
    </row>
    <row r="4264" spans="1:8" x14ac:dyDescent="0.35">
      <c r="A4264" t="s">
        <v>7</v>
      </c>
      <c r="B4264" t="s">
        <v>12</v>
      </c>
      <c r="C4264" t="s">
        <v>10</v>
      </c>
      <c r="D4264">
        <v>111</v>
      </c>
      <c r="E4264">
        <v>10</v>
      </c>
      <c r="F4264">
        <v>9.01</v>
      </c>
      <c r="G4264">
        <v>47.09</v>
      </c>
      <c r="H4264">
        <v>5226.99</v>
      </c>
    </row>
    <row r="4265" spans="1:8" x14ac:dyDescent="0.35">
      <c r="A4265" t="s">
        <v>6</v>
      </c>
      <c r="B4265" t="s">
        <v>12</v>
      </c>
      <c r="C4265" t="s">
        <v>9</v>
      </c>
      <c r="D4265">
        <v>288</v>
      </c>
      <c r="E4265">
        <v>6</v>
      </c>
      <c r="F4265">
        <v>2.08</v>
      </c>
      <c r="G4265">
        <v>61.9</v>
      </c>
      <c r="H4265">
        <v>17827.2</v>
      </c>
    </row>
    <row r="4266" spans="1:8" x14ac:dyDescent="0.35">
      <c r="A4266" t="s">
        <v>7</v>
      </c>
      <c r="B4266" t="s">
        <v>12</v>
      </c>
      <c r="C4266" t="s">
        <v>9</v>
      </c>
      <c r="D4266">
        <v>151</v>
      </c>
      <c r="E4266">
        <v>8</v>
      </c>
      <c r="F4266">
        <v>5.3</v>
      </c>
      <c r="G4266">
        <v>47.62</v>
      </c>
      <c r="H4266">
        <v>7190.62</v>
      </c>
    </row>
    <row r="4267" spans="1:8" x14ac:dyDescent="0.35">
      <c r="A4267" t="s">
        <v>6</v>
      </c>
      <c r="B4267" t="s">
        <v>12</v>
      </c>
      <c r="C4267" t="s">
        <v>11</v>
      </c>
      <c r="D4267">
        <v>185</v>
      </c>
      <c r="E4267">
        <v>13</v>
      </c>
      <c r="F4267">
        <v>7.03</v>
      </c>
      <c r="G4267">
        <v>67.2</v>
      </c>
      <c r="H4267">
        <v>12432</v>
      </c>
    </row>
    <row r="4268" spans="1:8" x14ac:dyDescent="0.35">
      <c r="A4268" t="s">
        <v>7</v>
      </c>
      <c r="B4268" t="s">
        <v>12</v>
      </c>
      <c r="C4268" t="s">
        <v>9</v>
      </c>
      <c r="D4268">
        <v>93</v>
      </c>
      <c r="E4268">
        <v>5</v>
      </c>
      <c r="F4268">
        <v>5.38</v>
      </c>
      <c r="G4268">
        <v>67.12</v>
      </c>
      <c r="H4268">
        <v>6242.16</v>
      </c>
    </row>
    <row r="4269" spans="1:8" x14ac:dyDescent="0.35">
      <c r="A4269" t="s">
        <v>6</v>
      </c>
      <c r="B4269" t="s">
        <v>12</v>
      </c>
      <c r="C4269" t="s">
        <v>11</v>
      </c>
      <c r="D4269">
        <v>244</v>
      </c>
      <c r="E4269">
        <v>4</v>
      </c>
      <c r="F4269">
        <v>1.64</v>
      </c>
      <c r="G4269">
        <v>17.3</v>
      </c>
      <c r="H4269">
        <v>4221.2</v>
      </c>
    </row>
    <row r="4270" spans="1:8" x14ac:dyDescent="0.35">
      <c r="A4270" t="s">
        <v>7</v>
      </c>
      <c r="B4270" t="s">
        <v>12</v>
      </c>
      <c r="C4270" t="s">
        <v>9</v>
      </c>
      <c r="D4270">
        <v>89</v>
      </c>
      <c r="E4270">
        <v>0</v>
      </c>
      <c r="F4270">
        <v>0</v>
      </c>
      <c r="G4270">
        <v>24.08</v>
      </c>
      <c r="H4270">
        <v>2143.12</v>
      </c>
    </row>
    <row r="4271" spans="1:8" x14ac:dyDescent="0.35">
      <c r="A4271" t="s">
        <v>8</v>
      </c>
      <c r="B4271" t="s">
        <v>12</v>
      </c>
      <c r="C4271" t="s">
        <v>9</v>
      </c>
      <c r="D4271">
        <v>186</v>
      </c>
      <c r="E4271">
        <v>18</v>
      </c>
      <c r="F4271">
        <v>9.68</v>
      </c>
      <c r="G4271">
        <v>68.16</v>
      </c>
      <c r="H4271">
        <v>12677.76</v>
      </c>
    </row>
    <row r="4272" spans="1:8" x14ac:dyDescent="0.35">
      <c r="A4272" t="s">
        <v>5</v>
      </c>
      <c r="B4272" t="s">
        <v>12</v>
      </c>
      <c r="C4272" t="s">
        <v>9</v>
      </c>
      <c r="D4272">
        <v>177</v>
      </c>
      <c r="E4272">
        <v>3</v>
      </c>
      <c r="F4272">
        <v>1.69</v>
      </c>
      <c r="G4272">
        <v>40.06</v>
      </c>
      <c r="H4272">
        <v>7090.62</v>
      </c>
    </row>
    <row r="4273" spans="1:8" x14ac:dyDescent="0.35">
      <c r="A4273" t="s">
        <v>6</v>
      </c>
      <c r="B4273" t="s">
        <v>12</v>
      </c>
      <c r="C4273" t="s">
        <v>11</v>
      </c>
      <c r="D4273">
        <v>288</v>
      </c>
      <c r="E4273">
        <v>26</v>
      </c>
      <c r="F4273">
        <v>9.0299999999999994</v>
      </c>
      <c r="G4273">
        <v>9.34</v>
      </c>
      <c r="H4273">
        <v>2689.92</v>
      </c>
    </row>
    <row r="4274" spans="1:8" x14ac:dyDescent="0.35">
      <c r="A4274" t="s">
        <v>8</v>
      </c>
      <c r="B4274" t="s">
        <v>12</v>
      </c>
      <c r="C4274" t="s">
        <v>9</v>
      </c>
      <c r="D4274">
        <v>91</v>
      </c>
      <c r="E4274">
        <v>7</v>
      </c>
      <c r="F4274">
        <v>7.69</v>
      </c>
      <c r="G4274">
        <v>60.43</v>
      </c>
      <c r="H4274">
        <v>5499.13</v>
      </c>
    </row>
    <row r="4275" spans="1:8" x14ac:dyDescent="0.35">
      <c r="A4275" t="s">
        <v>7</v>
      </c>
      <c r="B4275" t="s">
        <v>12</v>
      </c>
      <c r="C4275" t="s">
        <v>9</v>
      </c>
      <c r="D4275">
        <v>78</v>
      </c>
      <c r="E4275">
        <v>1</v>
      </c>
      <c r="F4275">
        <v>1.28</v>
      </c>
      <c r="G4275">
        <v>52.4</v>
      </c>
      <c r="H4275">
        <v>4087.2</v>
      </c>
    </row>
    <row r="4276" spans="1:8" x14ac:dyDescent="0.35">
      <c r="A4276" t="s">
        <v>7</v>
      </c>
      <c r="B4276" t="s">
        <v>12</v>
      </c>
      <c r="C4276" t="s">
        <v>9</v>
      </c>
      <c r="D4276">
        <v>267</v>
      </c>
      <c r="E4276">
        <v>1</v>
      </c>
      <c r="F4276">
        <v>0.37</v>
      </c>
      <c r="G4276">
        <v>37.92</v>
      </c>
      <c r="H4276">
        <v>10124.64</v>
      </c>
    </row>
    <row r="4277" spans="1:8" x14ac:dyDescent="0.35">
      <c r="A4277" t="s">
        <v>6</v>
      </c>
      <c r="B4277" t="s">
        <v>12</v>
      </c>
      <c r="C4277" t="s">
        <v>9</v>
      </c>
      <c r="D4277">
        <v>156</v>
      </c>
      <c r="E4277">
        <v>1</v>
      </c>
      <c r="F4277">
        <v>0.64</v>
      </c>
      <c r="G4277">
        <v>5.8</v>
      </c>
      <c r="H4277">
        <v>904.8</v>
      </c>
    </row>
    <row r="4278" spans="1:8" x14ac:dyDescent="0.35">
      <c r="A4278" t="s">
        <v>6</v>
      </c>
      <c r="B4278" t="s">
        <v>12</v>
      </c>
      <c r="C4278" t="s">
        <v>9</v>
      </c>
      <c r="D4278">
        <v>161</v>
      </c>
      <c r="E4278">
        <v>2</v>
      </c>
      <c r="F4278">
        <v>1.24</v>
      </c>
      <c r="G4278">
        <v>69.040000000000006</v>
      </c>
      <c r="H4278">
        <v>11115.44</v>
      </c>
    </row>
    <row r="4279" spans="1:8" x14ac:dyDescent="0.35">
      <c r="A4279" t="s">
        <v>7</v>
      </c>
      <c r="B4279" t="s">
        <v>12</v>
      </c>
      <c r="C4279" t="s">
        <v>10</v>
      </c>
      <c r="D4279">
        <v>273</v>
      </c>
      <c r="E4279">
        <v>21</v>
      </c>
      <c r="F4279">
        <v>7.69</v>
      </c>
      <c r="G4279">
        <v>60</v>
      </c>
      <c r="H4279">
        <v>16380</v>
      </c>
    </row>
    <row r="4280" spans="1:8" x14ac:dyDescent="0.35">
      <c r="A4280" t="s">
        <v>7</v>
      </c>
      <c r="B4280" t="s">
        <v>12</v>
      </c>
      <c r="C4280" t="s">
        <v>10</v>
      </c>
      <c r="D4280">
        <v>169</v>
      </c>
      <c r="E4280">
        <v>0</v>
      </c>
      <c r="F4280">
        <v>0</v>
      </c>
      <c r="G4280">
        <v>26.42</v>
      </c>
      <c r="H4280">
        <v>4464.9799999999996</v>
      </c>
    </row>
    <row r="4281" spans="1:8" x14ac:dyDescent="0.35">
      <c r="A4281" t="s">
        <v>7</v>
      </c>
      <c r="B4281" t="s">
        <v>12</v>
      </c>
      <c r="C4281" t="s">
        <v>9</v>
      </c>
      <c r="D4281">
        <v>274</v>
      </c>
      <c r="E4281">
        <v>1</v>
      </c>
      <c r="F4281">
        <v>0.36</v>
      </c>
      <c r="G4281">
        <v>5.82</v>
      </c>
      <c r="H4281">
        <v>1594.68</v>
      </c>
    </row>
    <row r="4282" spans="1:8" x14ac:dyDescent="0.35">
      <c r="A4282" t="s">
        <v>6</v>
      </c>
      <c r="B4282" t="s">
        <v>12</v>
      </c>
      <c r="C4282" t="s">
        <v>9</v>
      </c>
      <c r="D4282">
        <v>179</v>
      </c>
      <c r="E4282">
        <v>4</v>
      </c>
      <c r="F4282">
        <v>2.23</v>
      </c>
      <c r="G4282">
        <v>5.63</v>
      </c>
      <c r="H4282">
        <v>1007.77</v>
      </c>
    </row>
    <row r="4283" spans="1:8" x14ac:dyDescent="0.35">
      <c r="A4283" t="s">
        <v>6</v>
      </c>
      <c r="B4283" t="s">
        <v>12</v>
      </c>
      <c r="C4283" t="s">
        <v>11</v>
      </c>
      <c r="D4283">
        <v>127</v>
      </c>
      <c r="E4283">
        <v>10</v>
      </c>
      <c r="F4283">
        <v>7.87</v>
      </c>
      <c r="G4283">
        <v>27.97</v>
      </c>
      <c r="H4283">
        <v>3552.19</v>
      </c>
    </row>
    <row r="4284" spans="1:8" x14ac:dyDescent="0.35">
      <c r="A4284" t="s">
        <v>6</v>
      </c>
      <c r="B4284" t="s">
        <v>12</v>
      </c>
      <c r="C4284" t="s">
        <v>9</v>
      </c>
      <c r="D4284">
        <v>180</v>
      </c>
      <c r="E4284">
        <v>14</v>
      </c>
      <c r="F4284">
        <v>7.78</v>
      </c>
      <c r="G4284">
        <v>62.39</v>
      </c>
      <c r="H4284">
        <v>11230.2</v>
      </c>
    </row>
    <row r="4285" spans="1:8" x14ac:dyDescent="0.35">
      <c r="A4285" t="s">
        <v>7</v>
      </c>
      <c r="B4285" t="s">
        <v>12</v>
      </c>
      <c r="C4285" t="s">
        <v>9</v>
      </c>
      <c r="D4285">
        <v>77</v>
      </c>
      <c r="E4285">
        <v>0</v>
      </c>
      <c r="F4285">
        <v>0</v>
      </c>
      <c r="G4285">
        <v>25.1</v>
      </c>
      <c r="H4285">
        <v>1932.7</v>
      </c>
    </row>
    <row r="4286" spans="1:8" x14ac:dyDescent="0.35">
      <c r="A4286" t="s">
        <v>7</v>
      </c>
      <c r="B4286" t="s">
        <v>12</v>
      </c>
      <c r="C4286" t="s">
        <v>10</v>
      </c>
      <c r="D4286">
        <v>102</v>
      </c>
      <c r="E4286">
        <v>10</v>
      </c>
      <c r="F4286">
        <v>9.8000000000000007</v>
      </c>
      <c r="G4286">
        <v>39.43</v>
      </c>
      <c r="H4286">
        <v>4021.86</v>
      </c>
    </row>
    <row r="4287" spans="1:8" x14ac:dyDescent="0.35">
      <c r="A4287" t="s">
        <v>6</v>
      </c>
      <c r="B4287" t="s">
        <v>12</v>
      </c>
      <c r="C4287" t="s">
        <v>9</v>
      </c>
      <c r="D4287">
        <v>262</v>
      </c>
      <c r="E4287">
        <v>9</v>
      </c>
      <c r="F4287">
        <v>3.44</v>
      </c>
      <c r="G4287">
        <v>5.98</v>
      </c>
      <c r="H4287">
        <v>1566.76</v>
      </c>
    </row>
    <row r="4288" spans="1:8" x14ac:dyDescent="0.35">
      <c r="A4288" t="s">
        <v>5</v>
      </c>
      <c r="B4288" t="s">
        <v>12</v>
      </c>
      <c r="C4288" t="s">
        <v>9</v>
      </c>
      <c r="D4288">
        <v>74</v>
      </c>
      <c r="E4288">
        <v>6</v>
      </c>
      <c r="F4288">
        <v>8.11</v>
      </c>
      <c r="G4288">
        <v>28.65</v>
      </c>
      <c r="H4288">
        <v>2120.1</v>
      </c>
    </row>
    <row r="4289" spans="1:8" x14ac:dyDescent="0.35">
      <c r="A4289" t="s">
        <v>6</v>
      </c>
      <c r="B4289" t="s">
        <v>12</v>
      </c>
      <c r="C4289" t="s">
        <v>11</v>
      </c>
      <c r="D4289">
        <v>288</v>
      </c>
      <c r="E4289">
        <v>18</v>
      </c>
      <c r="F4289">
        <v>6.25</v>
      </c>
      <c r="G4289">
        <v>68.83</v>
      </c>
      <c r="H4289">
        <v>19823.04</v>
      </c>
    </row>
    <row r="4290" spans="1:8" x14ac:dyDescent="0.35">
      <c r="A4290" t="s">
        <v>5</v>
      </c>
      <c r="B4290" t="s">
        <v>12</v>
      </c>
      <c r="C4290" t="s">
        <v>9</v>
      </c>
      <c r="D4290">
        <v>124</v>
      </c>
      <c r="E4290">
        <v>7</v>
      </c>
      <c r="F4290">
        <v>5.65</v>
      </c>
      <c r="G4290">
        <v>8</v>
      </c>
      <c r="H4290">
        <v>992</v>
      </c>
    </row>
    <row r="4291" spans="1:8" x14ac:dyDescent="0.35">
      <c r="A4291" t="s">
        <v>7</v>
      </c>
      <c r="B4291" t="s">
        <v>12</v>
      </c>
      <c r="C4291" t="s">
        <v>9</v>
      </c>
      <c r="D4291">
        <v>74</v>
      </c>
      <c r="E4291">
        <v>3</v>
      </c>
      <c r="F4291">
        <v>4.05</v>
      </c>
      <c r="G4291">
        <v>44.27</v>
      </c>
      <c r="H4291">
        <v>3275.98</v>
      </c>
    </row>
    <row r="4292" spans="1:8" x14ac:dyDescent="0.35">
      <c r="A4292" t="s">
        <v>6</v>
      </c>
      <c r="B4292" t="s">
        <v>12</v>
      </c>
      <c r="C4292" t="s">
        <v>9</v>
      </c>
      <c r="D4292">
        <v>231</v>
      </c>
      <c r="E4292">
        <v>5</v>
      </c>
      <c r="F4292">
        <v>2.16</v>
      </c>
      <c r="G4292">
        <v>67.61</v>
      </c>
      <c r="H4292">
        <v>15617.91</v>
      </c>
    </row>
    <row r="4293" spans="1:8" x14ac:dyDescent="0.35">
      <c r="A4293" t="s">
        <v>6</v>
      </c>
      <c r="B4293" t="s">
        <v>12</v>
      </c>
      <c r="C4293" t="s">
        <v>9</v>
      </c>
      <c r="D4293">
        <v>243</v>
      </c>
      <c r="E4293">
        <v>6</v>
      </c>
      <c r="F4293">
        <v>2.4700000000000002</v>
      </c>
      <c r="G4293">
        <v>28.84</v>
      </c>
      <c r="H4293">
        <v>7008.12</v>
      </c>
    </row>
    <row r="4294" spans="1:8" x14ac:dyDescent="0.35">
      <c r="A4294" t="s">
        <v>8</v>
      </c>
      <c r="B4294" t="s">
        <v>12</v>
      </c>
      <c r="C4294" t="s">
        <v>9</v>
      </c>
      <c r="D4294">
        <v>127</v>
      </c>
      <c r="E4294">
        <v>4</v>
      </c>
      <c r="F4294">
        <v>3.15</v>
      </c>
      <c r="G4294">
        <v>27.76</v>
      </c>
      <c r="H4294">
        <v>3525.52</v>
      </c>
    </row>
    <row r="4295" spans="1:8" x14ac:dyDescent="0.35">
      <c r="A4295" t="s">
        <v>6</v>
      </c>
      <c r="B4295" t="s">
        <v>12</v>
      </c>
      <c r="C4295" t="s">
        <v>9</v>
      </c>
      <c r="D4295">
        <v>229</v>
      </c>
      <c r="E4295">
        <v>3</v>
      </c>
      <c r="F4295">
        <v>1.31</v>
      </c>
      <c r="G4295">
        <v>20.83</v>
      </c>
      <c r="H4295">
        <v>4770.07</v>
      </c>
    </row>
    <row r="4296" spans="1:8" x14ac:dyDescent="0.35">
      <c r="A4296" t="s">
        <v>5</v>
      </c>
      <c r="B4296" t="s">
        <v>12</v>
      </c>
      <c r="C4296" t="s">
        <v>9</v>
      </c>
      <c r="D4296">
        <v>66</v>
      </c>
      <c r="E4296">
        <v>1</v>
      </c>
      <c r="F4296">
        <v>1.52</v>
      </c>
      <c r="G4296">
        <v>46.49</v>
      </c>
      <c r="H4296">
        <v>3068.34</v>
      </c>
    </row>
    <row r="4297" spans="1:8" x14ac:dyDescent="0.35">
      <c r="A4297" t="s">
        <v>8</v>
      </c>
      <c r="B4297" t="s">
        <v>12</v>
      </c>
      <c r="C4297" t="s">
        <v>9</v>
      </c>
      <c r="D4297">
        <v>236</v>
      </c>
      <c r="E4297">
        <v>9</v>
      </c>
      <c r="F4297">
        <v>3.81</v>
      </c>
      <c r="G4297">
        <v>8.56</v>
      </c>
      <c r="H4297">
        <v>2020.16</v>
      </c>
    </row>
    <row r="4298" spans="1:8" x14ac:dyDescent="0.35">
      <c r="A4298" t="s">
        <v>8</v>
      </c>
      <c r="B4298" t="s">
        <v>12</v>
      </c>
      <c r="C4298" t="s">
        <v>9</v>
      </c>
      <c r="D4298">
        <v>250</v>
      </c>
      <c r="E4298">
        <v>3</v>
      </c>
      <c r="F4298">
        <v>1.2</v>
      </c>
      <c r="G4298">
        <v>54.35</v>
      </c>
      <c r="H4298">
        <v>13587.5</v>
      </c>
    </row>
    <row r="4299" spans="1:8" x14ac:dyDescent="0.35">
      <c r="A4299" t="s">
        <v>8</v>
      </c>
      <c r="B4299" t="s">
        <v>12</v>
      </c>
      <c r="C4299" t="s">
        <v>9</v>
      </c>
      <c r="D4299">
        <v>130</v>
      </c>
      <c r="E4299">
        <v>12</v>
      </c>
      <c r="F4299">
        <v>9.23</v>
      </c>
      <c r="G4299">
        <v>5.36</v>
      </c>
      <c r="H4299">
        <v>696.8</v>
      </c>
    </row>
    <row r="4300" spans="1:8" x14ac:dyDescent="0.35">
      <c r="A4300" t="s">
        <v>8</v>
      </c>
      <c r="B4300" t="s">
        <v>12</v>
      </c>
      <c r="C4300" t="s">
        <v>9</v>
      </c>
      <c r="D4300">
        <v>164</v>
      </c>
      <c r="E4300">
        <v>4</v>
      </c>
      <c r="F4300">
        <v>2.44</v>
      </c>
      <c r="G4300">
        <v>26.18</v>
      </c>
      <c r="H4300">
        <v>4293.5200000000004</v>
      </c>
    </row>
    <row r="4301" spans="1:8" x14ac:dyDescent="0.35">
      <c r="A4301" t="s">
        <v>7</v>
      </c>
      <c r="B4301" t="s">
        <v>12</v>
      </c>
      <c r="C4301" t="s">
        <v>9</v>
      </c>
      <c r="D4301">
        <v>192</v>
      </c>
      <c r="E4301">
        <v>9</v>
      </c>
      <c r="F4301">
        <v>4.6900000000000004</v>
      </c>
      <c r="G4301">
        <v>55.09</v>
      </c>
      <c r="H4301">
        <v>10577.28</v>
      </c>
    </row>
    <row r="4302" spans="1:8" x14ac:dyDescent="0.35">
      <c r="A4302" t="s">
        <v>7</v>
      </c>
      <c r="B4302" t="s">
        <v>12</v>
      </c>
      <c r="C4302" t="s">
        <v>9</v>
      </c>
      <c r="D4302">
        <v>279</v>
      </c>
      <c r="E4302">
        <v>13</v>
      </c>
      <c r="F4302">
        <v>4.66</v>
      </c>
      <c r="G4302">
        <v>49.08</v>
      </c>
      <c r="H4302">
        <v>13693.32</v>
      </c>
    </row>
    <row r="4303" spans="1:8" x14ac:dyDescent="0.35">
      <c r="A4303" t="s">
        <v>6</v>
      </c>
      <c r="B4303" t="s">
        <v>12</v>
      </c>
      <c r="C4303" t="s">
        <v>9</v>
      </c>
      <c r="D4303">
        <v>61</v>
      </c>
      <c r="E4303">
        <v>2</v>
      </c>
      <c r="F4303">
        <v>3.28</v>
      </c>
      <c r="G4303">
        <v>14.74</v>
      </c>
      <c r="H4303">
        <v>899.14</v>
      </c>
    </row>
    <row r="4304" spans="1:8" x14ac:dyDescent="0.35">
      <c r="A4304" t="s">
        <v>6</v>
      </c>
      <c r="B4304" t="s">
        <v>12</v>
      </c>
      <c r="C4304" t="s">
        <v>9</v>
      </c>
      <c r="D4304">
        <v>232</v>
      </c>
      <c r="E4304">
        <v>15</v>
      </c>
      <c r="F4304">
        <v>6.47</v>
      </c>
      <c r="G4304">
        <v>6.12</v>
      </c>
      <c r="H4304">
        <v>1419.84</v>
      </c>
    </row>
    <row r="4305" spans="1:8" x14ac:dyDescent="0.35">
      <c r="A4305" t="s">
        <v>6</v>
      </c>
      <c r="B4305" t="s">
        <v>12</v>
      </c>
      <c r="C4305" t="s">
        <v>11</v>
      </c>
      <c r="D4305">
        <v>87</v>
      </c>
      <c r="E4305">
        <v>1</v>
      </c>
      <c r="F4305">
        <v>1.1499999999999999</v>
      </c>
      <c r="G4305">
        <v>10.43</v>
      </c>
      <c r="H4305">
        <v>907.41</v>
      </c>
    </row>
    <row r="4306" spans="1:8" x14ac:dyDescent="0.35">
      <c r="A4306" t="s">
        <v>7</v>
      </c>
      <c r="B4306" t="s">
        <v>12</v>
      </c>
      <c r="C4306" t="s">
        <v>10</v>
      </c>
      <c r="D4306">
        <v>205</v>
      </c>
      <c r="E4306">
        <v>7</v>
      </c>
      <c r="F4306">
        <v>3.41</v>
      </c>
      <c r="G4306">
        <v>55.87</v>
      </c>
      <c r="H4306">
        <v>11453.35</v>
      </c>
    </row>
    <row r="4307" spans="1:8" x14ac:dyDescent="0.35">
      <c r="A4307" t="s">
        <v>6</v>
      </c>
      <c r="B4307" t="s">
        <v>12</v>
      </c>
      <c r="C4307" t="s">
        <v>11</v>
      </c>
      <c r="D4307">
        <v>202</v>
      </c>
      <c r="E4307">
        <v>20</v>
      </c>
      <c r="F4307">
        <v>9.9</v>
      </c>
      <c r="G4307">
        <v>17.559999999999999</v>
      </c>
      <c r="H4307">
        <v>3547.12</v>
      </c>
    </row>
    <row r="4308" spans="1:8" x14ac:dyDescent="0.35">
      <c r="A4308" t="s">
        <v>6</v>
      </c>
      <c r="B4308" t="s">
        <v>12</v>
      </c>
      <c r="C4308" t="s">
        <v>11</v>
      </c>
      <c r="D4308">
        <v>246</v>
      </c>
      <c r="E4308">
        <v>14</v>
      </c>
      <c r="F4308">
        <v>5.69</v>
      </c>
      <c r="G4308">
        <v>45.51</v>
      </c>
      <c r="H4308">
        <v>11195.46</v>
      </c>
    </row>
    <row r="4309" spans="1:8" x14ac:dyDescent="0.35">
      <c r="A4309" t="s">
        <v>7</v>
      </c>
      <c r="B4309" t="s">
        <v>12</v>
      </c>
      <c r="C4309" t="s">
        <v>10</v>
      </c>
      <c r="D4309">
        <v>273</v>
      </c>
      <c r="E4309">
        <v>12</v>
      </c>
      <c r="F4309">
        <v>4.4000000000000004</v>
      </c>
      <c r="G4309">
        <v>15.79</v>
      </c>
      <c r="H4309">
        <v>4310.67</v>
      </c>
    </row>
    <row r="4310" spans="1:8" x14ac:dyDescent="0.35">
      <c r="A4310" t="s">
        <v>5</v>
      </c>
      <c r="B4310" t="s">
        <v>12</v>
      </c>
      <c r="C4310" t="s">
        <v>9</v>
      </c>
      <c r="D4310">
        <v>189</v>
      </c>
      <c r="E4310">
        <v>2</v>
      </c>
      <c r="F4310">
        <v>1.06</v>
      </c>
      <c r="G4310">
        <v>33.32</v>
      </c>
      <c r="H4310">
        <v>6297.48</v>
      </c>
    </row>
    <row r="4311" spans="1:8" x14ac:dyDescent="0.35">
      <c r="A4311" t="s">
        <v>7</v>
      </c>
      <c r="B4311" t="s">
        <v>12</v>
      </c>
      <c r="C4311" t="s">
        <v>10</v>
      </c>
      <c r="D4311">
        <v>162</v>
      </c>
      <c r="E4311">
        <v>3</v>
      </c>
      <c r="F4311">
        <v>1.85</v>
      </c>
      <c r="G4311">
        <v>25.96</v>
      </c>
      <c r="H4311">
        <v>4205.5200000000004</v>
      </c>
    </row>
    <row r="4312" spans="1:8" x14ac:dyDescent="0.35">
      <c r="A4312" t="s">
        <v>8</v>
      </c>
      <c r="B4312" t="s">
        <v>12</v>
      </c>
      <c r="C4312" t="s">
        <v>9</v>
      </c>
      <c r="D4312">
        <v>269</v>
      </c>
      <c r="E4312">
        <v>23</v>
      </c>
      <c r="F4312">
        <v>8.5500000000000007</v>
      </c>
      <c r="G4312">
        <v>43.84</v>
      </c>
      <c r="H4312">
        <v>11792.96</v>
      </c>
    </row>
    <row r="4313" spans="1:8" x14ac:dyDescent="0.35">
      <c r="A4313" t="s">
        <v>6</v>
      </c>
      <c r="B4313" t="s">
        <v>12</v>
      </c>
      <c r="C4313" t="s">
        <v>11</v>
      </c>
      <c r="D4313">
        <v>129</v>
      </c>
      <c r="E4313">
        <v>2</v>
      </c>
      <c r="F4313">
        <v>1.55</v>
      </c>
      <c r="G4313">
        <v>17.7</v>
      </c>
      <c r="H4313">
        <v>2283.3000000000002</v>
      </c>
    </row>
    <row r="4314" spans="1:8" x14ac:dyDescent="0.35">
      <c r="A4314" t="s">
        <v>7</v>
      </c>
      <c r="B4314" t="s">
        <v>12</v>
      </c>
      <c r="C4314" t="s">
        <v>10</v>
      </c>
      <c r="D4314">
        <v>85</v>
      </c>
      <c r="E4314">
        <v>4</v>
      </c>
      <c r="F4314">
        <v>4.71</v>
      </c>
      <c r="G4314">
        <v>49.17</v>
      </c>
      <c r="H4314">
        <v>4179.45</v>
      </c>
    </row>
    <row r="4315" spans="1:8" x14ac:dyDescent="0.35">
      <c r="A4315" t="s">
        <v>8</v>
      </c>
      <c r="B4315" t="s">
        <v>12</v>
      </c>
      <c r="C4315" t="s">
        <v>9</v>
      </c>
      <c r="D4315">
        <v>264</v>
      </c>
      <c r="E4315">
        <v>10</v>
      </c>
      <c r="F4315">
        <v>3.79</v>
      </c>
      <c r="G4315">
        <v>23.14</v>
      </c>
      <c r="H4315">
        <v>6108.96</v>
      </c>
    </row>
    <row r="4316" spans="1:8" x14ac:dyDescent="0.35">
      <c r="A4316" t="s">
        <v>7</v>
      </c>
      <c r="B4316" t="s">
        <v>12</v>
      </c>
      <c r="C4316" t="s">
        <v>10</v>
      </c>
      <c r="D4316">
        <v>67</v>
      </c>
      <c r="E4316">
        <v>6</v>
      </c>
      <c r="F4316">
        <v>8.9600000000000009</v>
      </c>
      <c r="G4316">
        <v>27.87</v>
      </c>
      <c r="H4316">
        <v>1867.29</v>
      </c>
    </row>
    <row r="4317" spans="1:8" x14ac:dyDescent="0.35">
      <c r="A4317" t="s">
        <v>7</v>
      </c>
      <c r="B4317" t="s">
        <v>12</v>
      </c>
      <c r="C4317" t="s">
        <v>10</v>
      </c>
      <c r="D4317">
        <v>243</v>
      </c>
      <c r="E4317">
        <v>14</v>
      </c>
      <c r="F4317">
        <v>5.76</v>
      </c>
      <c r="G4317">
        <v>33.119999999999997</v>
      </c>
      <c r="H4317">
        <v>8048.16</v>
      </c>
    </row>
    <row r="4318" spans="1:8" x14ac:dyDescent="0.35">
      <c r="A4318" t="s">
        <v>7</v>
      </c>
      <c r="B4318" t="s">
        <v>12</v>
      </c>
      <c r="C4318" t="s">
        <v>9</v>
      </c>
      <c r="D4318">
        <v>82</v>
      </c>
      <c r="E4318">
        <v>5</v>
      </c>
      <c r="F4318">
        <v>6.1</v>
      </c>
      <c r="G4318">
        <v>36.869999999999997</v>
      </c>
      <c r="H4318">
        <v>3023.34</v>
      </c>
    </row>
    <row r="4319" spans="1:8" x14ac:dyDescent="0.35">
      <c r="A4319" t="s">
        <v>6</v>
      </c>
      <c r="B4319" t="s">
        <v>12</v>
      </c>
      <c r="C4319" t="s">
        <v>11</v>
      </c>
      <c r="D4319">
        <v>240</v>
      </c>
      <c r="E4319">
        <v>14</v>
      </c>
      <c r="F4319">
        <v>5.83</v>
      </c>
      <c r="G4319">
        <v>69.39</v>
      </c>
      <c r="H4319">
        <v>16653.599999999999</v>
      </c>
    </row>
    <row r="4320" spans="1:8" x14ac:dyDescent="0.35">
      <c r="A4320" t="s">
        <v>5</v>
      </c>
      <c r="B4320" t="s">
        <v>12</v>
      </c>
      <c r="C4320" t="s">
        <v>9</v>
      </c>
      <c r="D4320">
        <v>54</v>
      </c>
      <c r="E4320">
        <v>0</v>
      </c>
      <c r="F4320">
        <v>0</v>
      </c>
      <c r="G4320">
        <v>63.17</v>
      </c>
      <c r="H4320">
        <v>3411.18</v>
      </c>
    </row>
    <row r="4321" spans="1:8" x14ac:dyDescent="0.35">
      <c r="A4321" t="s">
        <v>6</v>
      </c>
      <c r="B4321" t="s">
        <v>12</v>
      </c>
      <c r="C4321" t="s">
        <v>9</v>
      </c>
      <c r="D4321">
        <v>283</v>
      </c>
      <c r="E4321">
        <v>18</v>
      </c>
      <c r="F4321">
        <v>6.36</v>
      </c>
      <c r="G4321">
        <v>69.53</v>
      </c>
      <c r="H4321">
        <v>19676.990000000002</v>
      </c>
    </row>
    <row r="4322" spans="1:8" x14ac:dyDescent="0.35">
      <c r="A4322" t="s">
        <v>7</v>
      </c>
      <c r="B4322" t="s">
        <v>12</v>
      </c>
      <c r="C4322" t="s">
        <v>10</v>
      </c>
      <c r="D4322">
        <v>67</v>
      </c>
      <c r="E4322">
        <v>3</v>
      </c>
      <c r="F4322">
        <v>4.4800000000000004</v>
      </c>
      <c r="G4322">
        <v>31.31</v>
      </c>
      <c r="H4322">
        <v>2097.77</v>
      </c>
    </row>
    <row r="4323" spans="1:8" x14ac:dyDescent="0.35">
      <c r="A4323" t="s">
        <v>7</v>
      </c>
      <c r="B4323" t="s">
        <v>12</v>
      </c>
      <c r="C4323" t="s">
        <v>9</v>
      </c>
      <c r="D4323">
        <v>69</v>
      </c>
      <c r="E4323">
        <v>6</v>
      </c>
      <c r="F4323">
        <v>8.6999999999999993</v>
      </c>
      <c r="G4323">
        <v>50.17</v>
      </c>
      <c r="H4323">
        <v>3461.73</v>
      </c>
    </row>
    <row r="4324" spans="1:8" x14ac:dyDescent="0.35">
      <c r="A4324" t="s">
        <v>6</v>
      </c>
      <c r="B4324" t="s">
        <v>12</v>
      </c>
      <c r="C4324" t="s">
        <v>9</v>
      </c>
      <c r="D4324">
        <v>267</v>
      </c>
      <c r="E4324">
        <v>4</v>
      </c>
      <c r="F4324">
        <v>1.5</v>
      </c>
      <c r="G4324">
        <v>19.52</v>
      </c>
      <c r="H4324">
        <v>5211.84</v>
      </c>
    </row>
    <row r="4325" spans="1:8" x14ac:dyDescent="0.35">
      <c r="A4325" t="s">
        <v>7</v>
      </c>
      <c r="B4325" t="s">
        <v>12</v>
      </c>
      <c r="C4325" t="s">
        <v>9</v>
      </c>
      <c r="D4325">
        <v>270</v>
      </c>
      <c r="E4325">
        <v>13</v>
      </c>
      <c r="F4325">
        <v>4.8099999999999996</v>
      </c>
      <c r="G4325">
        <v>38.270000000000003</v>
      </c>
      <c r="H4325">
        <v>10332.9</v>
      </c>
    </row>
    <row r="4326" spans="1:8" x14ac:dyDescent="0.35">
      <c r="A4326" t="s">
        <v>6</v>
      </c>
      <c r="B4326" t="s">
        <v>12</v>
      </c>
      <c r="C4326" t="s">
        <v>11</v>
      </c>
      <c r="D4326">
        <v>125</v>
      </c>
      <c r="E4326">
        <v>11</v>
      </c>
      <c r="F4326">
        <v>8.8000000000000007</v>
      </c>
      <c r="G4326">
        <v>10.19</v>
      </c>
      <c r="H4326">
        <v>1273.75</v>
      </c>
    </row>
    <row r="4327" spans="1:8" x14ac:dyDescent="0.35">
      <c r="A4327" t="s">
        <v>7</v>
      </c>
      <c r="B4327" t="s">
        <v>12</v>
      </c>
      <c r="C4327" t="s">
        <v>9</v>
      </c>
      <c r="D4327">
        <v>127</v>
      </c>
      <c r="E4327">
        <v>12</v>
      </c>
      <c r="F4327">
        <v>9.4499999999999993</v>
      </c>
      <c r="G4327">
        <v>31.83</v>
      </c>
      <c r="H4327">
        <v>4042.41</v>
      </c>
    </row>
    <row r="4328" spans="1:8" x14ac:dyDescent="0.35">
      <c r="A4328" t="s">
        <v>8</v>
      </c>
      <c r="B4328" t="s">
        <v>12</v>
      </c>
      <c r="C4328" t="s">
        <v>9</v>
      </c>
      <c r="D4328">
        <v>224</v>
      </c>
      <c r="E4328">
        <v>11</v>
      </c>
      <c r="F4328">
        <v>4.91</v>
      </c>
      <c r="G4328">
        <v>67.81</v>
      </c>
      <c r="H4328">
        <v>15189.44</v>
      </c>
    </row>
    <row r="4329" spans="1:8" x14ac:dyDescent="0.35">
      <c r="A4329" t="s">
        <v>6</v>
      </c>
      <c r="B4329" t="s">
        <v>12</v>
      </c>
      <c r="C4329" t="s">
        <v>9</v>
      </c>
      <c r="D4329">
        <v>265</v>
      </c>
      <c r="E4329">
        <v>10</v>
      </c>
      <c r="F4329">
        <v>3.77</v>
      </c>
      <c r="G4329">
        <v>52.09</v>
      </c>
      <c r="H4329">
        <v>13803.85</v>
      </c>
    </row>
    <row r="4330" spans="1:8" x14ac:dyDescent="0.35">
      <c r="A4330" t="s">
        <v>6</v>
      </c>
      <c r="B4330" t="s">
        <v>12</v>
      </c>
      <c r="C4330" t="s">
        <v>11</v>
      </c>
      <c r="D4330">
        <v>201</v>
      </c>
      <c r="E4330">
        <v>7</v>
      </c>
      <c r="F4330">
        <v>3.48</v>
      </c>
      <c r="G4330">
        <v>44.93</v>
      </c>
      <c r="H4330">
        <v>9030.93</v>
      </c>
    </row>
    <row r="4331" spans="1:8" x14ac:dyDescent="0.35">
      <c r="A4331" t="s">
        <v>8</v>
      </c>
      <c r="B4331" t="s">
        <v>12</v>
      </c>
      <c r="C4331" t="s">
        <v>9</v>
      </c>
      <c r="D4331">
        <v>65</v>
      </c>
      <c r="E4331">
        <v>5</v>
      </c>
      <c r="F4331">
        <v>7.69</v>
      </c>
      <c r="G4331">
        <v>29.42</v>
      </c>
      <c r="H4331">
        <v>1912.3</v>
      </c>
    </row>
    <row r="4332" spans="1:8" x14ac:dyDescent="0.35">
      <c r="A4332" t="s">
        <v>5</v>
      </c>
      <c r="B4332" t="s">
        <v>12</v>
      </c>
      <c r="C4332" t="s">
        <v>9</v>
      </c>
      <c r="D4332">
        <v>189</v>
      </c>
      <c r="E4332">
        <v>16</v>
      </c>
      <c r="F4332">
        <v>8.4700000000000006</v>
      </c>
      <c r="G4332">
        <v>35.06</v>
      </c>
      <c r="H4332">
        <v>6626.34</v>
      </c>
    </row>
    <row r="4333" spans="1:8" x14ac:dyDescent="0.35">
      <c r="A4333" t="s">
        <v>6</v>
      </c>
      <c r="B4333" t="s">
        <v>12</v>
      </c>
      <c r="C4333" t="s">
        <v>9</v>
      </c>
      <c r="D4333">
        <v>181</v>
      </c>
      <c r="E4333">
        <v>0</v>
      </c>
      <c r="F4333">
        <v>0</v>
      </c>
      <c r="G4333">
        <v>5.8</v>
      </c>
      <c r="H4333">
        <v>1049.8</v>
      </c>
    </row>
    <row r="4334" spans="1:8" x14ac:dyDescent="0.35">
      <c r="A4334" t="s">
        <v>8</v>
      </c>
      <c r="B4334" t="s">
        <v>12</v>
      </c>
      <c r="C4334" t="s">
        <v>9</v>
      </c>
      <c r="D4334">
        <v>132</v>
      </c>
      <c r="E4334">
        <v>8</v>
      </c>
      <c r="F4334">
        <v>6.06</v>
      </c>
      <c r="G4334">
        <v>24.52</v>
      </c>
      <c r="H4334">
        <v>3236.64</v>
      </c>
    </row>
    <row r="4335" spans="1:8" x14ac:dyDescent="0.35">
      <c r="A4335" t="s">
        <v>6</v>
      </c>
      <c r="B4335" t="s">
        <v>12</v>
      </c>
      <c r="C4335" t="s">
        <v>9</v>
      </c>
      <c r="D4335">
        <v>122</v>
      </c>
      <c r="E4335">
        <v>1</v>
      </c>
      <c r="F4335">
        <v>0.82</v>
      </c>
      <c r="G4335">
        <v>57.47</v>
      </c>
      <c r="H4335">
        <v>7011.34</v>
      </c>
    </row>
    <row r="4336" spans="1:8" x14ac:dyDescent="0.35">
      <c r="A4336" t="s">
        <v>6</v>
      </c>
      <c r="B4336" t="s">
        <v>12</v>
      </c>
      <c r="C4336" t="s">
        <v>11</v>
      </c>
      <c r="D4336">
        <v>286</v>
      </c>
      <c r="E4336">
        <v>28</v>
      </c>
      <c r="F4336">
        <v>9.7899999999999991</v>
      </c>
      <c r="G4336">
        <v>60.41</v>
      </c>
      <c r="H4336">
        <v>17277.259999999998</v>
      </c>
    </row>
    <row r="4337" spans="1:8" x14ac:dyDescent="0.35">
      <c r="A4337" t="s">
        <v>7</v>
      </c>
      <c r="B4337" t="s">
        <v>12</v>
      </c>
      <c r="C4337" t="s">
        <v>10</v>
      </c>
      <c r="D4337">
        <v>127</v>
      </c>
      <c r="E4337">
        <v>10</v>
      </c>
      <c r="F4337">
        <v>7.87</v>
      </c>
      <c r="G4337">
        <v>16.37</v>
      </c>
      <c r="H4337">
        <v>2078.9899999999998</v>
      </c>
    </row>
    <row r="4338" spans="1:8" x14ac:dyDescent="0.35">
      <c r="A4338" t="s">
        <v>6</v>
      </c>
      <c r="B4338" t="s">
        <v>12</v>
      </c>
      <c r="C4338" t="s">
        <v>11</v>
      </c>
      <c r="D4338">
        <v>300</v>
      </c>
      <c r="E4338">
        <v>16</v>
      </c>
      <c r="F4338">
        <v>5.33</v>
      </c>
      <c r="G4338">
        <v>40.53</v>
      </c>
      <c r="H4338">
        <v>12159</v>
      </c>
    </row>
    <row r="4339" spans="1:8" x14ac:dyDescent="0.35">
      <c r="A4339" t="s">
        <v>7</v>
      </c>
      <c r="B4339" t="s">
        <v>12</v>
      </c>
      <c r="C4339" t="s">
        <v>9</v>
      </c>
      <c r="D4339">
        <v>128</v>
      </c>
      <c r="E4339">
        <v>4</v>
      </c>
      <c r="F4339">
        <v>3.12</v>
      </c>
      <c r="G4339">
        <v>58.83</v>
      </c>
      <c r="H4339">
        <v>7530.24</v>
      </c>
    </row>
    <row r="4340" spans="1:8" x14ac:dyDescent="0.35">
      <c r="A4340" t="s">
        <v>6</v>
      </c>
      <c r="B4340" t="s">
        <v>12</v>
      </c>
      <c r="C4340" t="s">
        <v>9</v>
      </c>
      <c r="D4340">
        <v>174</v>
      </c>
      <c r="E4340">
        <v>10</v>
      </c>
      <c r="F4340">
        <v>5.75</v>
      </c>
      <c r="G4340">
        <v>44.18</v>
      </c>
      <c r="H4340">
        <v>7687.32</v>
      </c>
    </row>
    <row r="4341" spans="1:8" x14ac:dyDescent="0.35">
      <c r="A4341" t="s">
        <v>7</v>
      </c>
      <c r="B4341" t="s">
        <v>12</v>
      </c>
      <c r="C4341" t="s">
        <v>9</v>
      </c>
      <c r="D4341">
        <v>214</v>
      </c>
      <c r="E4341">
        <v>14</v>
      </c>
      <c r="F4341">
        <v>6.54</v>
      </c>
      <c r="G4341">
        <v>53.59</v>
      </c>
      <c r="H4341">
        <v>11468.26</v>
      </c>
    </row>
    <row r="4342" spans="1:8" x14ac:dyDescent="0.35">
      <c r="A4342" t="s">
        <v>6</v>
      </c>
      <c r="B4342" t="s">
        <v>12</v>
      </c>
      <c r="C4342" t="s">
        <v>9</v>
      </c>
      <c r="D4342">
        <v>105</v>
      </c>
      <c r="E4342">
        <v>3</v>
      </c>
      <c r="F4342">
        <v>2.86</v>
      </c>
      <c r="G4342">
        <v>18.22</v>
      </c>
      <c r="H4342">
        <v>1913.1</v>
      </c>
    </row>
    <row r="4343" spans="1:8" x14ac:dyDescent="0.35">
      <c r="A4343" t="s">
        <v>7</v>
      </c>
      <c r="B4343" t="s">
        <v>12</v>
      </c>
      <c r="C4343" t="s">
        <v>9</v>
      </c>
      <c r="D4343">
        <v>172</v>
      </c>
      <c r="E4343">
        <v>4</v>
      </c>
      <c r="F4343">
        <v>2.33</v>
      </c>
      <c r="G4343">
        <v>32.44</v>
      </c>
      <c r="H4343">
        <v>5579.68</v>
      </c>
    </row>
    <row r="4344" spans="1:8" x14ac:dyDescent="0.35">
      <c r="A4344" t="s">
        <v>6</v>
      </c>
      <c r="B4344" t="s">
        <v>12</v>
      </c>
      <c r="C4344" t="s">
        <v>11</v>
      </c>
      <c r="D4344">
        <v>128</v>
      </c>
      <c r="E4344">
        <v>3</v>
      </c>
      <c r="F4344">
        <v>2.34</v>
      </c>
      <c r="G4344">
        <v>23.59</v>
      </c>
      <c r="H4344">
        <v>3019.52</v>
      </c>
    </row>
    <row r="4345" spans="1:8" x14ac:dyDescent="0.35">
      <c r="A4345" t="s">
        <v>6</v>
      </c>
      <c r="B4345" t="s">
        <v>12</v>
      </c>
      <c r="C4345" t="s">
        <v>11</v>
      </c>
      <c r="D4345">
        <v>67</v>
      </c>
      <c r="E4345">
        <v>0</v>
      </c>
      <c r="F4345">
        <v>0</v>
      </c>
      <c r="G4345">
        <v>19.97</v>
      </c>
      <c r="H4345">
        <v>1337.99</v>
      </c>
    </row>
    <row r="4346" spans="1:8" x14ac:dyDescent="0.35">
      <c r="A4346" t="s">
        <v>5</v>
      </c>
      <c r="B4346" t="s">
        <v>12</v>
      </c>
      <c r="C4346" t="s">
        <v>9</v>
      </c>
      <c r="D4346">
        <v>133</v>
      </c>
      <c r="E4346">
        <v>5</v>
      </c>
      <c r="F4346">
        <v>3.76</v>
      </c>
      <c r="G4346">
        <v>41.67</v>
      </c>
      <c r="H4346">
        <v>5542.11</v>
      </c>
    </row>
    <row r="4347" spans="1:8" x14ac:dyDescent="0.35">
      <c r="A4347" t="s">
        <v>6</v>
      </c>
      <c r="B4347" t="s">
        <v>12</v>
      </c>
      <c r="C4347" t="s">
        <v>11</v>
      </c>
      <c r="D4347">
        <v>159</v>
      </c>
      <c r="E4347">
        <v>0</v>
      </c>
      <c r="F4347">
        <v>0</v>
      </c>
      <c r="G4347">
        <v>37.35</v>
      </c>
      <c r="H4347">
        <v>5938.65</v>
      </c>
    </row>
    <row r="4348" spans="1:8" x14ac:dyDescent="0.35">
      <c r="A4348" t="s">
        <v>6</v>
      </c>
      <c r="B4348" t="s">
        <v>12</v>
      </c>
      <c r="C4348" t="s">
        <v>9</v>
      </c>
      <c r="D4348">
        <v>291</v>
      </c>
      <c r="E4348">
        <v>13</v>
      </c>
      <c r="F4348">
        <v>4.47</v>
      </c>
      <c r="G4348">
        <v>50.87</v>
      </c>
      <c r="H4348">
        <v>14803.17</v>
      </c>
    </row>
    <row r="4349" spans="1:8" x14ac:dyDescent="0.35">
      <c r="A4349" t="s">
        <v>6</v>
      </c>
      <c r="B4349" t="s">
        <v>12</v>
      </c>
      <c r="C4349" t="s">
        <v>11</v>
      </c>
      <c r="D4349">
        <v>163</v>
      </c>
      <c r="E4349">
        <v>7</v>
      </c>
      <c r="F4349">
        <v>4.29</v>
      </c>
      <c r="G4349">
        <v>62.45</v>
      </c>
      <c r="H4349">
        <v>10179.35</v>
      </c>
    </row>
    <row r="4350" spans="1:8" x14ac:dyDescent="0.35">
      <c r="A4350" t="s">
        <v>7</v>
      </c>
      <c r="B4350" t="s">
        <v>12</v>
      </c>
      <c r="C4350" t="s">
        <v>9</v>
      </c>
      <c r="D4350">
        <v>50</v>
      </c>
      <c r="E4350">
        <v>1</v>
      </c>
      <c r="F4350">
        <v>2</v>
      </c>
      <c r="G4350">
        <v>10.52</v>
      </c>
      <c r="H4350">
        <v>526</v>
      </c>
    </row>
    <row r="4351" spans="1:8" x14ac:dyDescent="0.35">
      <c r="A4351" t="s">
        <v>6</v>
      </c>
      <c r="B4351" t="s">
        <v>12</v>
      </c>
      <c r="C4351" t="s">
        <v>11</v>
      </c>
      <c r="D4351">
        <v>128</v>
      </c>
      <c r="E4351">
        <v>0</v>
      </c>
      <c r="F4351">
        <v>0</v>
      </c>
      <c r="G4351">
        <v>61.29</v>
      </c>
      <c r="H4351">
        <v>7845.12</v>
      </c>
    </row>
    <row r="4352" spans="1:8" x14ac:dyDescent="0.35">
      <c r="A4352" t="s">
        <v>5</v>
      </c>
      <c r="B4352" t="s">
        <v>12</v>
      </c>
      <c r="C4352" t="s">
        <v>9</v>
      </c>
      <c r="D4352">
        <v>264</v>
      </c>
      <c r="E4352">
        <v>14</v>
      </c>
      <c r="F4352">
        <v>5.3</v>
      </c>
      <c r="G4352">
        <v>45.94</v>
      </c>
      <c r="H4352">
        <v>12128.16</v>
      </c>
    </row>
    <row r="4353" spans="1:8" x14ac:dyDescent="0.35">
      <c r="A4353" t="s">
        <v>6</v>
      </c>
      <c r="B4353" t="s">
        <v>12</v>
      </c>
      <c r="C4353" t="s">
        <v>11</v>
      </c>
      <c r="D4353">
        <v>121</v>
      </c>
      <c r="E4353">
        <v>3</v>
      </c>
      <c r="F4353">
        <v>2.48</v>
      </c>
      <c r="G4353">
        <v>32.28</v>
      </c>
      <c r="H4353">
        <v>3905.88</v>
      </c>
    </row>
    <row r="4354" spans="1:8" x14ac:dyDescent="0.35">
      <c r="A4354" t="s">
        <v>6</v>
      </c>
      <c r="B4354" t="s">
        <v>12</v>
      </c>
      <c r="C4354" t="s">
        <v>9</v>
      </c>
      <c r="D4354">
        <v>121</v>
      </c>
      <c r="E4354">
        <v>9</v>
      </c>
      <c r="F4354">
        <v>7.44</v>
      </c>
      <c r="G4354">
        <v>28.69</v>
      </c>
      <c r="H4354">
        <v>3471.49</v>
      </c>
    </row>
    <row r="4355" spans="1:8" x14ac:dyDescent="0.35">
      <c r="A4355" t="s">
        <v>8</v>
      </c>
      <c r="B4355" t="s">
        <v>12</v>
      </c>
      <c r="C4355" t="s">
        <v>9</v>
      </c>
      <c r="D4355">
        <v>131</v>
      </c>
      <c r="E4355">
        <v>9</v>
      </c>
      <c r="F4355">
        <v>6.87</v>
      </c>
      <c r="G4355">
        <v>57.2</v>
      </c>
      <c r="H4355">
        <v>7493.2</v>
      </c>
    </row>
    <row r="4356" spans="1:8" x14ac:dyDescent="0.35">
      <c r="A4356" t="s">
        <v>7</v>
      </c>
      <c r="B4356" t="s">
        <v>12</v>
      </c>
      <c r="C4356" t="s">
        <v>9</v>
      </c>
      <c r="D4356">
        <v>107</v>
      </c>
      <c r="E4356">
        <v>2</v>
      </c>
      <c r="F4356">
        <v>1.87</v>
      </c>
      <c r="G4356">
        <v>10.44</v>
      </c>
      <c r="H4356">
        <v>1117.08</v>
      </c>
    </row>
    <row r="4357" spans="1:8" x14ac:dyDescent="0.35">
      <c r="A4357" t="s">
        <v>8</v>
      </c>
      <c r="B4357" t="s">
        <v>12</v>
      </c>
      <c r="C4357" t="s">
        <v>9</v>
      </c>
      <c r="D4357">
        <v>102</v>
      </c>
      <c r="E4357">
        <v>9</v>
      </c>
      <c r="F4357">
        <v>8.82</v>
      </c>
      <c r="G4357">
        <v>38.22</v>
      </c>
      <c r="H4357">
        <v>3898.44</v>
      </c>
    </row>
    <row r="4358" spans="1:8" x14ac:dyDescent="0.35">
      <c r="A4358" t="s">
        <v>5</v>
      </c>
      <c r="B4358" t="s">
        <v>12</v>
      </c>
      <c r="C4358" t="s">
        <v>9</v>
      </c>
      <c r="D4358">
        <v>264</v>
      </c>
      <c r="E4358">
        <v>5</v>
      </c>
      <c r="F4358">
        <v>1.89</v>
      </c>
      <c r="G4358">
        <v>60.17</v>
      </c>
      <c r="H4358">
        <v>15884.88</v>
      </c>
    </row>
    <row r="4359" spans="1:8" x14ac:dyDescent="0.35">
      <c r="A4359" t="s">
        <v>6</v>
      </c>
      <c r="B4359" t="s">
        <v>12</v>
      </c>
      <c r="C4359" t="s">
        <v>9</v>
      </c>
      <c r="D4359">
        <v>91</v>
      </c>
      <c r="E4359">
        <v>5</v>
      </c>
      <c r="F4359">
        <v>5.49</v>
      </c>
      <c r="G4359">
        <v>23.35</v>
      </c>
      <c r="H4359">
        <v>2124.85</v>
      </c>
    </row>
    <row r="4360" spans="1:8" x14ac:dyDescent="0.35">
      <c r="A4360" t="s">
        <v>6</v>
      </c>
      <c r="B4360" t="s">
        <v>12</v>
      </c>
      <c r="C4360" t="s">
        <v>11</v>
      </c>
      <c r="D4360">
        <v>188</v>
      </c>
      <c r="E4360">
        <v>9</v>
      </c>
      <c r="F4360">
        <v>4.79</v>
      </c>
      <c r="G4360">
        <v>38.049999999999997</v>
      </c>
      <c r="H4360">
        <v>7153.4</v>
      </c>
    </row>
    <row r="4361" spans="1:8" x14ac:dyDescent="0.35">
      <c r="A4361" t="s">
        <v>7</v>
      </c>
      <c r="B4361" t="s">
        <v>12</v>
      </c>
      <c r="C4361" t="s">
        <v>10</v>
      </c>
      <c r="D4361">
        <v>285</v>
      </c>
      <c r="E4361">
        <v>23</v>
      </c>
      <c r="F4361">
        <v>8.07</v>
      </c>
      <c r="G4361">
        <v>6.14</v>
      </c>
      <c r="H4361">
        <v>1749.9</v>
      </c>
    </row>
    <row r="4362" spans="1:8" x14ac:dyDescent="0.35">
      <c r="A4362" t="s">
        <v>6</v>
      </c>
      <c r="B4362" t="s">
        <v>12</v>
      </c>
      <c r="C4362" t="s">
        <v>11</v>
      </c>
      <c r="D4362">
        <v>57</v>
      </c>
      <c r="E4362">
        <v>0</v>
      </c>
      <c r="F4362">
        <v>0</v>
      </c>
      <c r="G4362">
        <v>37.78</v>
      </c>
      <c r="H4362">
        <v>2153.46</v>
      </c>
    </row>
    <row r="4363" spans="1:8" x14ac:dyDescent="0.35">
      <c r="A4363" t="s">
        <v>8</v>
      </c>
      <c r="B4363" t="s">
        <v>12</v>
      </c>
      <c r="C4363" t="s">
        <v>9</v>
      </c>
      <c r="D4363">
        <v>287</v>
      </c>
      <c r="E4363">
        <v>24</v>
      </c>
      <c r="F4363">
        <v>8.36</v>
      </c>
      <c r="G4363">
        <v>23.01</v>
      </c>
      <c r="H4363">
        <v>6603.87</v>
      </c>
    </row>
    <row r="4364" spans="1:8" x14ac:dyDescent="0.35">
      <c r="A4364" t="s">
        <v>5</v>
      </c>
      <c r="B4364" t="s">
        <v>12</v>
      </c>
      <c r="C4364" t="s">
        <v>9</v>
      </c>
      <c r="D4364">
        <v>253</v>
      </c>
      <c r="E4364">
        <v>14</v>
      </c>
      <c r="F4364">
        <v>5.53</v>
      </c>
      <c r="G4364">
        <v>55.05</v>
      </c>
      <c r="H4364">
        <v>13927.65</v>
      </c>
    </row>
    <row r="4365" spans="1:8" x14ac:dyDescent="0.35">
      <c r="A4365" t="s">
        <v>5</v>
      </c>
      <c r="B4365" t="s">
        <v>12</v>
      </c>
      <c r="C4365" t="s">
        <v>9</v>
      </c>
      <c r="D4365">
        <v>287</v>
      </c>
      <c r="E4365">
        <v>4</v>
      </c>
      <c r="F4365">
        <v>1.39</v>
      </c>
      <c r="G4365">
        <v>59.51</v>
      </c>
      <c r="H4365">
        <v>17079.37</v>
      </c>
    </row>
    <row r="4366" spans="1:8" x14ac:dyDescent="0.35">
      <c r="A4366" t="s">
        <v>8</v>
      </c>
      <c r="B4366" t="s">
        <v>12</v>
      </c>
      <c r="C4366" t="s">
        <v>9</v>
      </c>
      <c r="D4366">
        <v>268</v>
      </c>
      <c r="E4366">
        <v>15</v>
      </c>
      <c r="F4366">
        <v>5.6</v>
      </c>
      <c r="G4366">
        <v>50.77</v>
      </c>
      <c r="H4366">
        <v>13606.36</v>
      </c>
    </row>
    <row r="4367" spans="1:8" x14ac:dyDescent="0.35">
      <c r="A4367" t="s">
        <v>8</v>
      </c>
      <c r="B4367" t="s">
        <v>12</v>
      </c>
      <c r="C4367" t="s">
        <v>9</v>
      </c>
      <c r="D4367">
        <v>130</v>
      </c>
      <c r="E4367">
        <v>7</v>
      </c>
      <c r="F4367">
        <v>5.38</v>
      </c>
      <c r="G4367">
        <v>24.69</v>
      </c>
      <c r="H4367">
        <v>3209.7</v>
      </c>
    </row>
    <row r="4368" spans="1:8" x14ac:dyDescent="0.35">
      <c r="A4368" t="s">
        <v>7</v>
      </c>
      <c r="B4368" t="s">
        <v>12</v>
      </c>
      <c r="C4368" t="s">
        <v>10</v>
      </c>
      <c r="D4368">
        <v>57</v>
      </c>
      <c r="E4368">
        <v>4</v>
      </c>
      <c r="F4368">
        <v>7.02</v>
      </c>
      <c r="G4368">
        <v>52.96</v>
      </c>
      <c r="H4368">
        <v>3018.72</v>
      </c>
    </row>
    <row r="4369" spans="1:8" x14ac:dyDescent="0.35">
      <c r="A4369" t="s">
        <v>6</v>
      </c>
      <c r="B4369" t="s">
        <v>12</v>
      </c>
      <c r="C4369" t="s">
        <v>11</v>
      </c>
      <c r="D4369">
        <v>62</v>
      </c>
      <c r="E4369">
        <v>6</v>
      </c>
      <c r="F4369">
        <v>9.68</v>
      </c>
      <c r="G4369">
        <v>33.5</v>
      </c>
      <c r="H4369">
        <v>2077</v>
      </c>
    </row>
    <row r="4370" spans="1:8" x14ac:dyDescent="0.35">
      <c r="A4370" t="s">
        <v>6</v>
      </c>
      <c r="B4370" t="s">
        <v>12</v>
      </c>
      <c r="C4370" t="s">
        <v>9</v>
      </c>
      <c r="D4370">
        <v>107</v>
      </c>
      <c r="E4370">
        <v>2</v>
      </c>
      <c r="F4370">
        <v>1.87</v>
      </c>
      <c r="G4370">
        <v>56.21</v>
      </c>
      <c r="H4370">
        <v>6014.47</v>
      </c>
    </row>
    <row r="4371" spans="1:8" x14ac:dyDescent="0.35">
      <c r="A4371" t="s">
        <v>5</v>
      </c>
      <c r="B4371" t="s">
        <v>12</v>
      </c>
      <c r="C4371" t="s">
        <v>9</v>
      </c>
      <c r="D4371">
        <v>118</v>
      </c>
      <c r="E4371">
        <v>10</v>
      </c>
      <c r="F4371">
        <v>8.4700000000000006</v>
      </c>
      <c r="G4371">
        <v>65.25</v>
      </c>
      <c r="H4371">
        <v>7699.5</v>
      </c>
    </row>
    <row r="4372" spans="1:8" x14ac:dyDescent="0.35">
      <c r="A4372" t="s">
        <v>6</v>
      </c>
      <c r="B4372" t="s">
        <v>12</v>
      </c>
      <c r="C4372" t="s">
        <v>9</v>
      </c>
      <c r="D4372">
        <v>289</v>
      </c>
      <c r="E4372">
        <v>27</v>
      </c>
      <c r="F4372">
        <v>9.34</v>
      </c>
      <c r="G4372">
        <v>9.2899999999999991</v>
      </c>
      <c r="H4372">
        <v>2684.81</v>
      </c>
    </row>
    <row r="4373" spans="1:8" x14ac:dyDescent="0.35">
      <c r="A4373" t="s">
        <v>7</v>
      </c>
      <c r="B4373" t="s">
        <v>12</v>
      </c>
      <c r="C4373" t="s">
        <v>9</v>
      </c>
      <c r="D4373">
        <v>286</v>
      </c>
      <c r="E4373">
        <v>22</v>
      </c>
      <c r="F4373">
        <v>7.69</v>
      </c>
      <c r="G4373">
        <v>54.74</v>
      </c>
      <c r="H4373">
        <v>15655.64</v>
      </c>
    </row>
    <row r="4374" spans="1:8" x14ac:dyDescent="0.35">
      <c r="A4374" t="s">
        <v>8</v>
      </c>
      <c r="B4374" t="s">
        <v>12</v>
      </c>
      <c r="C4374" t="s">
        <v>9</v>
      </c>
      <c r="D4374">
        <v>288</v>
      </c>
      <c r="E4374">
        <v>25</v>
      </c>
      <c r="F4374">
        <v>8.68</v>
      </c>
      <c r="G4374">
        <v>20.9</v>
      </c>
      <c r="H4374">
        <v>6019.2</v>
      </c>
    </row>
    <row r="4375" spans="1:8" x14ac:dyDescent="0.35">
      <c r="A4375" t="s">
        <v>6</v>
      </c>
      <c r="B4375" t="s">
        <v>12</v>
      </c>
      <c r="C4375" t="s">
        <v>11</v>
      </c>
      <c r="D4375">
        <v>50</v>
      </c>
      <c r="E4375">
        <v>2</v>
      </c>
      <c r="F4375">
        <v>4</v>
      </c>
      <c r="G4375">
        <v>30.21</v>
      </c>
      <c r="H4375">
        <v>1510.5</v>
      </c>
    </row>
    <row r="4376" spans="1:8" x14ac:dyDescent="0.35">
      <c r="A4376" t="s">
        <v>6</v>
      </c>
      <c r="B4376" t="s">
        <v>12</v>
      </c>
      <c r="C4376" t="s">
        <v>9</v>
      </c>
      <c r="D4376">
        <v>105</v>
      </c>
      <c r="E4376">
        <v>2</v>
      </c>
      <c r="F4376">
        <v>1.9</v>
      </c>
      <c r="G4376">
        <v>30.93</v>
      </c>
      <c r="H4376">
        <v>3247.65</v>
      </c>
    </row>
    <row r="4377" spans="1:8" x14ac:dyDescent="0.35">
      <c r="A4377" t="s">
        <v>5</v>
      </c>
      <c r="B4377" t="s">
        <v>12</v>
      </c>
      <c r="C4377" t="s">
        <v>9</v>
      </c>
      <c r="D4377">
        <v>139</v>
      </c>
      <c r="E4377">
        <v>0</v>
      </c>
      <c r="F4377">
        <v>0</v>
      </c>
      <c r="G4377">
        <v>62.93</v>
      </c>
      <c r="H4377">
        <v>8747.27</v>
      </c>
    </row>
    <row r="4378" spans="1:8" x14ac:dyDescent="0.35">
      <c r="A4378" t="s">
        <v>7</v>
      </c>
      <c r="B4378" t="s">
        <v>12</v>
      </c>
      <c r="C4378" t="s">
        <v>10</v>
      </c>
      <c r="D4378">
        <v>65</v>
      </c>
      <c r="E4378">
        <v>4</v>
      </c>
      <c r="F4378">
        <v>6.15</v>
      </c>
      <c r="G4378">
        <v>5.55</v>
      </c>
      <c r="H4378">
        <v>360.75</v>
      </c>
    </row>
    <row r="4379" spans="1:8" x14ac:dyDescent="0.35">
      <c r="A4379" t="s">
        <v>8</v>
      </c>
      <c r="B4379" t="s">
        <v>12</v>
      </c>
      <c r="C4379" t="s">
        <v>9</v>
      </c>
      <c r="D4379">
        <v>251</v>
      </c>
      <c r="E4379">
        <v>0</v>
      </c>
      <c r="F4379">
        <v>0</v>
      </c>
      <c r="G4379">
        <v>12.2</v>
      </c>
      <c r="H4379">
        <v>3062.2</v>
      </c>
    </row>
    <row r="4380" spans="1:8" x14ac:dyDescent="0.35">
      <c r="A4380" t="s">
        <v>7</v>
      </c>
      <c r="B4380" t="s">
        <v>12</v>
      </c>
      <c r="C4380" t="s">
        <v>9</v>
      </c>
      <c r="D4380">
        <v>105</v>
      </c>
      <c r="E4380">
        <v>4</v>
      </c>
      <c r="F4380">
        <v>3.81</v>
      </c>
      <c r="G4380">
        <v>56.6</v>
      </c>
      <c r="H4380">
        <v>5943</v>
      </c>
    </row>
    <row r="4381" spans="1:8" x14ac:dyDescent="0.35">
      <c r="A4381" t="s">
        <v>7</v>
      </c>
      <c r="B4381" t="s">
        <v>12</v>
      </c>
      <c r="C4381" t="s">
        <v>9</v>
      </c>
      <c r="D4381">
        <v>222</v>
      </c>
      <c r="E4381">
        <v>3</v>
      </c>
      <c r="F4381">
        <v>1.35</v>
      </c>
      <c r="G4381">
        <v>41.42</v>
      </c>
      <c r="H4381">
        <v>9195.24</v>
      </c>
    </row>
    <row r="4382" spans="1:8" x14ac:dyDescent="0.35">
      <c r="A4382" t="s">
        <v>7</v>
      </c>
      <c r="B4382" t="s">
        <v>12</v>
      </c>
      <c r="C4382" t="s">
        <v>10</v>
      </c>
      <c r="D4382">
        <v>255</v>
      </c>
      <c r="E4382">
        <v>18</v>
      </c>
      <c r="F4382">
        <v>7.06</v>
      </c>
      <c r="G4382">
        <v>58.67</v>
      </c>
      <c r="H4382">
        <v>14960.85</v>
      </c>
    </row>
    <row r="4383" spans="1:8" x14ac:dyDescent="0.35">
      <c r="A4383" t="s">
        <v>7</v>
      </c>
      <c r="B4383" t="s">
        <v>12</v>
      </c>
      <c r="C4383" t="s">
        <v>10</v>
      </c>
      <c r="D4383">
        <v>115</v>
      </c>
      <c r="E4383">
        <v>1</v>
      </c>
      <c r="F4383">
        <v>0.87</v>
      </c>
      <c r="G4383">
        <v>52.95</v>
      </c>
      <c r="H4383">
        <v>6089.25</v>
      </c>
    </row>
    <row r="4384" spans="1:8" x14ac:dyDescent="0.35">
      <c r="A4384" t="s">
        <v>8</v>
      </c>
      <c r="B4384" t="s">
        <v>12</v>
      </c>
      <c r="C4384" t="s">
        <v>9</v>
      </c>
      <c r="D4384">
        <v>176</v>
      </c>
      <c r="E4384">
        <v>9</v>
      </c>
      <c r="F4384">
        <v>5.1100000000000003</v>
      </c>
      <c r="G4384">
        <v>32.19</v>
      </c>
      <c r="H4384">
        <v>5665.44</v>
      </c>
    </row>
    <row r="4385" spans="1:8" x14ac:dyDescent="0.35">
      <c r="A4385" t="s">
        <v>7</v>
      </c>
      <c r="B4385" t="s">
        <v>12</v>
      </c>
      <c r="C4385" t="s">
        <v>9</v>
      </c>
      <c r="D4385">
        <v>68</v>
      </c>
      <c r="E4385">
        <v>6</v>
      </c>
      <c r="F4385">
        <v>8.82</v>
      </c>
      <c r="G4385">
        <v>61.55</v>
      </c>
      <c r="H4385">
        <v>4185.3999999999996</v>
      </c>
    </row>
    <row r="4386" spans="1:8" x14ac:dyDescent="0.35">
      <c r="A4386" t="s">
        <v>7</v>
      </c>
      <c r="B4386" t="s">
        <v>12</v>
      </c>
      <c r="C4386" t="s">
        <v>10</v>
      </c>
      <c r="D4386">
        <v>64</v>
      </c>
      <c r="E4386">
        <v>5</v>
      </c>
      <c r="F4386">
        <v>7.81</v>
      </c>
      <c r="G4386">
        <v>55.84</v>
      </c>
      <c r="H4386">
        <v>3573.76</v>
      </c>
    </row>
    <row r="4387" spans="1:8" x14ac:dyDescent="0.35">
      <c r="A4387" t="s">
        <v>7</v>
      </c>
      <c r="B4387" t="s">
        <v>12</v>
      </c>
      <c r="C4387" t="s">
        <v>10</v>
      </c>
      <c r="D4387">
        <v>66</v>
      </c>
      <c r="E4387">
        <v>5</v>
      </c>
      <c r="F4387">
        <v>7.58</v>
      </c>
      <c r="G4387">
        <v>13.47</v>
      </c>
      <c r="H4387">
        <v>889.02</v>
      </c>
    </row>
    <row r="4388" spans="1:8" x14ac:dyDescent="0.35">
      <c r="A4388" t="s">
        <v>6</v>
      </c>
      <c r="B4388" t="s">
        <v>12</v>
      </c>
      <c r="C4388" t="s">
        <v>11</v>
      </c>
      <c r="D4388">
        <v>163</v>
      </c>
      <c r="E4388">
        <v>12</v>
      </c>
      <c r="F4388">
        <v>7.36</v>
      </c>
      <c r="G4388">
        <v>27.41</v>
      </c>
      <c r="H4388">
        <v>4467.83</v>
      </c>
    </row>
    <row r="4389" spans="1:8" x14ac:dyDescent="0.35">
      <c r="A4389" t="s">
        <v>7</v>
      </c>
      <c r="B4389" t="s">
        <v>12</v>
      </c>
      <c r="C4389" t="s">
        <v>10</v>
      </c>
      <c r="D4389">
        <v>256</v>
      </c>
      <c r="E4389">
        <v>3</v>
      </c>
      <c r="F4389">
        <v>1.17</v>
      </c>
      <c r="G4389">
        <v>37.18</v>
      </c>
      <c r="H4389">
        <v>9518.08</v>
      </c>
    </row>
    <row r="4390" spans="1:8" x14ac:dyDescent="0.35">
      <c r="A4390" t="s">
        <v>5</v>
      </c>
      <c r="B4390" t="s">
        <v>12</v>
      </c>
      <c r="C4390" t="s">
        <v>9</v>
      </c>
      <c r="D4390">
        <v>129</v>
      </c>
      <c r="E4390">
        <v>10</v>
      </c>
      <c r="F4390">
        <v>7.75</v>
      </c>
      <c r="G4390">
        <v>46.91</v>
      </c>
      <c r="H4390">
        <v>6051.39</v>
      </c>
    </row>
    <row r="4391" spans="1:8" x14ac:dyDescent="0.35">
      <c r="A4391" t="s">
        <v>5</v>
      </c>
      <c r="B4391" t="s">
        <v>12</v>
      </c>
      <c r="C4391" t="s">
        <v>9</v>
      </c>
      <c r="D4391">
        <v>85</v>
      </c>
      <c r="E4391">
        <v>8</v>
      </c>
      <c r="F4391">
        <v>9.41</v>
      </c>
      <c r="G4391">
        <v>12.52</v>
      </c>
      <c r="H4391">
        <v>1064.2</v>
      </c>
    </row>
    <row r="4392" spans="1:8" x14ac:dyDescent="0.35">
      <c r="A4392" t="s">
        <v>5</v>
      </c>
      <c r="B4392" t="s">
        <v>12</v>
      </c>
      <c r="C4392" t="s">
        <v>9</v>
      </c>
      <c r="D4392">
        <v>74</v>
      </c>
      <c r="E4392">
        <v>6</v>
      </c>
      <c r="F4392">
        <v>8.11</v>
      </c>
      <c r="G4392">
        <v>56.98</v>
      </c>
      <c r="H4392">
        <v>4216.5200000000004</v>
      </c>
    </row>
    <row r="4393" spans="1:8" x14ac:dyDescent="0.35">
      <c r="A4393" t="s">
        <v>5</v>
      </c>
      <c r="B4393" t="s">
        <v>12</v>
      </c>
      <c r="C4393" t="s">
        <v>9</v>
      </c>
      <c r="D4393">
        <v>247</v>
      </c>
      <c r="E4393">
        <v>9</v>
      </c>
      <c r="F4393">
        <v>3.64</v>
      </c>
      <c r="G4393">
        <v>28.59</v>
      </c>
      <c r="H4393">
        <v>7061.73</v>
      </c>
    </row>
    <row r="4394" spans="1:8" x14ac:dyDescent="0.35">
      <c r="A4394" t="s">
        <v>6</v>
      </c>
      <c r="B4394" t="s">
        <v>12</v>
      </c>
      <c r="C4394" t="s">
        <v>11</v>
      </c>
      <c r="D4394">
        <v>215</v>
      </c>
      <c r="E4394">
        <v>18</v>
      </c>
      <c r="F4394">
        <v>8.3699999999999992</v>
      </c>
      <c r="G4394">
        <v>41.11</v>
      </c>
      <c r="H4394">
        <v>8838.65</v>
      </c>
    </row>
    <row r="4395" spans="1:8" x14ac:dyDescent="0.35">
      <c r="A4395" t="s">
        <v>8</v>
      </c>
      <c r="B4395" t="s">
        <v>12</v>
      </c>
      <c r="C4395" t="s">
        <v>9</v>
      </c>
      <c r="D4395">
        <v>245</v>
      </c>
      <c r="E4395">
        <v>15</v>
      </c>
      <c r="F4395">
        <v>6.12</v>
      </c>
      <c r="G4395">
        <v>46.19</v>
      </c>
      <c r="H4395">
        <v>11316.55</v>
      </c>
    </row>
    <row r="4396" spans="1:8" x14ac:dyDescent="0.35">
      <c r="A4396" t="s">
        <v>8</v>
      </c>
      <c r="B4396" t="s">
        <v>12</v>
      </c>
      <c r="C4396" t="s">
        <v>9</v>
      </c>
      <c r="D4396">
        <v>262</v>
      </c>
      <c r="E4396">
        <v>0</v>
      </c>
      <c r="F4396">
        <v>0</v>
      </c>
      <c r="G4396">
        <v>14.97</v>
      </c>
      <c r="H4396">
        <v>3922.14</v>
      </c>
    </row>
    <row r="4397" spans="1:8" x14ac:dyDescent="0.35">
      <c r="A4397" t="s">
        <v>8</v>
      </c>
      <c r="B4397" t="s">
        <v>12</v>
      </c>
      <c r="C4397" t="s">
        <v>9</v>
      </c>
      <c r="D4397">
        <v>139</v>
      </c>
      <c r="E4397">
        <v>12</v>
      </c>
      <c r="F4397">
        <v>8.6300000000000008</v>
      </c>
      <c r="G4397">
        <v>13.42</v>
      </c>
      <c r="H4397">
        <v>1865.38</v>
      </c>
    </row>
    <row r="4398" spans="1:8" x14ac:dyDescent="0.35">
      <c r="A4398" t="s">
        <v>8</v>
      </c>
      <c r="B4398" t="s">
        <v>12</v>
      </c>
      <c r="C4398" t="s">
        <v>9</v>
      </c>
      <c r="D4398">
        <v>114</v>
      </c>
      <c r="E4398">
        <v>6</v>
      </c>
      <c r="F4398">
        <v>5.26</v>
      </c>
      <c r="G4398">
        <v>67.37</v>
      </c>
      <c r="H4398">
        <v>7680.18</v>
      </c>
    </row>
    <row r="4399" spans="1:8" x14ac:dyDescent="0.35">
      <c r="A4399" t="s">
        <v>7</v>
      </c>
      <c r="B4399" t="s">
        <v>12</v>
      </c>
      <c r="C4399" t="s">
        <v>10</v>
      </c>
      <c r="D4399">
        <v>196</v>
      </c>
      <c r="E4399">
        <v>9</v>
      </c>
      <c r="F4399">
        <v>4.59</v>
      </c>
      <c r="G4399">
        <v>8.5500000000000007</v>
      </c>
      <c r="H4399">
        <v>1675.8</v>
      </c>
    </row>
    <row r="4400" spans="1:8" x14ac:dyDescent="0.35">
      <c r="A4400" t="s">
        <v>6</v>
      </c>
      <c r="B4400" t="s">
        <v>12</v>
      </c>
      <c r="C4400" t="s">
        <v>11</v>
      </c>
      <c r="D4400">
        <v>299</v>
      </c>
      <c r="E4400">
        <v>22</v>
      </c>
      <c r="F4400">
        <v>7.36</v>
      </c>
      <c r="G4400">
        <v>39.93</v>
      </c>
      <c r="H4400">
        <v>11939.07</v>
      </c>
    </row>
    <row r="4401" spans="1:8" x14ac:dyDescent="0.35">
      <c r="A4401" t="s">
        <v>7</v>
      </c>
      <c r="B4401" t="s">
        <v>12</v>
      </c>
      <c r="C4401" t="s">
        <v>9</v>
      </c>
      <c r="D4401">
        <v>167</v>
      </c>
      <c r="E4401">
        <v>16</v>
      </c>
      <c r="F4401">
        <v>9.58</v>
      </c>
      <c r="G4401">
        <v>43.41</v>
      </c>
      <c r="H4401">
        <v>7249.47</v>
      </c>
    </row>
    <row r="4402" spans="1:8" x14ac:dyDescent="0.35">
      <c r="A4402" t="s">
        <v>6</v>
      </c>
      <c r="B4402" t="s">
        <v>12</v>
      </c>
      <c r="C4402" t="s">
        <v>9</v>
      </c>
      <c r="D4402">
        <v>69</v>
      </c>
      <c r="E4402">
        <v>2</v>
      </c>
      <c r="F4402">
        <v>2.9</v>
      </c>
      <c r="G4402">
        <v>28.98</v>
      </c>
      <c r="H4402">
        <v>1999.62</v>
      </c>
    </row>
    <row r="4403" spans="1:8" x14ac:dyDescent="0.35">
      <c r="A4403" t="s">
        <v>7</v>
      </c>
      <c r="B4403" t="s">
        <v>12</v>
      </c>
      <c r="C4403" t="s">
        <v>10</v>
      </c>
      <c r="D4403">
        <v>89</v>
      </c>
      <c r="E4403">
        <v>8</v>
      </c>
      <c r="F4403">
        <v>8.99</v>
      </c>
      <c r="G4403">
        <v>65.290000000000006</v>
      </c>
      <c r="H4403">
        <v>5810.81</v>
      </c>
    </row>
    <row r="4404" spans="1:8" x14ac:dyDescent="0.35">
      <c r="A4404" t="s">
        <v>6</v>
      </c>
      <c r="B4404" t="s">
        <v>12</v>
      </c>
      <c r="C4404" t="s">
        <v>9</v>
      </c>
      <c r="D4404">
        <v>251</v>
      </c>
      <c r="E4404">
        <v>8</v>
      </c>
      <c r="F4404">
        <v>3.19</v>
      </c>
      <c r="G4404">
        <v>51.95</v>
      </c>
      <c r="H4404">
        <v>13039.45</v>
      </c>
    </row>
    <row r="4405" spans="1:8" x14ac:dyDescent="0.35">
      <c r="A4405" t="s">
        <v>6</v>
      </c>
      <c r="B4405" t="s">
        <v>12</v>
      </c>
      <c r="C4405" t="s">
        <v>9</v>
      </c>
      <c r="D4405">
        <v>154</v>
      </c>
      <c r="E4405">
        <v>3</v>
      </c>
      <c r="F4405">
        <v>1.95</v>
      </c>
      <c r="G4405">
        <v>26.52</v>
      </c>
      <c r="H4405">
        <v>4084.08</v>
      </c>
    </row>
    <row r="4406" spans="1:8" x14ac:dyDescent="0.35">
      <c r="A4406" t="s">
        <v>6</v>
      </c>
      <c r="B4406" t="s">
        <v>12</v>
      </c>
      <c r="C4406" t="s">
        <v>11</v>
      </c>
      <c r="D4406">
        <v>165</v>
      </c>
      <c r="E4406">
        <v>13</v>
      </c>
      <c r="F4406">
        <v>7.88</v>
      </c>
      <c r="G4406">
        <v>39.53</v>
      </c>
      <c r="H4406">
        <v>6522.45</v>
      </c>
    </row>
    <row r="4407" spans="1:8" x14ac:dyDescent="0.35">
      <c r="A4407" t="s">
        <v>6</v>
      </c>
      <c r="B4407" t="s">
        <v>12</v>
      </c>
      <c r="C4407" t="s">
        <v>11</v>
      </c>
      <c r="D4407">
        <v>75</v>
      </c>
      <c r="E4407">
        <v>5</v>
      </c>
      <c r="F4407">
        <v>6.67</v>
      </c>
      <c r="G4407">
        <v>25.05</v>
      </c>
      <c r="H4407">
        <v>1878.75</v>
      </c>
    </row>
    <row r="4408" spans="1:8" x14ac:dyDescent="0.35">
      <c r="A4408" t="s">
        <v>8</v>
      </c>
      <c r="B4408" t="s">
        <v>12</v>
      </c>
      <c r="C4408" t="s">
        <v>9</v>
      </c>
      <c r="D4408">
        <v>65</v>
      </c>
      <c r="E4408">
        <v>0</v>
      </c>
      <c r="F4408">
        <v>0</v>
      </c>
      <c r="G4408">
        <v>7.62</v>
      </c>
      <c r="H4408">
        <v>495.3</v>
      </c>
    </row>
    <row r="4409" spans="1:8" x14ac:dyDescent="0.35">
      <c r="A4409" t="s">
        <v>6</v>
      </c>
      <c r="B4409" t="s">
        <v>12</v>
      </c>
      <c r="C4409" t="s">
        <v>9</v>
      </c>
      <c r="D4409">
        <v>257</v>
      </c>
      <c r="E4409">
        <v>19</v>
      </c>
      <c r="F4409">
        <v>7.39</v>
      </c>
      <c r="G4409">
        <v>45.78</v>
      </c>
      <c r="H4409">
        <v>11765.46</v>
      </c>
    </row>
    <row r="4410" spans="1:8" x14ac:dyDescent="0.35">
      <c r="A4410" t="s">
        <v>5</v>
      </c>
      <c r="B4410" t="s">
        <v>12</v>
      </c>
      <c r="C4410" t="s">
        <v>9</v>
      </c>
      <c r="D4410">
        <v>214</v>
      </c>
      <c r="E4410">
        <v>14</v>
      </c>
      <c r="F4410">
        <v>6.54</v>
      </c>
      <c r="G4410">
        <v>27.44</v>
      </c>
      <c r="H4410">
        <v>5872.16</v>
      </c>
    </row>
    <row r="4411" spans="1:8" x14ac:dyDescent="0.35">
      <c r="A4411" t="s">
        <v>8</v>
      </c>
      <c r="B4411" t="s">
        <v>12</v>
      </c>
      <c r="C4411" t="s">
        <v>9</v>
      </c>
      <c r="D4411">
        <v>223</v>
      </c>
      <c r="E4411">
        <v>21</v>
      </c>
      <c r="F4411">
        <v>9.42</v>
      </c>
      <c r="G4411">
        <v>40.21</v>
      </c>
      <c r="H4411">
        <v>8966.83</v>
      </c>
    </row>
    <row r="4412" spans="1:8" x14ac:dyDescent="0.35">
      <c r="A4412" t="s">
        <v>6</v>
      </c>
      <c r="B4412" t="s">
        <v>12</v>
      </c>
      <c r="C4412" t="s">
        <v>11</v>
      </c>
      <c r="D4412">
        <v>146</v>
      </c>
      <c r="E4412">
        <v>12</v>
      </c>
      <c r="F4412">
        <v>8.2200000000000006</v>
      </c>
      <c r="G4412">
        <v>40.590000000000003</v>
      </c>
      <c r="H4412">
        <v>5926.14</v>
      </c>
    </row>
    <row r="4413" spans="1:8" x14ac:dyDescent="0.35">
      <c r="A4413" t="s">
        <v>6</v>
      </c>
      <c r="B4413" t="s">
        <v>12</v>
      </c>
      <c r="C4413" t="s">
        <v>9</v>
      </c>
      <c r="D4413">
        <v>99</v>
      </c>
      <c r="E4413">
        <v>9</v>
      </c>
      <c r="F4413">
        <v>9.09</v>
      </c>
      <c r="G4413">
        <v>9.92</v>
      </c>
      <c r="H4413">
        <v>982.08</v>
      </c>
    </row>
    <row r="4414" spans="1:8" x14ac:dyDescent="0.35">
      <c r="A4414" t="s">
        <v>7</v>
      </c>
      <c r="B4414" t="s">
        <v>12</v>
      </c>
      <c r="C4414" t="s">
        <v>10</v>
      </c>
      <c r="D4414">
        <v>280</v>
      </c>
      <c r="E4414">
        <v>23</v>
      </c>
      <c r="F4414">
        <v>8.2100000000000009</v>
      </c>
      <c r="G4414">
        <v>37.36</v>
      </c>
      <c r="H4414">
        <v>10460.799999999999</v>
      </c>
    </row>
    <row r="4415" spans="1:8" x14ac:dyDescent="0.35">
      <c r="A4415" t="s">
        <v>7</v>
      </c>
      <c r="B4415" t="s">
        <v>12</v>
      </c>
      <c r="C4415" t="s">
        <v>9</v>
      </c>
      <c r="D4415">
        <v>245</v>
      </c>
      <c r="E4415">
        <v>4</v>
      </c>
      <c r="F4415">
        <v>1.63</v>
      </c>
      <c r="G4415">
        <v>62.89</v>
      </c>
      <c r="H4415">
        <v>15408.05</v>
      </c>
    </row>
    <row r="4416" spans="1:8" x14ac:dyDescent="0.35">
      <c r="A4416" t="s">
        <v>6</v>
      </c>
      <c r="B4416" t="s">
        <v>12</v>
      </c>
      <c r="C4416" t="s">
        <v>9</v>
      </c>
      <c r="D4416">
        <v>172</v>
      </c>
      <c r="E4416">
        <v>10</v>
      </c>
      <c r="F4416">
        <v>5.81</v>
      </c>
      <c r="G4416">
        <v>32.69</v>
      </c>
      <c r="H4416">
        <v>5622.68</v>
      </c>
    </row>
    <row r="4417" spans="1:8" x14ac:dyDescent="0.35">
      <c r="A4417" t="s">
        <v>7</v>
      </c>
      <c r="B4417" t="s">
        <v>12</v>
      </c>
      <c r="C4417" t="s">
        <v>9</v>
      </c>
      <c r="D4417">
        <v>218</v>
      </c>
      <c r="E4417">
        <v>6</v>
      </c>
      <c r="F4417">
        <v>2.75</v>
      </c>
      <c r="G4417">
        <v>69.02</v>
      </c>
      <c r="H4417">
        <v>15046.36</v>
      </c>
    </row>
    <row r="4418" spans="1:8" x14ac:dyDescent="0.35">
      <c r="A4418" t="s">
        <v>7</v>
      </c>
      <c r="B4418" t="s">
        <v>12</v>
      </c>
      <c r="C4418" t="s">
        <v>10</v>
      </c>
      <c r="D4418">
        <v>237</v>
      </c>
      <c r="E4418">
        <v>11</v>
      </c>
      <c r="F4418">
        <v>4.6399999999999997</v>
      </c>
      <c r="G4418">
        <v>29.62</v>
      </c>
      <c r="H4418">
        <v>7019.94</v>
      </c>
    </row>
    <row r="4419" spans="1:8" x14ac:dyDescent="0.35">
      <c r="A4419" t="s">
        <v>6</v>
      </c>
      <c r="B4419" t="s">
        <v>12</v>
      </c>
      <c r="C4419" t="s">
        <v>11</v>
      </c>
      <c r="D4419">
        <v>140</v>
      </c>
      <c r="E4419">
        <v>10</v>
      </c>
      <c r="F4419">
        <v>7.14</v>
      </c>
      <c r="G4419">
        <v>36.479999999999997</v>
      </c>
      <c r="H4419">
        <v>5107.2</v>
      </c>
    </row>
    <row r="4420" spans="1:8" x14ac:dyDescent="0.35">
      <c r="A4420" t="s">
        <v>6</v>
      </c>
      <c r="B4420" t="s">
        <v>12</v>
      </c>
      <c r="C4420" t="s">
        <v>11</v>
      </c>
      <c r="D4420">
        <v>228</v>
      </c>
      <c r="E4420">
        <v>20</v>
      </c>
      <c r="F4420">
        <v>8.77</v>
      </c>
      <c r="G4420">
        <v>25.67</v>
      </c>
      <c r="H4420">
        <v>5852.76</v>
      </c>
    </row>
    <row r="4421" spans="1:8" x14ac:dyDescent="0.35">
      <c r="A4421" t="s">
        <v>6</v>
      </c>
      <c r="B4421" t="s">
        <v>12</v>
      </c>
      <c r="C4421" t="s">
        <v>11</v>
      </c>
      <c r="D4421">
        <v>109</v>
      </c>
      <c r="E4421">
        <v>7</v>
      </c>
      <c r="F4421">
        <v>6.42</v>
      </c>
      <c r="G4421">
        <v>10.98</v>
      </c>
      <c r="H4421">
        <v>1196.82</v>
      </c>
    </row>
    <row r="4422" spans="1:8" x14ac:dyDescent="0.35">
      <c r="A4422" t="s">
        <v>7</v>
      </c>
      <c r="B4422" t="s">
        <v>12</v>
      </c>
      <c r="C4422" t="s">
        <v>9</v>
      </c>
      <c r="D4422">
        <v>151</v>
      </c>
      <c r="E4422">
        <v>15</v>
      </c>
      <c r="F4422">
        <v>9.93</v>
      </c>
      <c r="G4422">
        <v>20.89</v>
      </c>
      <c r="H4422">
        <v>3154.39</v>
      </c>
    </row>
    <row r="4423" spans="1:8" x14ac:dyDescent="0.35">
      <c r="A4423" t="s">
        <v>7</v>
      </c>
      <c r="B4423" t="s">
        <v>12</v>
      </c>
      <c r="C4423" t="s">
        <v>9</v>
      </c>
      <c r="D4423">
        <v>170</v>
      </c>
      <c r="E4423">
        <v>8</v>
      </c>
      <c r="F4423">
        <v>4.71</v>
      </c>
      <c r="G4423">
        <v>51.48</v>
      </c>
      <c r="H4423">
        <v>8751.6</v>
      </c>
    </row>
    <row r="4424" spans="1:8" x14ac:dyDescent="0.35">
      <c r="A4424" t="s">
        <v>7</v>
      </c>
      <c r="B4424" t="s">
        <v>12</v>
      </c>
      <c r="C4424" t="s">
        <v>10</v>
      </c>
      <c r="D4424">
        <v>103</v>
      </c>
      <c r="E4424">
        <v>6</v>
      </c>
      <c r="F4424">
        <v>5.83</v>
      </c>
      <c r="G4424">
        <v>44.44</v>
      </c>
      <c r="H4424">
        <v>4577.32</v>
      </c>
    </row>
    <row r="4425" spans="1:8" x14ac:dyDescent="0.35">
      <c r="A4425" t="s">
        <v>8</v>
      </c>
      <c r="B4425" t="s">
        <v>12</v>
      </c>
      <c r="C4425" t="s">
        <v>9</v>
      </c>
      <c r="D4425">
        <v>270</v>
      </c>
      <c r="E4425">
        <v>10</v>
      </c>
      <c r="F4425">
        <v>3.7</v>
      </c>
      <c r="G4425">
        <v>67.319999999999993</v>
      </c>
      <c r="H4425">
        <v>18176.400000000001</v>
      </c>
    </row>
    <row r="4426" spans="1:8" x14ac:dyDescent="0.35">
      <c r="A4426" t="s">
        <v>7</v>
      </c>
      <c r="B4426" t="s">
        <v>12</v>
      </c>
      <c r="C4426" t="s">
        <v>9</v>
      </c>
      <c r="D4426">
        <v>81</v>
      </c>
      <c r="E4426">
        <v>3</v>
      </c>
      <c r="F4426">
        <v>3.7</v>
      </c>
      <c r="G4426">
        <v>42.43</v>
      </c>
      <c r="H4426">
        <v>3436.83</v>
      </c>
    </row>
    <row r="4427" spans="1:8" x14ac:dyDescent="0.35">
      <c r="A4427" t="s">
        <v>8</v>
      </c>
      <c r="B4427" t="s">
        <v>12</v>
      </c>
      <c r="C4427" t="s">
        <v>9</v>
      </c>
      <c r="D4427">
        <v>187</v>
      </c>
      <c r="E4427">
        <v>17</v>
      </c>
      <c r="F4427">
        <v>9.09</v>
      </c>
      <c r="G4427">
        <v>62.79</v>
      </c>
      <c r="H4427">
        <v>11741.73</v>
      </c>
    </row>
    <row r="4428" spans="1:8" x14ac:dyDescent="0.35">
      <c r="A4428" t="s">
        <v>7</v>
      </c>
      <c r="B4428" t="s">
        <v>12</v>
      </c>
      <c r="C4428" t="s">
        <v>9</v>
      </c>
      <c r="D4428">
        <v>243</v>
      </c>
      <c r="E4428">
        <v>6</v>
      </c>
      <c r="F4428">
        <v>2.4700000000000002</v>
      </c>
      <c r="G4428">
        <v>32.93</v>
      </c>
      <c r="H4428">
        <v>8001.99</v>
      </c>
    </row>
    <row r="4429" spans="1:8" x14ac:dyDescent="0.35">
      <c r="A4429" t="s">
        <v>8</v>
      </c>
      <c r="B4429" t="s">
        <v>12</v>
      </c>
      <c r="C4429" t="s">
        <v>9</v>
      </c>
      <c r="D4429">
        <v>300</v>
      </c>
      <c r="E4429">
        <v>29</v>
      </c>
      <c r="F4429">
        <v>9.67</v>
      </c>
      <c r="G4429">
        <v>47.45</v>
      </c>
      <c r="H4429">
        <v>14235</v>
      </c>
    </row>
    <row r="4430" spans="1:8" x14ac:dyDescent="0.35">
      <c r="A4430" t="s">
        <v>5</v>
      </c>
      <c r="B4430" t="s">
        <v>12</v>
      </c>
      <c r="C4430" t="s">
        <v>9</v>
      </c>
      <c r="D4430">
        <v>226</v>
      </c>
      <c r="E4430">
        <v>8</v>
      </c>
      <c r="F4430">
        <v>3.54</v>
      </c>
      <c r="G4430">
        <v>9.69</v>
      </c>
      <c r="H4430">
        <v>2189.94</v>
      </c>
    </row>
    <row r="4431" spans="1:8" x14ac:dyDescent="0.35">
      <c r="A4431" t="s">
        <v>7</v>
      </c>
      <c r="B4431" t="s">
        <v>12</v>
      </c>
      <c r="C4431" t="s">
        <v>10</v>
      </c>
      <c r="D4431">
        <v>197</v>
      </c>
      <c r="E4431">
        <v>10</v>
      </c>
      <c r="F4431">
        <v>5.08</v>
      </c>
      <c r="G4431">
        <v>25.16</v>
      </c>
      <c r="H4431">
        <v>4956.5200000000004</v>
      </c>
    </row>
    <row r="4432" spans="1:8" x14ac:dyDescent="0.35">
      <c r="A4432" t="s">
        <v>6</v>
      </c>
      <c r="B4432" t="s">
        <v>12</v>
      </c>
      <c r="C4432" t="s">
        <v>11</v>
      </c>
      <c r="D4432">
        <v>118</v>
      </c>
      <c r="E4432">
        <v>9</v>
      </c>
      <c r="F4432">
        <v>7.63</v>
      </c>
      <c r="G4432">
        <v>55.5</v>
      </c>
      <c r="H4432">
        <v>6549</v>
      </c>
    </row>
    <row r="4433" spans="1:8" x14ac:dyDescent="0.35">
      <c r="A4433" t="s">
        <v>8</v>
      </c>
      <c r="B4433" t="s">
        <v>12</v>
      </c>
      <c r="C4433" t="s">
        <v>9</v>
      </c>
      <c r="D4433">
        <v>161</v>
      </c>
      <c r="E4433">
        <v>3</v>
      </c>
      <c r="F4433">
        <v>1.86</v>
      </c>
      <c r="G4433">
        <v>59.22</v>
      </c>
      <c r="H4433">
        <v>9534.42</v>
      </c>
    </row>
    <row r="4434" spans="1:8" x14ac:dyDescent="0.35">
      <c r="A4434" t="s">
        <v>7</v>
      </c>
      <c r="B4434" t="s">
        <v>12</v>
      </c>
      <c r="C4434" t="s">
        <v>9</v>
      </c>
      <c r="D4434">
        <v>220</v>
      </c>
      <c r="E4434">
        <v>20</v>
      </c>
      <c r="F4434">
        <v>9.09</v>
      </c>
      <c r="G4434">
        <v>50.91</v>
      </c>
      <c r="H4434">
        <v>11200.2</v>
      </c>
    </row>
    <row r="4435" spans="1:8" x14ac:dyDescent="0.35">
      <c r="A4435" t="s">
        <v>6</v>
      </c>
      <c r="B4435" t="s">
        <v>12</v>
      </c>
      <c r="C4435" t="s">
        <v>9</v>
      </c>
      <c r="D4435">
        <v>137</v>
      </c>
      <c r="E4435">
        <v>1</v>
      </c>
      <c r="F4435">
        <v>0.73</v>
      </c>
      <c r="G4435">
        <v>67.55</v>
      </c>
      <c r="H4435">
        <v>9254.35</v>
      </c>
    </row>
    <row r="4436" spans="1:8" x14ac:dyDescent="0.35">
      <c r="A4436" t="s">
        <v>5</v>
      </c>
      <c r="B4436" t="s">
        <v>12</v>
      </c>
      <c r="C4436" t="s">
        <v>9</v>
      </c>
      <c r="D4436">
        <v>192</v>
      </c>
      <c r="E4436">
        <v>10</v>
      </c>
      <c r="F4436">
        <v>5.21</v>
      </c>
      <c r="G4436">
        <v>63.8</v>
      </c>
      <c r="H4436">
        <v>12249.6</v>
      </c>
    </row>
    <row r="4437" spans="1:8" x14ac:dyDescent="0.35">
      <c r="A4437" t="s">
        <v>6</v>
      </c>
      <c r="B4437" t="s">
        <v>12</v>
      </c>
      <c r="C4437" t="s">
        <v>11</v>
      </c>
      <c r="D4437">
        <v>196</v>
      </c>
      <c r="E4437">
        <v>14</v>
      </c>
      <c r="F4437">
        <v>7.14</v>
      </c>
      <c r="G4437">
        <v>35.85</v>
      </c>
      <c r="H4437">
        <v>7026.6</v>
      </c>
    </row>
    <row r="4438" spans="1:8" x14ac:dyDescent="0.35">
      <c r="A4438" t="s">
        <v>8</v>
      </c>
      <c r="B4438" t="s">
        <v>12</v>
      </c>
      <c r="C4438" t="s">
        <v>9</v>
      </c>
      <c r="D4438">
        <v>97</v>
      </c>
      <c r="E4438">
        <v>4</v>
      </c>
      <c r="F4438">
        <v>4.12</v>
      </c>
      <c r="G4438">
        <v>11.95</v>
      </c>
      <c r="H4438">
        <v>1159.1500000000001</v>
      </c>
    </row>
    <row r="4439" spans="1:8" x14ac:dyDescent="0.35">
      <c r="A4439" t="s">
        <v>5</v>
      </c>
      <c r="B4439" t="s">
        <v>12</v>
      </c>
      <c r="C4439" t="s">
        <v>9</v>
      </c>
      <c r="D4439">
        <v>266</v>
      </c>
      <c r="E4439">
        <v>2</v>
      </c>
      <c r="F4439">
        <v>0.75</v>
      </c>
      <c r="G4439">
        <v>45.38</v>
      </c>
      <c r="H4439">
        <v>12071.08</v>
      </c>
    </row>
    <row r="4440" spans="1:8" x14ac:dyDescent="0.35">
      <c r="A4440" t="s">
        <v>6</v>
      </c>
      <c r="B4440" t="s">
        <v>12</v>
      </c>
      <c r="C4440" t="s">
        <v>11</v>
      </c>
      <c r="D4440">
        <v>221</v>
      </c>
      <c r="E4440">
        <v>19</v>
      </c>
      <c r="F4440">
        <v>8.6</v>
      </c>
      <c r="G4440">
        <v>61.48</v>
      </c>
      <c r="H4440">
        <v>13587.08</v>
      </c>
    </row>
    <row r="4441" spans="1:8" x14ac:dyDescent="0.35">
      <c r="A4441" t="s">
        <v>8</v>
      </c>
      <c r="B4441" t="s">
        <v>12</v>
      </c>
      <c r="C4441" t="s">
        <v>9</v>
      </c>
      <c r="D4441">
        <v>293</v>
      </c>
      <c r="E4441">
        <v>16</v>
      </c>
      <c r="F4441">
        <v>5.46</v>
      </c>
      <c r="G4441">
        <v>15.69</v>
      </c>
      <c r="H4441">
        <v>4597.17</v>
      </c>
    </row>
    <row r="4442" spans="1:8" x14ac:dyDescent="0.35">
      <c r="A4442" t="s">
        <v>7</v>
      </c>
      <c r="B4442" t="s">
        <v>12</v>
      </c>
      <c r="C4442" t="s">
        <v>9</v>
      </c>
      <c r="D4442">
        <v>113</v>
      </c>
      <c r="E4442">
        <v>11</v>
      </c>
      <c r="F4442">
        <v>9.73</v>
      </c>
      <c r="G4442">
        <v>51.02</v>
      </c>
      <c r="H4442">
        <v>5765.26</v>
      </c>
    </row>
    <row r="4443" spans="1:8" x14ac:dyDescent="0.35">
      <c r="A4443" t="s">
        <v>6</v>
      </c>
      <c r="B4443" t="s">
        <v>12</v>
      </c>
      <c r="C4443" t="s">
        <v>9</v>
      </c>
      <c r="D4443">
        <v>105</v>
      </c>
      <c r="E4443">
        <v>8</v>
      </c>
      <c r="F4443">
        <v>7.62</v>
      </c>
      <c r="G4443">
        <v>56.15</v>
      </c>
      <c r="H4443">
        <v>5895.75</v>
      </c>
    </row>
    <row r="4444" spans="1:8" x14ac:dyDescent="0.35">
      <c r="A4444" t="s">
        <v>7</v>
      </c>
      <c r="B4444" t="s">
        <v>12</v>
      </c>
      <c r="C4444" t="s">
        <v>9</v>
      </c>
      <c r="D4444">
        <v>105</v>
      </c>
      <c r="E4444">
        <v>9</v>
      </c>
      <c r="F4444">
        <v>8.57</v>
      </c>
      <c r="G4444">
        <v>12.73</v>
      </c>
      <c r="H4444">
        <v>1336.65</v>
      </c>
    </row>
    <row r="4445" spans="1:8" x14ac:dyDescent="0.35">
      <c r="A4445" t="s">
        <v>6</v>
      </c>
      <c r="B4445" t="s">
        <v>12</v>
      </c>
      <c r="C4445" t="s">
        <v>11</v>
      </c>
      <c r="D4445">
        <v>242</v>
      </c>
      <c r="E4445">
        <v>0</v>
      </c>
      <c r="F4445">
        <v>0</v>
      </c>
      <c r="G4445">
        <v>47.74</v>
      </c>
      <c r="H4445">
        <v>11553.08</v>
      </c>
    </row>
    <row r="4446" spans="1:8" x14ac:dyDescent="0.35">
      <c r="A4446" t="s">
        <v>6</v>
      </c>
      <c r="B4446" t="s">
        <v>12</v>
      </c>
      <c r="C4446" t="s">
        <v>9</v>
      </c>
      <c r="D4446">
        <v>231</v>
      </c>
      <c r="E4446">
        <v>1</v>
      </c>
      <c r="F4446">
        <v>0.43</v>
      </c>
      <c r="G4446">
        <v>52.08</v>
      </c>
      <c r="H4446">
        <v>12030.48</v>
      </c>
    </row>
    <row r="4447" spans="1:8" x14ac:dyDescent="0.35">
      <c r="A4447" t="s">
        <v>6</v>
      </c>
      <c r="B4447" t="s">
        <v>12</v>
      </c>
      <c r="C4447" t="s">
        <v>9</v>
      </c>
      <c r="D4447">
        <v>73</v>
      </c>
      <c r="E4447">
        <v>3</v>
      </c>
      <c r="F4447">
        <v>4.1100000000000003</v>
      </c>
      <c r="G4447">
        <v>25.42</v>
      </c>
      <c r="H4447">
        <v>1855.66</v>
      </c>
    </row>
    <row r="4448" spans="1:8" x14ac:dyDescent="0.35">
      <c r="A4448" t="s">
        <v>6</v>
      </c>
      <c r="B4448" t="s">
        <v>12</v>
      </c>
      <c r="C4448" t="s">
        <v>11</v>
      </c>
      <c r="D4448">
        <v>164</v>
      </c>
      <c r="E4448">
        <v>1</v>
      </c>
      <c r="F4448">
        <v>0.61</v>
      </c>
      <c r="G4448">
        <v>5.72</v>
      </c>
      <c r="H4448">
        <v>938.08</v>
      </c>
    </row>
    <row r="4449" spans="1:8" x14ac:dyDescent="0.35">
      <c r="A4449" t="s">
        <v>7</v>
      </c>
      <c r="B4449" t="s">
        <v>12</v>
      </c>
      <c r="C4449" t="s">
        <v>10</v>
      </c>
      <c r="D4449">
        <v>141</v>
      </c>
      <c r="E4449">
        <v>2</v>
      </c>
      <c r="F4449">
        <v>1.42</v>
      </c>
      <c r="G4449">
        <v>48.03</v>
      </c>
      <c r="H4449">
        <v>6772.23</v>
      </c>
    </row>
    <row r="4450" spans="1:8" x14ac:dyDescent="0.35">
      <c r="A4450" t="s">
        <v>7</v>
      </c>
      <c r="B4450" t="s">
        <v>12</v>
      </c>
      <c r="C4450" t="s">
        <v>10</v>
      </c>
      <c r="D4450">
        <v>247</v>
      </c>
      <c r="E4450">
        <v>4</v>
      </c>
      <c r="F4450">
        <v>1.62</v>
      </c>
      <c r="G4450">
        <v>22.2</v>
      </c>
      <c r="H4450">
        <v>5483.4</v>
      </c>
    </row>
    <row r="4451" spans="1:8" x14ac:dyDescent="0.35">
      <c r="A4451" t="s">
        <v>6</v>
      </c>
      <c r="B4451" t="s">
        <v>12</v>
      </c>
      <c r="C4451" t="s">
        <v>9</v>
      </c>
      <c r="D4451">
        <v>92</v>
      </c>
      <c r="E4451">
        <v>3</v>
      </c>
      <c r="F4451">
        <v>3.26</v>
      </c>
      <c r="G4451">
        <v>52.44</v>
      </c>
      <c r="H4451">
        <v>4824.4799999999996</v>
      </c>
    </row>
    <row r="4452" spans="1:8" x14ac:dyDescent="0.35">
      <c r="A4452" t="s">
        <v>7</v>
      </c>
      <c r="B4452" t="s">
        <v>12</v>
      </c>
      <c r="C4452" t="s">
        <v>10</v>
      </c>
      <c r="D4452">
        <v>210</v>
      </c>
      <c r="E4452">
        <v>12</v>
      </c>
      <c r="F4452">
        <v>5.71</v>
      </c>
      <c r="G4452">
        <v>38.229999999999997</v>
      </c>
      <c r="H4452">
        <v>8028.3</v>
      </c>
    </row>
    <row r="4453" spans="1:8" x14ac:dyDescent="0.35">
      <c r="A4453" t="s">
        <v>7</v>
      </c>
      <c r="B4453" t="s">
        <v>12</v>
      </c>
      <c r="C4453" t="s">
        <v>9</v>
      </c>
      <c r="D4453">
        <v>260</v>
      </c>
      <c r="E4453">
        <v>24</v>
      </c>
      <c r="F4453">
        <v>9.23</v>
      </c>
      <c r="G4453">
        <v>30.94</v>
      </c>
      <c r="H4453">
        <v>8044.4</v>
      </c>
    </row>
    <row r="4454" spans="1:8" x14ac:dyDescent="0.35">
      <c r="A4454" t="s">
        <v>8</v>
      </c>
      <c r="B4454" t="s">
        <v>12</v>
      </c>
      <c r="C4454" t="s">
        <v>9</v>
      </c>
      <c r="D4454">
        <v>290</v>
      </c>
      <c r="E4454">
        <v>19</v>
      </c>
      <c r="F4454">
        <v>6.55</v>
      </c>
      <c r="G4454">
        <v>28.67</v>
      </c>
      <c r="H4454">
        <v>8314.2999999999993</v>
      </c>
    </row>
    <row r="4455" spans="1:8" x14ac:dyDescent="0.35">
      <c r="A4455" t="s">
        <v>6</v>
      </c>
      <c r="B4455" t="s">
        <v>12</v>
      </c>
      <c r="C4455" t="s">
        <v>11</v>
      </c>
      <c r="D4455">
        <v>68</v>
      </c>
      <c r="E4455">
        <v>4</v>
      </c>
      <c r="F4455">
        <v>5.88</v>
      </c>
      <c r="G4455">
        <v>6.86</v>
      </c>
      <c r="H4455">
        <v>466.48</v>
      </c>
    </row>
    <row r="4456" spans="1:8" x14ac:dyDescent="0.35">
      <c r="A4456" t="s">
        <v>8</v>
      </c>
      <c r="B4456" t="s">
        <v>12</v>
      </c>
      <c r="C4456" t="s">
        <v>9</v>
      </c>
      <c r="D4456">
        <v>179</v>
      </c>
      <c r="E4456">
        <v>11</v>
      </c>
      <c r="F4456">
        <v>6.15</v>
      </c>
      <c r="G4456">
        <v>20.87</v>
      </c>
      <c r="H4456">
        <v>3735.73</v>
      </c>
    </row>
    <row r="4457" spans="1:8" x14ac:dyDescent="0.35">
      <c r="A4457" t="s">
        <v>5</v>
      </c>
      <c r="B4457" t="s">
        <v>12</v>
      </c>
      <c r="C4457" t="s">
        <v>9</v>
      </c>
      <c r="D4457">
        <v>231</v>
      </c>
      <c r="E4457">
        <v>1</v>
      </c>
      <c r="F4457">
        <v>0.43</v>
      </c>
      <c r="G4457">
        <v>27.47</v>
      </c>
      <c r="H4457">
        <v>6345.57</v>
      </c>
    </row>
    <row r="4458" spans="1:8" x14ac:dyDescent="0.35">
      <c r="A4458" t="s">
        <v>6</v>
      </c>
      <c r="B4458" t="s">
        <v>12</v>
      </c>
      <c r="C4458" t="s">
        <v>9</v>
      </c>
      <c r="D4458">
        <v>268</v>
      </c>
      <c r="E4458">
        <v>7</v>
      </c>
      <c r="F4458">
        <v>2.61</v>
      </c>
      <c r="G4458">
        <v>63.15</v>
      </c>
      <c r="H4458">
        <v>16924.2</v>
      </c>
    </row>
    <row r="4459" spans="1:8" x14ac:dyDescent="0.35">
      <c r="A4459" t="s">
        <v>6</v>
      </c>
      <c r="B4459" t="s">
        <v>12</v>
      </c>
      <c r="C4459" t="s">
        <v>9</v>
      </c>
      <c r="D4459">
        <v>158</v>
      </c>
      <c r="E4459">
        <v>15</v>
      </c>
      <c r="F4459">
        <v>9.49</v>
      </c>
      <c r="G4459">
        <v>19.260000000000002</v>
      </c>
      <c r="H4459">
        <v>3043.08</v>
      </c>
    </row>
    <row r="4460" spans="1:8" x14ac:dyDescent="0.35">
      <c r="A4460" t="s">
        <v>7</v>
      </c>
      <c r="B4460" t="s">
        <v>12</v>
      </c>
      <c r="C4460" t="s">
        <v>10</v>
      </c>
      <c r="D4460">
        <v>72</v>
      </c>
      <c r="E4460">
        <v>6</v>
      </c>
      <c r="F4460">
        <v>8.33</v>
      </c>
      <c r="G4460">
        <v>52.74</v>
      </c>
      <c r="H4460">
        <v>3797.28</v>
      </c>
    </row>
    <row r="4461" spans="1:8" x14ac:dyDescent="0.35">
      <c r="A4461" t="s">
        <v>7</v>
      </c>
      <c r="B4461" t="s">
        <v>12</v>
      </c>
      <c r="C4461" t="s">
        <v>10</v>
      </c>
      <c r="D4461">
        <v>231</v>
      </c>
      <c r="E4461">
        <v>15</v>
      </c>
      <c r="F4461">
        <v>6.49</v>
      </c>
      <c r="G4461">
        <v>29.1</v>
      </c>
      <c r="H4461">
        <v>6722.1</v>
      </c>
    </row>
    <row r="4462" spans="1:8" x14ac:dyDescent="0.35">
      <c r="A4462" t="s">
        <v>5</v>
      </c>
      <c r="B4462" t="s">
        <v>12</v>
      </c>
      <c r="C4462" t="s">
        <v>9</v>
      </c>
      <c r="D4462">
        <v>260</v>
      </c>
      <c r="E4462">
        <v>14</v>
      </c>
      <c r="F4462">
        <v>5.38</v>
      </c>
      <c r="G4462">
        <v>58.92</v>
      </c>
      <c r="H4462">
        <v>15319.2</v>
      </c>
    </row>
    <row r="4463" spans="1:8" x14ac:dyDescent="0.35">
      <c r="A4463" t="s">
        <v>7</v>
      </c>
      <c r="B4463" t="s">
        <v>12</v>
      </c>
      <c r="C4463" t="s">
        <v>10</v>
      </c>
      <c r="D4463">
        <v>90</v>
      </c>
      <c r="E4463">
        <v>1</v>
      </c>
      <c r="F4463">
        <v>1.1100000000000001</v>
      </c>
      <c r="G4463">
        <v>25.99</v>
      </c>
      <c r="H4463">
        <v>2339.1</v>
      </c>
    </row>
    <row r="4464" spans="1:8" x14ac:dyDescent="0.35">
      <c r="A4464" t="s">
        <v>8</v>
      </c>
      <c r="B4464" t="s">
        <v>12</v>
      </c>
      <c r="C4464" t="s">
        <v>9</v>
      </c>
      <c r="D4464">
        <v>274</v>
      </c>
      <c r="E4464">
        <v>26</v>
      </c>
      <c r="F4464">
        <v>9.49</v>
      </c>
      <c r="G4464">
        <v>13.99</v>
      </c>
      <c r="H4464">
        <v>3833.26</v>
      </c>
    </row>
    <row r="4465" spans="1:8" x14ac:dyDescent="0.35">
      <c r="A4465" t="s">
        <v>7</v>
      </c>
      <c r="B4465" t="s">
        <v>12</v>
      </c>
      <c r="C4465" t="s">
        <v>10</v>
      </c>
      <c r="D4465">
        <v>234</v>
      </c>
      <c r="E4465">
        <v>0</v>
      </c>
      <c r="F4465">
        <v>0</v>
      </c>
      <c r="G4465">
        <v>57.96</v>
      </c>
      <c r="H4465">
        <v>13562.64</v>
      </c>
    </row>
    <row r="4466" spans="1:8" x14ac:dyDescent="0.35">
      <c r="A4466" t="s">
        <v>6</v>
      </c>
      <c r="B4466" t="s">
        <v>12</v>
      </c>
      <c r="C4466" t="s">
        <v>11</v>
      </c>
      <c r="D4466">
        <v>217</v>
      </c>
      <c r="E4466">
        <v>13</v>
      </c>
      <c r="F4466">
        <v>5.99</v>
      </c>
      <c r="G4466">
        <v>59.6</v>
      </c>
      <c r="H4466">
        <v>12933.2</v>
      </c>
    </row>
    <row r="4467" spans="1:8" x14ac:dyDescent="0.35">
      <c r="A4467" t="s">
        <v>6</v>
      </c>
      <c r="B4467" t="s">
        <v>12</v>
      </c>
      <c r="C4467" t="s">
        <v>11</v>
      </c>
      <c r="D4467">
        <v>72</v>
      </c>
      <c r="E4467">
        <v>3</v>
      </c>
      <c r="F4467">
        <v>4.17</v>
      </c>
      <c r="G4467">
        <v>60.94</v>
      </c>
      <c r="H4467">
        <v>4387.68</v>
      </c>
    </row>
    <row r="4468" spans="1:8" x14ac:dyDescent="0.35">
      <c r="A4468" t="s">
        <v>8</v>
      </c>
      <c r="B4468" t="s">
        <v>12</v>
      </c>
      <c r="C4468" t="s">
        <v>9</v>
      </c>
      <c r="D4468">
        <v>148</v>
      </c>
      <c r="E4468">
        <v>5</v>
      </c>
      <c r="F4468">
        <v>3.38</v>
      </c>
      <c r="G4468">
        <v>18.39</v>
      </c>
      <c r="H4468">
        <v>2721.72</v>
      </c>
    </row>
    <row r="4469" spans="1:8" x14ac:dyDescent="0.35">
      <c r="A4469" t="s">
        <v>6</v>
      </c>
      <c r="B4469" t="s">
        <v>12</v>
      </c>
      <c r="C4469" t="s">
        <v>9</v>
      </c>
      <c r="D4469">
        <v>283</v>
      </c>
      <c r="E4469">
        <v>7</v>
      </c>
      <c r="F4469">
        <v>2.4700000000000002</v>
      </c>
      <c r="G4469">
        <v>41</v>
      </c>
      <c r="H4469">
        <v>11603</v>
      </c>
    </row>
    <row r="4470" spans="1:8" x14ac:dyDescent="0.35">
      <c r="A4470" t="s">
        <v>6</v>
      </c>
      <c r="B4470" t="s">
        <v>12</v>
      </c>
      <c r="C4470" t="s">
        <v>11</v>
      </c>
      <c r="D4470">
        <v>111</v>
      </c>
      <c r="E4470">
        <v>6</v>
      </c>
      <c r="F4470">
        <v>5.41</v>
      </c>
      <c r="G4470">
        <v>31.82</v>
      </c>
      <c r="H4470">
        <v>3532.02</v>
      </c>
    </row>
    <row r="4471" spans="1:8" x14ac:dyDescent="0.35">
      <c r="A4471" t="s">
        <v>5</v>
      </c>
      <c r="B4471" t="s">
        <v>12</v>
      </c>
      <c r="C4471" t="s">
        <v>9</v>
      </c>
      <c r="D4471">
        <v>231</v>
      </c>
      <c r="E4471">
        <v>15</v>
      </c>
      <c r="F4471">
        <v>6.49</v>
      </c>
      <c r="G4471">
        <v>9.34</v>
      </c>
      <c r="H4471">
        <v>2157.54</v>
      </c>
    </row>
    <row r="4472" spans="1:8" x14ac:dyDescent="0.35">
      <c r="A4472" t="s">
        <v>8</v>
      </c>
      <c r="B4472" t="s">
        <v>12</v>
      </c>
      <c r="C4472" t="s">
        <v>9</v>
      </c>
      <c r="D4472">
        <v>75</v>
      </c>
      <c r="E4472">
        <v>2</v>
      </c>
      <c r="F4472">
        <v>2.67</v>
      </c>
      <c r="G4472">
        <v>34.43</v>
      </c>
      <c r="H4472">
        <v>2582.25</v>
      </c>
    </row>
    <row r="4473" spans="1:8" x14ac:dyDescent="0.35">
      <c r="A4473" t="s">
        <v>6</v>
      </c>
      <c r="B4473" t="s">
        <v>12</v>
      </c>
      <c r="C4473" t="s">
        <v>9</v>
      </c>
      <c r="D4473">
        <v>219</v>
      </c>
      <c r="E4473">
        <v>15</v>
      </c>
      <c r="F4473">
        <v>6.85</v>
      </c>
      <c r="G4473">
        <v>9.25</v>
      </c>
      <c r="H4473">
        <v>2025.75</v>
      </c>
    </row>
    <row r="4474" spans="1:8" x14ac:dyDescent="0.35">
      <c r="A4474" t="s">
        <v>6</v>
      </c>
      <c r="B4474" t="s">
        <v>12</v>
      </c>
      <c r="C4474" t="s">
        <v>11</v>
      </c>
      <c r="D4474">
        <v>110</v>
      </c>
      <c r="E4474">
        <v>9</v>
      </c>
      <c r="F4474">
        <v>8.18</v>
      </c>
      <c r="G4474">
        <v>57.53</v>
      </c>
      <c r="H4474">
        <v>6328.3</v>
      </c>
    </row>
    <row r="4475" spans="1:8" x14ac:dyDescent="0.35">
      <c r="A4475" t="s">
        <v>5</v>
      </c>
      <c r="B4475" t="s">
        <v>12</v>
      </c>
      <c r="C4475" t="s">
        <v>9</v>
      </c>
      <c r="D4475">
        <v>143</v>
      </c>
      <c r="E4475">
        <v>9</v>
      </c>
      <c r="F4475">
        <v>6.29</v>
      </c>
      <c r="G4475">
        <v>13.76</v>
      </c>
      <c r="H4475">
        <v>1967.68</v>
      </c>
    </row>
    <row r="4476" spans="1:8" x14ac:dyDescent="0.35">
      <c r="A4476" t="s">
        <v>7</v>
      </c>
      <c r="B4476" t="s">
        <v>12</v>
      </c>
      <c r="C4476" t="s">
        <v>9</v>
      </c>
      <c r="D4476">
        <v>73</v>
      </c>
      <c r="E4476">
        <v>2</v>
      </c>
      <c r="F4476">
        <v>2.74</v>
      </c>
      <c r="G4476">
        <v>49.64</v>
      </c>
      <c r="H4476">
        <v>3623.72</v>
      </c>
    </row>
    <row r="4477" spans="1:8" x14ac:dyDescent="0.35">
      <c r="A4477" t="s">
        <v>5</v>
      </c>
      <c r="B4477" t="s">
        <v>12</v>
      </c>
      <c r="C4477" t="s">
        <v>9</v>
      </c>
      <c r="D4477">
        <v>86</v>
      </c>
      <c r="E4477">
        <v>7</v>
      </c>
      <c r="F4477">
        <v>8.14</v>
      </c>
      <c r="G4477">
        <v>6.06</v>
      </c>
      <c r="H4477">
        <v>521.16</v>
      </c>
    </row>
    <row r="4478" spans="1:8" x14ac:dyDescent="0.35">
      <c r="A4478" t="s">
        <v>7</v>
      </c>
      <c r="B4478" t="s">
        <v>12</v>
      </c>
      <c r="C4478" t="s">
        <v>9</v>
      </c>
      <c r="D4478">
        <v>133</v>
      </c>
      <c r="E4478">
        <v>0</v>
      </c>
      <c r="F4478">
        <v>0</v>
      </c>
      <c r="G4478">
        <v>35.94</v>
      </c>
      <c r="H4478">
        <v>4780.0200000000004</v>
      </c>
    </row>
    <row r="4479" spans="1:8" x14ac:dyDescent="0.35">
      <c r="A4479" t="s">
        <v>6</v>
      </c>
      <c r="B4479" t="s">
        <v>12</v>
      </c>
      <c r="C4479" t="s">
        <v>11</v>
      </c>
      <c r="D4479">
        <v>160</v>
      </c>
      <c r="E4479">
        <v>4</v>
      </c>
      <c r="F4479">
        <v>2.5</v>
      </c>
      <c r="G4479">
        <v>8.94</v>
      </c>
      <c r="H4479">
        <v>1430.4</v>
      </c>
    </row>
    <row r="4480" spans="1:8" x14ac:dyDescent="0.35">
      <c r="A4480" t="s">
        <v>7</v>
      </c>
      <c r="B4480" t="s">
        <v>12</v>
      </c>
      <c r="C4480" t="s">
        <v>10</v>
      </c>
      <c r="D4480">
        <v>86</v>
      </c>
      <c r="E4480">
        <v>8</v>
      </c>
      <c r="F4480">
        <v>9.3000000000000007</v>
      </c>
      <c r="G4480">
        <v>36</v>
      </c>
      <c r="H4480">
        <v>3096</v>
      </c>
    </row>
    <row r="4481" spans="1:8" x14ac:dyDescent="0.35">
      <c r="A4481" t="s">
        <v>7</v>
      </c>
      <c r="B4481" t="s">
        <v>12</v>
      </c>
      <c r="C4481" t="s">
        <v>9</v>
      </c>
      <c r="D4481">
        <v>109</v>
      </c>
      <c r="E4481">
        <v>0</v>
      </c>
      <c r="F4481">
        <v>0</v>
      </c>
      <c r="G4481">
        <v>36.270000000000003</v>
      </c>
      <c r="H4481">
        <v>3953.43</v>
      </c>
    </row>
    <row r="4482" spans="1:8" x14ac:dyDescent="0.35">
      <c r="A4482" t="s">
        <v>8</v>
      </c>
      <c r="B4482" t="s">
        <v>12</v>
      </c>
      <c r="C4482" t="s">
        <v>9</v>
      </c>
      <c r="D4482">
        <v>141</v>
      </c>
      <c r="E4482">
        <v>10</v>
      </c>
      <c r="F4482">
        <v>7.09</v>
      </c>
      <c r="G4482">
        <v>7.95</v>
      </c>
      <c r="H4482">
        <v>1120.95</v>
      </c>
    </row>
    <row r="4483" spans="1:8" x14ac:dyDescent="0.35">
      <c r="A4483" t="s">
        <v>6</v>
      </c>
      <c r="B4483" t="s">
        <v>12</v>
      </c>
      <c r="C4483" t="s">
        <v>9</v>
      </c>
      <c r="D4483">
        <v>254</v>
      </c>
      <c r="E4483">
        <v>19</v>
      </c>
      <c r="F4483">
        <v>7.48</v>
      </c>
      <c r="G4483">
        <v>6.35</v>
      </c>
      <c r="H4483">
        <v>1612.9</v>
      </c>
    </row>
    <row r="4484" spans="1:8" x14ac:dyDescent="0.35">
      <c r="A4484" t="s">
        <v>7</v>
      </c>
      <c r="B4484" t="s">
        <v>12</v>
      </c>
      <c r="C4484" t="s">
        <v>10</v>
      </c>
      <c r="D4484">
        <v>259</v>
      </c>
      <c r="E4484">
        <v>16</v>
      </c>
      <c r="F4484">
        <v>6.18</v>
      </c>
      <c r="G4484">
        <v>55.2</v>
      </c>
      <c r="H4484">
        <v>14296.8</v>
      </c>
    </row>
    <row r="4485" spans="1:8" x14ac:dyDescent="0.35">
      <c r="A4485" t="s">
        <v>8</v>
      </c>
      <c r="B4485" t="s">
        <v>12</v>
      </c>
      <c r="C4485" t="s">
        <v>9</v>
      </c>
      <c r="D4485">
        <v>177</v>
      </c>
      <c r="E4485">
        <v>15</v>
      </c>
      <c r="F4485">
        <v>8.4700000000000006</v>
      </c>
      <c r="G4485">
        <v>39.17</v>
      </c>
      <c r="H4485">
        <v>6933.09</v>
      </c>
    </row>
    <row r="4486" spans="1:8" x14ac:dyDescent="0.35">
      <c r="A4486" t="s">
        <v>7</v>
      </c>
      <c r="B4486" t="s">
        <v>12</v>
      </c>
      <c r="C4486" t="s">
        <v>10</v>
      </c>
      <c r="D4486">
        <v>290</v>
      </c>
      <c r="E4486">
        <v>1</v>
      </c>
      <c r="F4486">
        <v>0.34</v>
      </c>
      <c r="G4486">
        <v>30.51</v>
      </c>
      <c r="H4486">
        <v>8847.9</v>
      </c>
    </row>
    <row r="4487" spans="1:8" x14ac:dyDescent="0.35">
      <c r="A4487" t="s">
        <v>7</v>
      </c>
      <c r="B4487" t="s">
        <v>12</v>
      </c>
      <c r="C4487" t="s">
        <v>9</v>
      </c>
      <c r="D4487">
        <v>87</v>
      </c>
      <c r="E4487">
        <v>3</v>
      </c>
      <c r="F4487">
        <v>3.45</v>
      </c>
      <c r="G4487">
        <v>50.94</v>
      </c>
      <c r="H4487">
        <v>4431.78</v>
      </c>
    </row>
    <row r="4488" spans="1:8" x14ac:dyDescent="0.35">
      <c r="A4488" t="s">
        <v>7</v>
      </c>
      <c r="B4488" t="s">
        <v>12</v>
      </c>
      <c r="C4488" t="s">
        <v>9</v>
      </c>
      <c r="D4488">
        <v>263</v>
      </c>
      <c r="E4488">
        <v>23</v>
      </c>
      <c r="F4488">
        <v>8.75</v>
      </c>
      <c r="G4488">
        <v>50.3</v>
      </c>
      <c r="H4488">
        <v>13228.9</v>
      </c>
    </row>
    <row r="4489" spans="1:8" x14ac:dyDescent="0.35">
      <c r="A4489" t="s">
        <v>8</v>
      </c>
      <c r="B4489" t="s">
        <v>12</v>
      </c>
      <c r="C4489" t="s">
        <v>9</v>
      </c>
      <c r="D4489">
        <v>101</v>
      </c>
      <c r="E4489">
        <v>1</v>
      </c>
      <c r="F4489">
        <v>0.99</v>
      </c>
      <c r="G4489">
        <v>20.67</v>
      </c>
      <c r="H4489">
        <v>2087.67</v>
      </c>
    </row>
    <row r="4490" spans="1:8" x14ac:dyDescent="0.35">
      <c r="A4490" t="s">
        <v>5</v>
      </c>
      <c r="B4490" t="s">
        <v>12</v>
      </c>
      <c r="C4490" t="s">
        <v>9</v>
      </c>
      <c r="D4490">
        <v>247</v>
      </c>
      <c r="E4490">
        <v>20</v>
      </c>
      <c r="F4490">
        <v>8.1</v>
      </c>
      <c r="G4490">
        <v>69.099999999999994</v>
      </c>
      <c r="H4490">
        <v>17067.7</v>
      </c>
    </row>
    <row r="4491" spans="1:8" x14ac:dyDescent="0.35">
      <c r="A4491" t="s">
        <v>6</v>
      </c>
      <c r="B4491" t="s">
        <v>12</v>
      </c>
      <c r="C4491" t="s">
        <v>9</v>
      </c>
      <c r="D4491">
        <v>51</v>
      </c>
      <c r="E4491">
        <v>1</v>
      </c>
      <c r="F4491">
        <v>1.96</v>
      </c>
      <c r="G4491">
        <v>11.68</v>
      </c>
      <c r="H4491">
        <v>595.67999999999995</v>
      </c>
    </row>
    <row r="4492" spans="1:8" x14ac:dyDescent="0.35">
      <c r="A4492" t="s">
        <v>5</v>
      </c>
      <c r="B4492" t="s">
        <v>12</v>
      </c>
      <c r="C4492" t="s">
        <v>9</v>
      </c>
      <c r="D4492">
        <v>268</v>
      </c>
      <c r="E4492">
        <v>5</v>
      </c>
      <c r="F4492">
        <v>1.87</v>
      </c>
      <c r="G4492">
        <v>48.01</v>
      </c>
      <c r="H4492">
        <v>12866.68</v>
      </c>
    </row>
    <row r="4493" spans="1:8" x14ac:dyDescent="0.35">
      <c r="A4493" t="s">
        <v>6</v>
      </c>
      <c r="B4493" t="s">
        <v>12</v>
      </c>
      <c r="C4493" t="s">
        <v>9</v>
      </c>
      <c r="D4493">
        <v>110</v>
      </c>
      <c r="E4493">
        <v>9</v>
      </c>
      <c r="F4493">
        <v>8.18</v>
      </c>
      <c r="G4493">
        <v>28.97</v>
      </c>
      <c r="H4493">
        <v>3186.7</v>
      </c>
    </row>
    <row r="4494" spans="1:8" x14ac:dyDescent="0.35">
      <c r="A4494" t="s">
        <v>8</v>
      </c>
      <c r="B4494" t="s">
        <v>12</v>
      </c>
      <c r="C4494" t="s">
        <v>9</v>
      </c>
      <c r="D4494">
        <v>187</v>
      </c>
      <c r="E4494">
        <v>2</v>
      </c>
      <c r="F4494">
        <v>1.07</v>
      </c>
      <c r="G4494">
        <v>68.12</v>
      </c>
      <c r="H4494">
        <v>12738.44</v>
      </c>
    </row>
    <row r="4495" spans="1:8" x14ac:dyDescent="0.35">
      <c r="A4495" t="s">
        <v>5</v>
      </c>
      <c r="B4495" t="s">
        <v>12</v>
      </c>
      <c r="C4495" t="s">
        <v>9</v>
      </c>
      <c r="D4495">
        <v>236</v>
      </c>
      <c r="E4495">
        <v>8</v>
      </c>
      <c r="F4495">
        <v>3.39</v>
      </c>
      <c r="G4495">
        <v>46.22</v>
      </c>
      <c r="H4495">
        <v>10907.92</v>
      </c>
    </row>
    <row r="4496" spans="1:8" x14ac:dyDescent="0.35">
      <c r="A4496" t="s">
        <v>7</v>
      </c>
      <c r="B4496" t="s">
        <v>12</v>
      </c>
      <c r="C4496" t="s">
        <v>10</v>
      </c>
      <c r="D4496">
        <v>266</v>
      </c>
      <c r="E4496">
        <v>9</v>
      </c>
      <c r="F4496">
        <v>3.38</v>
      </c>
      <c r="G4496">
        <v>5.79</v>
      </c>
      <c r="H4496">
        <v>1540.14</v>
      </c>
    </row>
    <row r="4497" spans="1:8" x14ac:dyDescent="0.35">
      <c r="A4497" t="s">
        <v>6</v>
      </c>
      <c r="B4497" t="s">
        <v>12</v>
      </c>
      <c r="C4497" t="s">
        <v>9</v>
      </c>
      <c r="D4497">
        <v>131</v>
      </c>
      <c r="E4497">
        <v>12</v>
      </c>
      <c r="F4497">
        <v>9.16</v>
      </c>
      <c r="G4497">
        <v>27.58</v>
      </c>
      <c r="H4497">
        <v>3612.98</v>
      </c>
    </row>
    <row r="4498" spans="1:8" x14ac:dyDescent="0.35">
      <c r="A4498" t="s">
        <v>6</v>
      </c>
      <c r="B4498" t="s">
        <v>12</v>
      </c>
      <c r="C4498" t="s">
        <v>11</v>
      </c>
      <c r="D4498">
        <v>246</v>
      </c>
      <c r="E4498">
        <v>23</v>
      </c>
      <c r="F4498">
        <v>9.35</v>
      </c>
      <c r="G4498">
        <v>11.9</v>
      </c>
      <c r="H4498">
        <v>2927.4</v>
      </c>
    </row>
    <row r="4499" spans="1:8" x14ac:dyDescent="0.35">
      <c r="A4499" t="s">
        <v>7</v>
      </c>
      <c r="B4499" t="s">
        <v>12</v>
      </c>
      <c r="C4499" t="s">
        <v>9</v>
      </c>
      <c r="D4499">
        <v>237</v>
      </c>
      <c r="E4499">
        <v>12</v>
      </c>
      <c r="F4499">
        <v>5.0599999999999996</v>
      </c>
      <c r="G4499">
        <v>60.22</v>
      </c>
      <c r="H4499">
        <v>14272.14</v>
      </c>
    </row>
    <row r="4500" spans="1:8" x14ac:dyDescent="0.35">
      <c r="A4500" t="s">
        <v>7</v>
      </c>
      <c r="B4500" t="s">
        <v>12</v>
      </c>
      <c r="C4500" t="s">
        <v>9</v>
      </c>
      <c r="D4500">
        <v>151</v>
      </c>
      <c r="E4500">
        <v>14</v>
      </c>
      <c r="F4500">
        <v>9.27</v>
      </c>
      <c r="G4500">
        <v>9.4</v>
      </c>
      <c r="H4500">
        <v>1419.4</v>
      </c>
    </row>
    <row r="4501" spans="1:8" x14ac:dyDescent="0.35">
      <c r="A4501" t="s">
        <v>5</v>
      </c>
      <c r="B4501" t="s">
        <v>12</v>
      </c>
      <c r="C4501" t="s">
        <v>9</v>
      </c>
      <c r="D4501">
        <v>288</v>
      </c>
      <c r="E4501">
        <v>6</v>
      </c>
      <c r="F4501">
        <v>2.08</v>
      </c>
      <c r="G4501">
        <v>48.17</v>
      </c>
      <c r="H4501">
        <v>13872.96</v>
      </c>
    </row>
    <row r="4502" spans="1:8" x14ac:dyDescent="0.35">
      <c r="A4502" t="s">
        <v>6</v>
      </c>
      <c r="B4502" t="s">
        <v>12</v>
      </c>
      <c r="C4502" t="s">
        <v>11</v>
      </c>
      <c r="D4502">
        <v>128</v>
      </c>
      <c r="E4502">
        <v>0</v>
      </c>
      <c r="F4502">
        <v>0</v>
      </c>
      <c r="G4502">
        <v>56.87</v>
      </c>
      <c r="H4502">
        <v>7279.36</v>
      </c>
    </row>
    <row r="4503" spans="1:8" x14ac:dyDescent="0.35">
      <c r="A4503" t="s">
        <v>5</v>
      </c>
      <c r="B4503" t="s">
        <v>12</v>
      </c>
      <c r="C4503" t="s">
        <v>9</v>
      </c>
      <c r="D4503">
        <v>149</v>
      </c>
      <c r="E4503">
        <v>0</v>
      </c>
      <c r="F4503">
        <v>0</v>
      </c>
      <c r="G4503">
        <v>10.37</v>
      </c>
      <c r="H4503">
        <v>1545.13</v>
      </c>
    </row>
    <row r="4504" spans="1:8" x14ac:dyDescent="0.35">
      <c r="A4504" t="s">
        <v>6</v>
      </c>
      <c r="B4504" t="s">
        <v>12</v>
      </c>
      <c r="C4504" t="s">
        <v>9</v>
      </c>
      <c r="D4504">
        <v>219</v>
      </c>
      <c r="E4504">
        <v>6</v>
      </c>
      <c r="F4504">
        <v>2.74</v>
      </c>
      <c r="G4504">
        <v>18</v>
      </c>
      <c r="H4504">
        <v>3942</v>
      </c>
    </row>
    <row r="4505" spans="1:8" x14ac:dyDescent="0.35">
      <c r="A4505" t="s">
        <v>7</v>
      </c>
      <c r="B4505" t="s">
        <v>12</v>
      </c>
      <c r="C4505" t="s">
        <v>9</v>
      </c>
      <c r="D4505">
        <v>269</v>
      </c>
      <c r="E4505">
        <v>5</v>
      </c>
      <c r="F4505">
        <v>1.86</v>
      </c>
      <c r="G4505">
        <v>17.41</v>
      </c>
      <c r="H4505">
        <v>4683.29</v>
      </c>
    </row>
    <row r="4506" spans="1:8" x14ac:dyDescent="0.35">
      <c r="A4506" t="s">
        <v>7</v>
      </c>
      <c r="B4506" t="s">
        <v>12</v>
      </c>
      <c r="C4506" t="s">
        <v>10</v>
      </c>
      <c r="D4506">
        <v>268</v>
      </c>
      <c r="E4506">
        <v>19</v>
      </c>
      <c r="F4506">
        <v>7.09</v>
      </c>
      <c r="G4506">
        <v>24.48</v>
      </c>
      <c r="H4506">
        <v>6560.64</v>
      </c>
    </row>
    <row r="4507" spans="1:8" x14ac:dyDescent="0.35">
      <c r="A4507" t="s">
        <v>7</v>
      </c>
      <c r="B4507" t="s">
        <v>12</v>
      </c>
      <c r="C4507" t="s">
        <v>9</v>
      </c>
      <c r="D4507">
        <v>165</v>
      </c>
      <c r="E4507">
        <v>14</v>
      </c>
      <c r="F4507">
        <v>8.48</v>
      </c>
      <c r="G4507">
        <v>66.5</v>
      </c>
      <c r="H4507">
        <v>10972.5</v>
      </c>
    </row>
    <row r="4508" spans="1:8" x14ac:dyDescent="0.35">
      <c r="A4508" t="s">
        <v>8</v>
      </c>
      <c r="B4508" t="s">
        <v>12</v>
      </c>
      <c r="C4508" t="s">
        <v>9</v>
      </c>
      <c r="D4508">
        <v>271</v>
      </c>
      <c r="E4508">
        <v>10</v>
      </c>
      <c r="F4508">
        <v>3.69</v>
      </c>
      <c r="G4508">
        <v>62.71</v>
      </c>
      <c r="H4508">
        <v>16994.41</v>
      </c>
    </row>
    <row r="4509" spans="1:8" x14ac:dyDescent="0.35">
      <c r="A4509" t="s">
        <v>7</v>
      </c>
      <c r="B4509" t="s">
        <v>12</v>
      </c>
      <c r="C4509" t="s">
        <v>9</v>
      </c>
      <c r="D4509">
        <v>299</v>
      </c>
      <c r="E4509">
        <v>14</v>
      </c>
      <c r="F4509">
        <v>4.68</v>
      </c>
      <c r="G4509">
        <v>65.099999999999994</v>
      </c>
      <c r="H4509">
        <v>19464.900000000001</v>
      </c>
    </row>
    <row r="4510" spans="1:8" x14ac:dyDescent="0.35">
      <c r="A4510" t="s">
        <v>7</v>
      </c>
      <c r="B4510" t="s">
        <v>12</v>
      </c>
      <c r="C4510" t="s">
        <v>9</v>
      </c>
      <c r="D4510">
        <v>155</v>
      </c>
      <c r="E4510">
        <v>14</v>
      </c>
      <c r="F4510">
        <v>9.0299999999999994</v>
      </c>
      <c r="G4510">
        <v>35.270000000000003</v>
      </c>
      <c r="H4510">
        <v>5466.85</v>
      </c>
    </row>
    <row r="4511" spans="1:8" x14ac:dyDescent="0.35">
      <c r="A4511" t="s">
        <v>7</v>
      </c>
      <c r="B4511" t="s">
        <v>12</v>
      </c>
      <c r="C4511" t="s">
        <v>9</v>
      </c>
      <c r="D4511">
        <v>220</v>
      </c>
      <c r="E4511">
        <v>6</v>
      </c>
      <c r="F4511">
        <v>2.73</v>
      </c>
      <c r="G4511">
        <v>10.96</v>
      </c>
      <c r="H4511">
        <v>2411.1999999999998</v>
      </c>
    </row>
    <row r="4512" spans="1:8" x14ac:dyDescent="0.35">
      <c r="A4512" t="s">
        <v>8</v>
      </c>
      <c r="B4512" t="s">
        <v>12</v>
      </c>
      <c r="C4512" t="s">
        <v>9</v>
      </c>
      <c r="D4512">
        <v>92</v>
      </c>
      <c r="E4512">
        <v>9</v>
      </c>
      <c r="F4512">
        <v>9.7799999999999994</v>
      </c>
      <c r="G4512">
        <v>41.38</v>
      </c>
      <c r="H4512">
        <v>3806.96</v>
      </c>
    </row>
    <row r="4513" spans="1:8" x14ac:dyDescent="0.35">
      <c r="A4513" t="s">
        <v>6</v>
      </c>
      <c r="B4513" t="s">
        <v>12</v>
      </c>
      <c r="C4513" t="s">
        <v>11</v>
      </c>
      <c r="D4513">
        <v>204</v>
      </c>
      <c r="E4513">
        <v>14</v>
      </c>
      <c r="F4513">
        <v>6.86</v>
      </c>
      <c r="G4513">
        <v>41.54</v>
      </c>
      <c r="H4513">
        <v>8474.16</v>
      </c>
    </row>
    <row r="4514" spans="1:8" x14ac:dyDescent="0.35">
      <c r="A4514" t="s">
        <v>7</v>
      </c>
      <c r="B4514" t="s">
        <v>12</v>
      </c>
      <c r="C4514" t="s">
        <v>10</v>
      </c>
      <c r="D4514">
        <v>279</v>
      </c>
      <c r="E4514">
        <v>17</v>
      </c>
      <c r="F4514">
        <v>6.09</v>
      </c>
      <c r="G4514">
        <v>11.38</v>
      </c>
      <c r="H4514">
        <v>3175.02</v>
      </c>
    </row>
    <row r="4515" spans="1:8" x14ac:dyDescent="0.35">
      <c r="A4515" t="s">
        <v>8</v>
      </c>
      <c r="B4515" t="s">
        <v>12</v>
      </c>
      <c r="C4515" t="s">
        <v>9</v>
      </c>
      <c r="D4515">
        <v>147</v>
      </c>
      <c r="E4515">
        <v>13</v>
      </c>
      <c r="F4515">
        <v>8.84</v>
      </c>
      <c r="G4515">
        <v>12.85</v>
      </c>
      <c r="H4515">
        <v>1888.95</v>
      </c>
    </row>
    <row r="4516" spans="1:8" x14ac:dyDescent="0.35">
      <c r="A4516" t="s">
        <v>5</v>
      </c>
      <c r="B4516" t="s">
        <v>12</v>
      </c>
      <c r="C4516" t="s">
        <v>9</v>
      </c>
      <c r="D4516">
        <v>243</v>
      </c>
      <c r="E4516">
        <v>5</v>
      </c>
      <c r="F4516">
        <v>2.06</v>
      </c>
      <c r="G4516">
        <v>17.260000000000002</v>
      </c>
      <c r="H4516">
        <v>4194.18</v>
      </c>
    </row>
    <row r="4517" spans="1:8" x14ac:dyDescent="0.35">
      <c r="A4517" t="s">
        <v>5</v>
      </c>
      <c r="B4517" t="s">
        <v>12</v>
      </c>
      <c r="C4517" t="s">
        <v>9</v>
      </c>
      <c r="D4517">
        <v>245</v>
      </c>
      <c r="E4517">
        <v>7</v>
      </c>
      <c r="F4517">
        <v>2.86</v>
      </c>
      <c r="G4517">
        <v>60.7</v>
      </c>
      <c r="H4517">
        <v>14871.5</v>
      </c>
    </row>
    <row r="4518" spans="1:8" x14ac:dyDescent="0.35">
      <c r="A4518" t="s">
        <v>6</v>
      </c>
      <c r="B4518" t="s">
        <v>12</v>
      </c>
      <c r="C4518" t="s">
        <v>11</v>
      </c>
      <c r="D4518">
        <v>201</v>
      </c>
      <c r="E4518">
        <v>20</v>
      </c>
      <c r="F4518">
        <v>9.9499999999999993</v>
      </c>
      <c r="G4518">
        <v>23.07</v>
      </c>
      <c r="H4518">
        <v>4637.07</v>
      </c>
    </row>
    <row r="4519" spans="1:8" x14ac:dyDescent="0.35">
      <c r="A4519" t="s">
        <v>7</v>
      </c>
      <c r="B4519" t="s">
        <v>12</v>
      </c>
      <c r="C4519" t="s">
        <v>10</v>
      </c>
      <c r="D4519">
        <v>51</v>
      </c>
      <c r="E4519">
        <v>2</v>
      </c>
      <c r="F4519">
        <v>3.92</v>
      </c>
      <c r="G4519">
        <v>15.48</v>
      </c>
      <c r="H4519">
        <v>789.48</v>
      </c>
    </row>
    <row r="4520" spans="1:8" x14ac:dyDescent="0.35">
      <c r="A4520" t="s">
        <v>6</v>
      </c>
      <c r="B4520" t="s">
        <v>12</v>
      </c>
      <c r="C4520" t="s">
        <v>11</v>
      </c>
      <c r="D4520">
        <v>143</v>
      </c>
      <c r="E4520">
        <v>0</v>
      </c>
      <c r="F4520">
        <v>0</v>
      </c>
      <c r="G4520">
        <v>54</v>
      </c>
      <c r="H4520">
        <v>7722</v>
      </c>
    </row>
    <row r="4521" spans="1:8" x14ac:dyDescent="0.35">
      <c r="A4521" t="s">
        <v>7</v>
      </c>
      <c r="B4521" t="s">
        <v>12</v>
      </c>
      <c r="C4521" t="s">
        <v>9</v>
      </c>
      <c r="D4521">
        <v>88</v>
      </c>
      <c r="E4521">
        <v>3</v>
      </c>
      <c r="F4521">
        <v>3.41</v>
      </c>
      <c r="G4521">
        <v>67.05</v>
      </c>
      <c r="H4521">
        <v>5900.4</v>
      </c>
    </row>
    <row r="4522" spans="1:8" x14ac:dyDescent="0.35">
      <c r="A4522" t="s">
        <v>6</v>
      </c>
      <c r="B4522" t="s">
        <v>12</v>
      </c>
      <c r="C4522" t="s">
        <v>11</v>
      </c>
      <c r="D4522">
        <v>128</v>
      </c>
      <c r="E4522">
        <v>12</v>
      </c>
      <c r="F4522">
        <v>9.3800000000000008</v>
      </c>
      <c r="G4522">
        <v>59.75</v>
      </c>
      <c r="H4522">
        <v>7648</v>
      </c>
    </row>
    <row r="4523" spans="1:8" x14ac:dyDescent="0.35">
      <c r="A4523" t="s">
        <v>6</v>
      </c>
      <c r="B4523" t="s">
        <v>12</v>
      </c>
      <c r="C4523" t="s">
        <v>11</v>
      </c>
      <c r="D4523">
        <v>66</v>
      </c>
      <c r="E4523">
        <v>5</v>
      </c>
      <c r="F4523">
        <v>7.58</v>
      </c>
      <c r="G4523">
        <v>37.86</v>
      </c>
      <c r="H4523">
        <v>2498.7600000000002</v>
      </c>
    </row>
    <row r="4524" spans="1:8" x14ac:dyDescent="0.35">
      <c r="A4524" t="s">
        <v>8</v>
      </c>
      <c r="B4524" t="s">
        <v>12</v>
      </c>
      <c r="C4524" t="s">
        <v>9</v>
      </c>
      <c r="D4524">
        <v>170</v>
      </c>
      <c r="E4524">
        <v>10</v>
      </c>
      <c r="F4524">
        <v>5.88</v>
      </c>
      <c r="G4524">
        <v>59.67</v>
      </c>
      <c r="H4524">
        <v>10143.9</v>
      </c>
    </row>
    <row r="4525" spans="1:8" x14ac:dyDescent="0.35">
      <c r="A4525" t="s">
        <v>5</v>
      </c>
      <c r="B4525" t="s">
        <v>12</v>
      </c>
      <c r="C4525" t="s">
        <v>9</v>
      </c>
      <c r="D4525">
        <v>266</v>
      </c>
      <c r="E4525">
        <v>24</v>
      </c>
      <c r="F4525">
        <v>9.02</v>
      </c>
      <c r="G4525">
        <v>47.99</v>
      </c>
      <c r="H4525">
        <v>12765.34</v>
      </c>
    </row>
    <row r="4526" spans="1:8" x14ac:dyDescent="0.35">
      <c r="A4526" t="s">
        <v>6</v>
      </c>
      <c r="B4526" t="s">
        <v>12</v>
      </c>
      <c r="C4526" t="s">
        <v>11</v>
      </c>
      <c r="D4526">
        <v>239</v>
      </c>
      <c r="E4526">
        <v>19</v>
      </c>
      <c r="F4526">
        <v>7.95</v>
      </c>
      <c r="G4526">
        <v>27.53</v>
      </c>
      <c r="H4526">
        <v>6579.67</v>
      </c>
    </row>
    <row r="4527" spans="1:8" x14ac:dyDescent="0.35">
      <c r="A4527" t="s">
        <v>7</v>
      </c>
      <c r="B4527" t="s">
        <v>12</v>
      </c>
      <c r="C4527" t="s">
        <v>10</v>
      </c>
      <c r="D4527">
        <v>151</v>
      </c>
      <c r="E4527">
        <v>11</v>
      </c>
      <c r="F4527">
        <v>7.28</v>
      </c>
      <c r="G4527">
        <v>65.260000000000005</v>
      </c>
      <c r="H4527">
        <v>9854.26</v>
      </c>
    </row>
    <row r="4528" spans="1:8" x14ac:dyDescent="0.35">
      <c r="A4528" t="s">
        <v>8</v>
      </c>
      <c r="B4528" t="s">
        <v>12</v>
      </c>
      <c r="C4528" t="s">
        <v>9</v>
      </c>
      <c r="D4528">
        <v>62</v>
      </c>
      <c r="E4528">
        <v>5</v>
      </c>
      <c r="F4528">
        <v>8.06</v>
      </c>
      <c r="G4528">
        <v>50.7</v>
      </c>
      <c r="H4528">
        <v>3143.4</v>
      </c>
    </row>
    <row r="4529" spans="1:8" x14ac:dyDescent="0.35">
      <c r="A4529" t="s">
        <v>7</v>
      </c>
      <c r="B4529" t="s">
        <v>12</v>
      </c>
      <c r="C4529" t="s">
        <v>10</v>
      </c>
      <c r="D4529">
        <v>229</v>
      </c>
      <c r="E4529">
        <v>14</v>
      </c>
      <c r="F4529">
        <v>6.11</v>
      </c>
      <c r="G4529">
        <v>52.42</v>
      </c>
      <c r="H4529">
        <v>12004.18</v>
      </c>
    </row>
    <row r="4530" spans="1:8" x14ac:dyDescent="0.35">
      <c r="A4530" t="s">
        <v>6</v>
      </c>
      <c r="B4530" t="s">
        <v>12</v>
      </c>
      <c r="C4530" t="s">
        <v>11</v>
      </c>
      <c r="D4530">
        <v>241</v>
      </c>
      <c r="E4530">
        <v>24</v>
      </c>
      <c r="F4530">
        <v>9.9600000000000009</v>
      </c>
      <c r="G4530">
        <v>67.13</v>
      </c>
      <c r="H4530">
        <v>16178.33</v>
      </c>
    </row>
    <row r="4531" spans="1:8" x14ac:dyDescent="0.35">
      <c r="A4531" t="s">
        <v>6</v>
      </c>
      <c r="B4531" t="s">
        <v>12</v>
      </c>
      <c r="C4531" t="s">
        <v>9</v>
      </c>
      <c r="D4531">
        <v>157</v>
      </c>
      <c r="E4531">
        <v>3</v>
      </c>
      <c r="F4531">
        <v>1.91</v>
      </c>
      <c r="G4531">
        <v>28.72</v>
      </c>
      <c r="H4531">
        <v>4509.04</v>
      </c>
    </row>
    <row r="4532" spans="1:8" x14ac:dyDescent="0.35">
      <c r="A4532" t="s">
        <v>8</v>
      </c>
      <c r="B4532" t="s">
        <v>12</v>
      </c>
      <c r="C4532" t="s">
        <v>9</v>
      </c>
      <c r="D4532">
        <v>157</v>
      </c>
      <c r="E4532">
        <v>9</v>
      </c>
      <c r="F4532">
        <v>5.73</v>
      </c>
      <c r="G4532">
        <v>44.28</v>
      </c>
      <c r="H4532">
        <v>6951.96</v>
      </c>
    </row>
    <row r="4533" spans="1:8" x14ac:dyDescent="0.35">
      <c r="A4533" t="s">
        <v>7</v>
      </c>
      <c r="B4533" t="s">
        <v>12</v>
      </c>
      <c r="C4533" t="s">
        <v>10</v>
      </c>
      <c r="D4533">
        <v>103</v>
      </c>
      <c r="E4533">
        <v>6</v>
      </c>
      <c r="F4533">
        <v>5.83</v>
      </c>
      <c r="G4533">
        <v>33.79</v>
      </c>
      <c r="H4533">
        <v>3480.37</v>
      </c>
    </row>
    <row r="4534" spans="1:8" x14ac:dyDescent="0.35">
      <c r="A4534" t="s">
        <v>7</v>
      </c>
      <c r="B4534" t="s">
        <v>12</v>
      </c>
      <c r="C4534" t="s">
        <v>10</v>
      </c>
      <c r="D4534">
        <v>203</v>
      </c>
      <c r="E4534">
        <v>9</v>
      </c>
      <c r="F4534">
        <v>4.43</v>
      </c>
      <c r="G4534">
        <v>28.72</v>
      </c>
      <c r="H4534">
        <v>5830.16</v>
      </c>
    </row>
    <row r="4535" spans="1:8" x14ac:dyDescent="0.35">
      <c r="A4535" t="s">
        <v>6</v>
      </c>
      <c r="B4535" t="s">
        <v>12</v>
      </c>
      <c r="C4535" t="s">
        <v>11</v>
      </c>
      <c r="D4535">
        <v>278</v>
      </c>
      <c r="E4535">
        <v>16</v>
      </c>
      <c r="F4535">
        <v>5.76</v>
      </c>
      <c r="G4535">
        <v>32.79</v>
      </c>
      <c r="H4535">
        <v>9115.6200000000008</v>
      </c>
    </row>
    <row r="4536" spans="1:8" x14ac:dyDescent="0.35">
      <c r="A4536" t="s">
        <v>5</v>
      </c>
      <c r="B4536" t="s">
        <v>12</v>
      </c>
      <c r="C4536" t="s">
        <v>9</v>
      </c>
      <c r="D4536">
        <v>71</v>
      </c>
      <c r="E4536">
        <v>6</v>
      </c>
      <c r="F4536">
        <v>8.4499999999999993</v>
      </c>
      <c r="G4536">
        <v>14.39</v>
      </c>
      <c r="H4536">
        <v>1021.69</v>
      </c>
    </row>
    <row r="4537" spans="1:8" x14ac:dyDescent="0.35">
      <c r="A4537" t="s">
        <v>8</v>
      </c>
      <c r="B4537" t="s">
        <v>12</v>
      </c>
      <c r="C4537" t="s">
        <v>9</v>
      </c>
      <c r="D4537">
        <v>195</v>
      </c>
      <c r="E4537">
        <v>16</v>
      </c>
      <c r="F4537">
        <v>8.2100000000000009</v>
      </c>
      <c r="G4537">
        <v>39.26</v>
      </c>
      <c r="H4537">
        <v>7655.7</v>
      </c>
    </row>
    <row r="4538" spans="1:8" x14ac:dyDescent="0.35">
      <c r="A4538" t="s">
        <v>7</v>
      </c>
      <c r="B4538" t="s">
        <v>12</v>
      </c>
      <c r="C4538" t="s">
        <v>10</v>
      </c>
      <c r="D4538">
        <v>265</v>
      </c>
      <c r="E4538">
        <v>24</v>
      </c>
      <c r="F4538">
        <v>9.06</v>
      </c>
      <c r="G4538">
        <v>10.46</v>
      </c>
      <c r="H4538">
        <v>2771.9</v>
      </c>
    </row>
    <row r="4539" spans="1:8" x14ac:dyDescent="0.35">
      <c r="A4539" t="s">
        <v>6</v>
      </c>
      <c r="B4539" t="s">
        <v>12</v>
      </c>
      <c r="C4539" t="s">
        <v>11</v>
      </c>
      <c r="D4539">
        <v>289</v>
      </c>
      <c r="E4539">
        <v>21</v>
      </c>
      <c r="F4539">
        <v>7.27</v>
      </c>
      <c r="G4539">
        <v>14.3</v>
      </c>
      <c r="H4539">
        <v>4132.7</v>
      </c>
    </row>
    <row r="4540" spans="1:8" x14ac:dyDescent="0.35">
      <c r="A4540" t="s">
        <v>7</v>
      </c>
      <c r="B4540" t="s">
        <v>12</v>
      </c>
      <c r="C4540" t="s">
        <v>9</v>
      </c>
      <c r="D4540">
        <v>205</v>
      </c>
      <c r="E4540">
        <v>15</v>
      </c>
      <c r="F4540">
        <v>7.32</v>
      </c>
      <c r="G4540">
        <v>65.23</v>
      </c>
      <c r="H4540">
        <v>13372.15</v>
      </c>
    </row>
    <row r="4541" spans="1:8" x14ac:dyDescent="0.35">
      <c r="A4541" t="s">
        <v>7</v>
      </c>
      <c r="B4541" t="s">
        <v>12</v>
      </c>
      <c r="C4541" t="s">
        <v>9</v>
      </c>
      <c r="D4541">
        <v>70</v>
      </c>
      <c r="E4541">
        <v>4</v>
      </c>
      <c r="F4541">
        <v>5.71</v>
      </c>
      <c r="G4541">
        <v>38.89</v>
      </c>
      <c r="H4541">
        <v>2722.3</v>
      </c>
    </row>
    <row r="4542" spans="1:8" x14ac:dyDescent="0.35">
      <c r="A4542" t="s">
        <v>6</v>
      </c>
      <c r="B4542" t="s">
        <v>12</v>
      </c>
      <c r="C4542" t="s">
        <v>9</v>
      </c>
      <c r="D4542">
        <v>66</v>
      </c>
      <c r="E4542">
        <v>3</v>
      </c>
      <c r="F4542">
        <v>4.55</v>
      </c>
      <c r="G4542">
        <v>28.17</v>
      </c>
      <c r="H4542">
        <v>1859.22</v>
      </c>
    </row>
    <row r="4543" spans="1:8" x14ac:dyDescent="0.35">
      <c r="A4543" t="s">
        <v>7</v>
      </c>
      <c r="B4543" t="s">
        <v>12</v>
      </c>
      <c r="C4543" t="s">
        <v>9</v>
      </c>
      <c r="D4543">
        <v>232</v>
      </c>
      <c r="E4543">
        <v>22</v>
      </c>
      <c r="F4543">
        <v>9.48</v>
      </c>
      <c r="G4543">
        <v>62.2</v>
      </c>
      <c r="H4543">
        <v>14430.4</v>
      </c>
    </row>
    <row r="4544" spans="1:8" x14ac:dyDescent="0.35">
      <c r="A4544" t="s">
        <v>7</v>
      </c>
      <c r="B4544" t="s">
        <v>12</v>
      </c>
      <c r="C4544" t="s">
        <v>9</v>
      </c>
      <c r="D4544">
        <v>287</v>
      </c>
      <c r="E4544">
        <v>27</v>
      </c>
      <c r="F4544">
        <v>9.41</v>
      </c>
      <c r="G4544">
        <v>42.8</v>
      </c>
      <c r="H4544">
        <v>12283.6</v>
      </c>
    </row>
    <row r="4545" spans="1:8" x14ac:dyDescent="0.35">
      <c r="A4545" t="s">
        <v>7</v>
      </c>
      <c r="B4545" t="s">
        <v>12</v>
      </c>
      <c r="C4545" t="s">
        <v>10</v>
      </c>
      <c r="D4545">
        <v>99</v>
      </c>
      <c r="E4545">
        <v>8</v>
      </c>
      <c r="F4545">
        <v>8.08</v>
      </c>
      <c r="G4545">
        <v>39.700000000000003</v>
      </c>
      <c r="H4545">
        <v>3930.3</v>
      </c>
    </row>
    <row r="4546" spans="1:8" x14ac:dyDescent="0.35">
      <c r="A4546" t="s">
        <v>7</v>
      </c>
      <c r="B4546" t="s">
        <v>12</v>
      </c>
      <c r="C4546" t="s">
        <v>9</v>
      </c>
      <c r="D4546">
        <v>209</v>
      </c>
      <c r="E4546">
        <v>11</v>
      </c>
      <c r="F4546">
        <v>5.26</v>
      </c>
      <c r="G4546">
        <v>14.11</v>
      </c>
      <c r="H4546">
        <v>2948.99</v>
      </c>
    </row>
    <row r="4547" spans="1:8" x14ac:dyDescent="0.35">
      <c r="A4547" t="s">
        <v>7</v>
      </c>
      <c r="B4547" t="s">
        <v>12</v>
      </c>
      <c r="C4547" t="s">
        <v>10</v>
      </c>
      <c r="D4547">
        <v>132</v>
      </c>
      <c r="E4547">
        <v>7</v>
      </c>
      <c r="F4547">
        <v>5.3</v>
      </c>
      <c r="G4547">
        <v>23.35</v>
      </c>
      <c r="H4547">
        <v>3082.2</v>
      </c>
    </row>
    <row r="4548" spans="1:8" x14ac:dyDescent="0.35">
      <c r="A4548" t="s">
        <v>7</v>
      </c>
      <c r="B4548" t="s">
        <v>12</v>
      </c>
      <c r="C4548" t="s">
        <v>10</v>
      </c>
      <c r="D4548">
        <v>253</v>
      </c>
      <c r="E4548">
        <v>5</v>
      </c>
      <c r="F4548">
        <v>1.98</v>
      </c>
      <c r="G4548">
        <v>10.95</v>
      </c>
      <c r="H4548">
        <v>2770.35</v>
      </c>
    </row>
    <row r="4549" spans="1:8" x14ac:dyDescent="0.35">
      <c r="A4549" t="s">
        <v>7</v>
      </c>
      <c r="B4549" t="s">
        <v>12</v>
      </c>
      <c r="C4549" t="s">
        <v>10</v>
      </c>
      <c r="D4549">
        <v>118</v>
      </c>
      <c r="E4549">
        <v>8</v>
      </c>
      <c r="F4549">
        <v>6.78</v>
      </c>
      <c r="G4549">
        <v>26.03</v>
      </c>
      <c r="H4549">
        <v>3071.54</v>
      </c>
    </row>
    <row r="4550" spans="1:8" x14ac:dyDescent="0.35">
      <c r="A4550" t="s">
        <v>5</v>
      </c>
      <c r="B4550" t="s">
        <v>12</v>
      </c>
      <c r="C4550" t="s">
        <v>9</v>
      </c>
      <c r="D4550">
        <v>268</v>
      </c>
      <c r="E4550">
        <v>23</v>
      </c>
      <c r="F4550">
        <v>8.58</v>
      </c>
      <c r="G4550">
        <v>62.35</v>
      </c>
      <c r="H4550">
        <v>16709.8</v>
      </c>
    </row>
    <row r="4551" spans="1:8" x14ac:dyDescent="0.35">
      <c r="A4551" t="s">
        <v>6</v>
      </c>
      <c r="B4551" t="s">
        <v>12</v>
      </c>
      <c r="C4551" t="s">
        <v>11</v>
      </c>
      <c r="D4551">
        <v>178</v>
      </c>
      <c r="E4551">
        <v>12</v>
      </c>
      <c r="F4551">
        <v>6.74</v>
      </c>
      <c r="G4551">
        <v>20.97</v>
      </c>
      <c r="H4551">
        <v>3732.66</v>
      </c>
    </row>
    <row r="4552" spans="1:8" x14ac:dyDescent="0.35">
      <c r="A4552" t="s">
        <v>7</v>
      </c>
      <c r="B4552" t="s">
        <v>12</v>
      </c>
      <c r="C4552" t="s">
        <v>10</v>
      </c>
      <c r="D4552">
        <v>244</v>
      </c>
      <c r="E4552">
        <v>16</v>
      </c>
      <c r="F4552">
        <v>6.56</v>
      </c>
      <c r="G4552">
        <v>33.76</v>
      </c>
      <c r="H4552">
        <v>8237.44</v>
      </c>
    </row>
    <row r="4553" spans="1:8" x14ac:dyDescent="0.35">
      <c r="A4553" t="s">
        <v>6</v>
      </c>
      <c r="B4553" t="s">
        <v>12</v>
      </c>
      <c r="C4553" t="s">
        <v>9</v>
      </c>
      <c r="D4553">
        <v>236</v>
      </c>
      <c r="E4553">
        <v>1</v>
      </c>
      <c r="F4553">
        <v>0.42</v>
      </c>
      <c r="G4553">
        <v>27.87</v>
      </c>
      <c r="H4553">
        <v>6577.32</v>
      </c>
    </row>
    <row r="4554" spans="1:8" x14ac:dyDescent="0.35">
      <c r="A4554" t="s">
        <v>6</v>
      </c>
      <c r="B4554" t="s">
        <v>12</v>
      </c>
      <c r="C4554" t="s">
        <v>9</v>
      </c>
      <c r="D4554">
        <v>70</v>
      </c>
      <c r="E4554">
        <v>2</v>
      </c>
      <c r="F4554">
        <v>2.86</v>
      </c>
      <c r="G4554">
        <v>42.02</v>
      </c>
      <c r="H4554">
        <v>2941.4</v>
      </c>
    </row>
    <row r="4555" spans="1:8" x14ac:dyDescent="0.35">
      <c r="A4555" t="s">
        <v>8</v>
      </c>
      <c r="B4555" t="s">
        <v>12</v>
      </c>
      <c r="C4555" t="s">
        <v>9</v>
      </c>
      <c r="D4555">
        <v>123</v>
      </c>
      <c r="E4555">
        <v>5</v>
      </c>
      <c r="F4555">
        <v>4.07</v>
      </c>
      <c r="G4555">
        <v>64.77</v>
      </c>
      <c r="H4555">
        <v>7966.71</v>
      </c>
    </row>
    <row r="4556" spans="1:8" x14ac:dyDescent="0.35">
      <c r="A4556" t="s">
        <v>5</v>
      </c>
      <c r="B4556" t="s">
        <v>12</v>
      </c>
      <c r="C4556" t="s">
        <v>9</v>
      </c>
      <c r="D4556">
        <v>86</v>
      </c>
      <c r="E4556">
        <v>5</v>
      </c>
      <c r="F4556">
        <v>5.81</v>
      </c>
      <c r="G4556">
        <v>48.95</v>
      </c>
      <c r="H4556">
        <v>4209.7</v>
      </c>
    </row>
    <row r="4557" spans="1:8" x14ac:dyDescent="0.35">
      <c r="A4557" t="s">
        <v>6</v>
      </c>
      <c r="B4557" t="s">
        <v>12</v>
      </c>
      <c r="C4557" t="s">
        <v>9</v>
      </c>
      <c r="D4557">
        <v>219</v>
      </c>
      <c r="E4557">
        <v>17</v>
      </c>
      <c r="F4557">
        <v>7.76</v>
      </c>
      <c r="G4557">
        <v>15.45</v>
      </c>
      <c r="H4557">
        <v>3383.55</v>
      </c>
    </row>
    <row r="4558" spans="1:8" x14ac:dyDescent="0.35">
      <c r="A4558" t="s">
        <v>7</v>
      </c>
      <c r="B4558" t="s">
        <v>12</v>
      </c>
      <c r="C4558" t="s">
        <v>10</v>
      </c>
      <c r="D4558">
        <v>124</v>
      </c>
      <c r="E4558">
        <v>3</v>
      </c>
      <c r="F4558">
        <v>2.42</v>
      </c>
      <c r="G4558">
        <v>56.06</v>
      </c>
      <c r="H4558">
        <v>6951.44</v>
      </c>
    </row>
    <row r="4559" spans="1:8" x14ac:dyDescent="0.35">
      <c r="A4559" t="s">
        <v>6</v>
      </c>
      <c r="B4559" t="s">
        <v>12</v>
      </c>
      <c r="C4559" t="s">
        <v>11</v>
      </c>
      <c r="D4559">
        <v>102</v>
      </c>
      <c r="E4559">
        <v>2</v>
      </c>
      <c r="F4559">
        <v>1.96</v>
      </c>
      <c r="G4559">
        <v>42.69</v>
      </c>
      <c r="H4559">
        <v>4354.38</v>
      </c>
    </row>
    <row r="4560" spans="1:8" x14ac:dyDescent="0.35">
      <c r="A4560" t="s">
        <v>6</v>
      </c>
      <c r="B4560" t="s">
        <v>12</v>
      </c>
      <c r="C4560" t="s">
        <v>9</v>
      </c>
      <c r="D4560">
        <v>115</v>
      </c>
      <c r="E4560">
        <v>0</v>
      </c>
      <c r="F4560">
        <v>0</v>
      </c>
      <c r="G4560">
        <v>41.89</v>
      </c>
      <c r="H4560">
        <v>4817.3500000000004</v>
      </c>
    </row>
    <row r="4561" spans="1:8" x14ac:dyDescent="0.35">
      <c r="A4561" t="s">
        <v>6</v>
      </c>
      <c r="B4561" t="s">
        <v>12</v>
      </c>
      <c r="C4561" t="s">
        <v>9</v>
      </c>
      <c r="D4561">
        <v>160</v>
      </c>
      <c r="E4561">
        <v>5</v>
      </c>
      <c r="F4561">
        <v>3.12</v>
      </c>
      <c r="G4561">
        <v>18</v>
      </c>
      <c r="H4561">
        <v>2880</v>
      </c>
    </row>
    <row r="4562" spans="1:8" x14ac:dyDescent="0.35">
      <c r="A4562" t="s">
        <v>8</v>
      </c>
      <c r="B4562" t="s">
        <v>12</v>
      </c>
      <c r="C4562" t="s">
        <v>9</v>
      </c>
      <c r="D4562">
        <v>247</v>
      </c>
      <c r="E4562">
        <v>2</v>
      </c>
      <c r="F4562">
        <v>0.81</v>
      </c>
      <c r="G4562">
        <v>23</v>
      </c>
      <c r="H4562">
        <v>5681</v>
      </c>
    </row>
    <row r="4563" spans="1:8" x14ac:dyDescent="0.35">
      <c r="A4563" t="s">
        <v>7</v>
      </c>
      <c r="B4563" t="s">
        <v>12</v>
      </c>
      <c r="C4563" t="s">
        <v>9</v>
      </c>
      <c r="D4563">
        <v>193</v>
      </c>
      <c r="E4563">
        <v>0</v>
      </c>
      <c r="F4563">
        <v>0</v>
      </c>
      <c r="G4563">
        <v>25.04</v>
      </c>
      <c r="H4563">
        <v>4832.72</v>
      </c>
    </row>
    <row r="4564" spans="1:8" x14ac:dyDescent="0.35">
      <c r="A4564" t="s">
        <v>5</v>
      </c>
      <c r="B4564" t="s">
        <v>12</v>
      </c>
      <c r="C4564" t="s">
        <v>9</v>
      </c>
      <c r="D4564">
        <v>176</v>
      </c>
      <c r="E4564">
        <v>4</v>
      </c>
      <c r="F4564">
        <v>2.27</v>
      </c>
      <c r="G4564">
        <v>13.64</v>
      </c>
      <c r="H4564">
        <v>2400.64</v>
      </c>
    </row>
    <row r="4565" spans="1:8" x14ac:dyDescent="0.35">
      <c r="A4565" t="s">
        <v>8</v>
      </c>
      <c r="B4565" t="s">
        <v>12</v>
      </c>
      <c r="C4565" t="s">
        <v>9</v>
      </c>
      <c r="D4565">
        <v>135</v>
      </c>
      <c r="E4565">
        <v>3</v>
      </c>
      <c r="F4565">
        <v>2.2200000000000002</v>
      </c>
      <c r="G4565">
        <v>17.170000000000002</v>
      </c>
      <c r="H4565">
        <v>2317.9499999999998</v>
      </c>
    </row>
    <row r="4566" spans="1:8" x14ac:dyDescent="0.35">
      <c r="A4566" t="s">
        <v>8</v>
      </c>
      <c r="B4566" t="s">
        <v>12</v>
      </c>
      <c r="C4566" t="s">
        <v>9</v>
      </c>
      <c r="D4566">
        <v>118</v>
      </c>
      <c r="E4566">
        <v>0</v>
      </c>
      <c r="F4566">
        <v>0</v>
      </c>
      <c r="G4566">
        <v>69.64</v>
      </c>
      <c r="H4566">
        <v>8217.52</v>
      </c>
    </row>
    <row r="4567" spans="1:8" x14ac:dyDescent="0.35">
      <c r="A4567" t="s">
        <v>8</v>
      </c>
      <c r="B4567" t="s">
        <v>12</v>
      </c>
      <c r="C4567" t="s">
        <v>9</v>
      </c>
      <c r="D4567">
        <v>123</v>
      </c>
      <c r="E4567">
        <v>3</v>
      </c>
      <c r="F4567">
        <v>2.44</v>
      </c>
      <c r="G4567">
        <v>54.95</v>
      </c>
      <c r="H4567">
        <v>6758.85</v>
      </c>
    </row>
    <row r="4568" spans="1:8" x14ac:dyDescent="0.35">
      <c r="A4568" t="s">
        <v>8</v>
      </c>
      <c r="B4568" t="s">
        <v>12</v>
      </c>
      <c r="C4568" t="s">
        <v>9</v>
      </c>
      <c r="D4568">
        <v>213</v>
      </c>
      <c r="E4568">
        <v>8</v>
      </c>
      <c r="F4568">
        <v>3.76</v>
      </c>
      <c r="G4568">
        <v>45.66</v>
      </c>
      <c r="H4568">
        <v>9725.58</v>
      </c>
    </row>
    <row r="4569" spans="1:8" x14ac:dyDescent="0.35">
      <c r="A4569" t="s">
        <v>6</v>
      </c>
      <c r="B4569" t="s">
        <v>12</v>
      </c>
      <c r="C4569" t="s">
        <v>9</v>
      </c>
      <c r="D4569">
        <v>193</v>
      </c>
      <c r="E4569">
        <v>17</v>
      </c>
      <c r="F4569">
        <v>8.81</v>
      </c>
      <c r="G4569">
        <v>47.75</v>
      </c>
      <c r="H4569">
        <v>9215.75</v>
      </c>
    </row>
    <row r="4570" spans="1:8" x14ac:dyDescent="0.35">
      <c r="A4570" t="s">
        <v>8</v>
      </c>
      <c r="B4570" t="s">
        <v>12</v>
      </c>
      <c r="C4570" t="s">
        <v>9</v>
      </c>
      <c r="D4570">
        <v>244</v>
      </c>
      <c r="E4570">
        <v>4</v>
      </c>
      <c r="F4570">
        <v>1.64</v>
      </c>
      <c r="G4570">
        <v>28.54</v>
      </c>
      <c r="H4570">
        <v>6963.76</v>
      </c>
    </row>
    <row r="4571" spans="1:8" x14ac:dyDescent="0.35">
      <c r="A4571" t="s">
        <v>5</v>
      </c>
      <c r="B4571" t="s">
        <v>12</v>
      </c>
      <c r="C4571" t="s">
        <v>9</v>
      </c>
      <c r="D4571">
        <v>183</v>
      </c>
      <c r="E4571">
        <v>2</v>
      </c>
      <c r="F4571">
        <v>1.0900000000000001</v>
      </c>
      <c r="G4571">
        <v>33.56</v>
      </c>
      <c r="H4571">
        <v>6141.48</v>
      </c>
    </row>
    <row r="4572" spans="1:8" x14ac:dyDescent="0.35">
      <c r="A4572" t="s">
        <v>7</v>
      </c>
      <c r="B4572" t="s">
        <v>12</v>
      </c>
      <c r="C4572" t="s">
        <v>10</v>
      </c>
      <c r="D4572">
        <v>122</v>
      </c>
      <c r="E4572">
        <v>7</v>
      </c>
      <c r="F4572">
        <v>5.74</v>
      </c>
      <c r="G4572">
        <v>56.6</v>
      </c>
      <c r="H4572">
        <v>6905.2</v>
      </c>
    </row>
    <row r="4573" spans="1:8" x14ac:dyDescent="0.35">
      <c r="A4573" t="s">
        <v>6</v>
      </c>
      <c r="B4573" t="s">
        <v>12</v>
      </c>
      <c r="C4573" t="s">
        <v>9</v>
      </c>
      <c r="D4573">
        <v>147</v>
      </c>
      <c r="E4573">
        <v>3</v>
      </c>
      <c r="F4573">
        <v>2.04</v>
      </c>
      <c r="G4573">
        <v>18.55</v>
      </c>
      <c r="H4573">
        <v>2726.85</v>
      </c>
    </row>
    <row r="4574" spans="1:8" x14ac:dyDescent="0.35">
      <c r="A4574" t="s">
        <v>7</v>
      </c>
      <c r="B4574" t="s">
        <v>12</v>
      </c>
      <c r="C4574" t="s">
        <v>10</v>
      </c>
      <c r="D4574">
        <v>180</v>
      </c>
      <c r="E4574">
        <v>4</v>
      </c>
      <c r="F4574">
        <v>2.2200000000000002</v>
      </c>
      <c r="G4574">
        <v>69.63</v>
      </c>
      <c r="H4574">
        <v>12533.4</v>
      </c>
    </row>
    <row r="4575" spans="1:8" x14ac:dyDescent="0.35">
      <c r="A4575" t="s">
        <v>5</v>
      </c>
      <c r="B4575" t="s">
        <v>12</v>
      </c>
      <c r="C4575" t="s">
        <v>9</v>
      </c>
      <c r="D4575">
        <v>284</v>
      </c>
      <c r="E4575">
        <v>28</v>
      </c>
      <c r="F4575">
        <v>9.86</v>
      </c>
      <c r="G4575">
        <v>39.89</v>
      </c>
      <c r="H4575">
        <v>11328.76</v>
      </c>
    </row>
    <row r="4576" spans="1:8" x14ac:dyDescent="0.35">
      <c r="A4576" t="s">
        <v>5</v>
      </c>
      <c r="B4576" t="s">
        <v>12</v>
      </c>
      <c r="C4576" t="s">
        <v>9</v>
      </c>
      <c r="D4576">
        <v>122</v>
      </c>
      <c r="E4576">
        <v>12</v>
      </c>
      <c r="F4576">
        <v>9.84</v>
      </c>
      <c r="G4576">
        <v>62.34</v>
      </c>
      <c r="H4576">
        <v>7605.48</v>
      </c>
    </row>
    <row r="4577" spans="1:8" x14ac:dyDescent="0.35">
      <c r="A4577" t="s">
        <v>7</v>
      </c>
      <c r="B4577" t="s">
        <v>12</v>
      </c>
      <c r="C4577" t="s">
        <v>10</v>
      </c>
      <c r="D4577">
        <v>261</v>
      </c>
      <c r="E4577">
        <v>6</v>
      </c>
      <c r="F4577">
        <v>2.2999999999999998</v>
      </c>
      <c r="G4577">
        <v>48.49</v>
      </c>
      <c r="H4577">
        <v>12655.89</v>
      </c>
    </row>
    <row r="4578" spans="1:8" x14ac:dyDescent="0.35">
      <c r="A4578" t="s">
        <v>6</v>
      </c>
      <c r="B4578" t="s">
        <v>12</v>
      </c>
      <c r="C4578" t="s">
        <v>9</v>
      </c>
      <c r="D4578">
        <v>142</v>
      </c>
      <c r="E4578">
        <v>6</v>
      </c>
      <c r="F4578">
        <v>4.2300000000000004</v>
      </c>
      <c r="G4578">
        <v>5.39</v>
      </c>
      <c r="H4578">
        <v>765.38</v>
      </c>
    </row>
    <row r="4579" spans="1:8" x14ac:dyDescent="0.35">
      <c r="A4579" t="s">
        <v>6</v>
      </c>
      <c r="B4579" t="s">
        <v>12</v>
      </c>
      <c r="C4579" t="s">
        <v>9</v>
      </c>
      <c r="D4579">
        <v>86</v>
      </c>
      <c r="E4579">
        <v>2</v>
      </c>
      <c r="F4579">
        <v>2.33</v>
      </c>
      <c r="G4579">
        <v>65.73</v>
      </c>
      <c r="H4579">
        <v>5652.78</v>
      </c>
    </row>
    <row r="4580" spans="1:8" x14ac:dyDescent="0.35">
      <c r="A4580" t="s">
        <v>8</v>
      </c>
      <c r="B4580" t="s">
        <v>12</v>
      </c>
      <c r="C4580" t="s">
        <v>9</v>
      </c>
      <c r="D4580">
        <v>198</v>
      </c>
      <c r="E4580">
        <v>17</v>
      </c>
      <c r="F4580">
        <v>8.59</v>
      </c>
      <c r="G4580">
        <v>49.29</v>
      </c>
      <c r="H4580">
        <v>9759.42</v>
      </c>
    </row>
    <row r="4581" spans="1:8" x14ac:dyDescent="0.35">
      <c r="A4581" t="s">
        <v>8</v>
      </c>
      <c r="B4581" t="s">
        <v>12</v>
      </c>
      <c r="C4581" t="s">
        <v>9</v>
      </c>
      <c r="D4581">
        <v>191</v>
      </c>
      <c r="E4581">
        <v>1</v>
      </c>
      <c r="F4581">
        <v>0.52</v>
      </c>
      <c r="G4581">
        <v>10.34</v>
      </c>
      <c r="H4581">
        <v>1974.94</v>
      </c>
    </row>
    <row r="4582" spans="1:8" x14ac:dyDescent="0.35">
      <c r="A4582" t="s">
        <v>5</v>
      </c>
      <c r="B4582" t="s">
        <v>12</v>
      </c>
      <c r="C4582" t="s">
        <v>9</v>
      </c>
      <c r="D4582">
        <v>281</v>
      </c>
      <c r="E4582">
        <v>16</v>
      </c>
      <c r="F4582">
        <v>5.69</v>
      </c>
      <c r="G4582">
        <v>61.71</v>
      </c>
      <c r="H4582">
        <v>17340.509999999998</v>
      </c>
    </row>
    <row r="4583" spans="1:8" x14ac:dyDescent="0.35">
      <c r="A4583" t="s">
        <v>6</v>
      </c>
      <c r="B4583" t="s">
        <v>12</v>
      </c>
      <c r="C4583" t="s">
        <v>11</v>
      </c>
      <c r="D4583">
        <v>236</v>
      </c>
      <c r="E4583">
        <v>16</v>
      </c>
      <c r="F4583">
        <v>6.78</v>
      </c>
      <c r="G4583">
        <v>10.46</v>
      </c>
      <c r="H4583">
        <v>2468.56</v>
      </c>
    </row>
    <row r="4584" spans="1:8" x14ac:dyDescent="0.35">
      <c r="A4584" t="s">
        <v>5</v>
      </c>
      <c r="B4584" t="s">
        <v>12</v>
      </c>
      <c r="C4584" t="s">
        <v>9</v>
      </c>
      <c r="D4584">
        <v>163</v>
      </c>
      <c r="E4584">
        <v>3</v>
      </c>
      <c r="F4584">
        <v>1.84</v>
      </c>
      <c r="G4584">
        <v>57.1</v>
      </c>
      <c r="H4584">
        <v>9307.2999999999993</v>
      </c>
    </row>
    <row r="4585" spans="1:8" x14ac:dyDescent="0.35">
      <c r="A4585" t="s">
        <v>7</v>
      </c>
      <c r="B4585" t="s">
        <v>12</v>
      </c>
      <c r="C4585" t="s">
        <v>9</v>
      </c>
      <c r="D4585">
        <v>95</v>
      </c>
      <c r="E4585">
        <v>9</v>
      </c>
      <c r="F4585">
        <v>9.4700000000000006</v>
      </c>
      <c r="G4585">
        <v>26.07</v>
      </c>
      <c r="H4585">
        <v>2476.65</v>
      </c>
    </row>
    <row r="4586" spans="1:8" x14ac:dyDescent="0.35">
      <c r="A4586" t="s">
        <v>7</v>
      </c>
      <c r="B4586" t="s">
        <v>12</v>
      </c>
      <c r="C4586" t="s">
        <v>9</v>
      </c>
      <c r="D4586">
        <v>255</v>
      </c>
      <c r="E4586">
        <v>14</v>
      </c>
      <c r="F4586">
        <v>5.49</v>
      </c>
      <c r="G4586">
        <v>42.76</v>
      </c>
      <c r="H4586">
        <v>10903.8</v>
      </c>
    </row>
    <row r="4587" spans="1:8" x14ac:dyDescent="0.35">
      <c r="A4587" t="s">
        <v>7</v>
      </c>
      <c r="B4587" t="s">
        <v>12</v>
      </c>
      <c r="C4587" t="s">
        <v>10</v>
      </c>
      <c r="D4587">
        <v>251</v>
      </c>
      <c r="E4587">
        <v>8</v>
      </c>
      <c r="F4587">
        <v>3.19</v>
      </c>
      <c r="G4587">
        <v>5.57</v>
      </c>
      <c r="H4587">
        <v>1398.07</v>
      </c>
    </row>
    <row r="4588" spans="1:8" x14ac:dyDescent="0.35">
      <c r="A4588" t="s">
        <v>7</v>
      </c>
      <c r="B4588" t="s">
        <v>12</v>
      </c>
      <c r="C4588" t="s">
        <v>10</v>
      </c>
      <c r="D4588">
        <v>85</v>
      </c>
      <c r="E4588">
        <v>0</v>
      </c>
      <c r="F4588">
        <v>0</v>
      </c>
      <c r="G4588">
        <v>27.07</v>
      </c>
      <c r="H4588">
        <v>2300.9499999999998</v>
      </c>
    </row>
    <row r="4589" spans="1:8" x14ac:dyDescent="0.35">
      <c r="A4589" t="s">
        <v>6</v>
      </c>
      <c r="B4589" t="s">
        <v>12</v>
      </c>
      <c r="C4589" t="s">
        <v>9</v>
      </c>
      <c r="D4589">
        <v>64</v>
      </c>
      <c r="E4589">
        <v>3</v>
      </c>
      <c r="F4589">
        <v>4.6900000000000004</v>
      </c>
      <c r="G4589">
        <v>25.5</v>
      </c>
      <c r="H4589">
        <v>1632</v>
      </c>
    </row>
    <row r="4590" spans="1:8" x14ac:dyDescent="0.35">
      <c r="A4590" t="s">
        <v>7</v>
      </c>
      <c r="B4590" t="s">
        <v>12</v>
      </c>
      <c r="C4590" t="s">
        <v>10</v>
      </c>
      <c r="D4590">
        <v>181</v>
      </c>
      <c r="E4590">
        <v>0</v>
      </c>
      <c r="F4590">
        <v>0</v>
      </c>
      <c r="G4590">
        <v>69.98</v>
      </c>
      <c r="H4590">
        <v>12666.38</v>
      </c>
    </row>
    <row r="4591" spans="1:8" x14ac:dyDescent="0.35">
      <c r="A4591" t="s">
        <v>7</v>
      </c>
      <c r="B4591" t="s">
        <v>12</v>
      </c>
      <c r="C4591" t="s">
        <v>9</v>
      </c>
      <c r="D4591">
        <v>66</v>
      </c>
      <c r="E4591">
        <v>5</v>
      </c>
      <c r="F4591">
        <v>7.58</v>
      </c>
      <c r="G4591">
        <v>61.76</v>
      </c>
      <c r="H4591">
        <v>4076.16</v>
      </c>
    </row>
    <row r="4592" spans="1:8" x14ac:dyDescent="0.35">
      <c r="A4592" t="s">
        <v>5</v>
      </c>
      <c r="B4592" t="s">
        <v>12</v>
      </c>
      <c r="C4592" t="s">
        <v>9</v>
      </c>
      <c r="D4592">
        <v>150</v>
      </c>
      <c r="E4592">
        <v>4</v>
      </c>
      <c r="F4592">
        <v>2.67</v>
      </c>
      <c r="G4592">
        <v>53.87</v>
      </c>
      <c r="H4592">
        <v>8080.5</v>
      </c>
    </row>
    <row r="4593" spans="1:8" x14ac:dyDescent="0.35">
      <c r="A4593" t="s">
        <v>8</v>
      </c>
      <c r="B4593" t="s">
        <v>12</v>
      </c>
      <c r="C4593" t="s">
        <v>9</v>
      </c>
      <c r="D4593">
        <v>166</v>
      </c>
      <c r="E4593">
        <v>16</v>
      </c>
      <c r="F4593">
        <v>9.64</v>
      </c>
      <c r="G4593">
        <v>27.36</v>
      </c>
      <c r="H4593">
        <v>4541.76</v>
      </c>
    </row>
    <row r="4594" spans="1:8" x14ac:dyDescent="0.35">
      <c r="A4594" t="s">
        <v>7</v>
      </c>
      <c r="B4594" t="s">
        <v>12</v>
      </c>
      <c r="C4594" t="s">
        <v>10</v>
      </c>
      <c r="D4594">
        <v>172</v>
      </c>
      <c r="E4594">
        <v>3</v>
      </c>
      <c r="F4594">
        <v>1.74</v>
      </c>
      <c r="G4594">
        <v>12.56</v>
      </c>
      <c r="H4594">
        <v>2160.3200000000002</v>
      </c>
    </row>
    <row r="4595" spans="1:8" x14ac:dyDescent="0.35">
      <c r="A4595" t="s">
        <v>6</v>
      </c>
      <c r="B4595" t="s">
        <v>12</v>
      </c>
      <c r="C4595" t="s">
        <v>11</v>
      </c>
      <c r="D4595">
        <v>147</v>
      </c>
      <c r="E4595">
        <v>12</v>
      </c>
      <c r="F4595">
        <v>8.16</v>
      </c>
      <c r="G4595">
        <v>36.94</v>
      </c>
      <c r="H4595">
        <v>5430.18</v>
      </c>
    </row>
    <row r="4596" spans="1:8" x14ac:dyDescent="0.35">
      <c r="A4596" t="s">
        <v>7</v>
      </c>
      <c r="B4596" t="s">
        <v>12</v>
      </c>
      <c r="C4596" t="s">
        <v>10</v>
      </c>
      <c r="D4596">
        <v>121</v>
      </c>
      <c r="E4596">
        <v>0</v>
      </c>
      <c r="F4596">
        <v>0</v>
      </c>
      <c r="G4596">
        <v>38.26</v>
      </c>
      <c r="H4596">
        <v>4629.46</v>
      </c>
    </row>
    <row r="4597" spans="1:8" x14ac:dyDescent="0.35">
      <c r="A4597" t="s">
        <v>8</v>
      </c>
      <c r="B4597" t="s">
        <v>12</v>
      </c>
      <c r="C4597" t="s">
        <v>9</v>
      </c>
      <c r="D4597">
        <v>233</v>
      </c>
      <c r="E4597">
        <v>21</v>
      </c>
      <c r="F4597">
        <v>9.01</v>
      </c>
      <c r="G4597">
        <v>62.08</v>
      </c>
      <c r="H4597">
        <v>14464.64</v>
      </c>
    </row>
    <row r="4598" spans="1:8" x14ac:dyDescent="0.35">
      <c r="A4598" t="s">
        <v>7</v>
      </c>
      <c r="B4598" t="s">
        <v>12</v>
      </c>
      <c r="C4598" t="s">
        <v>10</v>
      </c>
      <c r="D4598">
        <v>181</v>
      </c>
      <c r="E4598">
        <v>8</v>
      </c>
      <c r="F4598">
        <v>4.42</v>
      </c>
      <c r="G4598">
        <v>29.1</v>
      </c>
      <c r="H4598">
        <v>5267.1</v>
      </c>
    </row>
    <row r="4599" spans="1:8" x14ac:dyDescent="0.35">
      <c r="A4599" t="s">
        <v>8</v>
      </c>
      <c r="B4599" t="s">
        <v>12</v>
      </c>
      <c r="C4599" t="s">
        <v>9</v>
      </c>
      <c r="D4599">
        <v>270</v>
      </c>
      <c r="E4599">
        <v>26</v>
      </c>
      <c r="F4599">
        <v>9.6300000000000008</v>
      </c>
      <c r="G4599">
        <v>46.83</v>
      </c>
      <c r="H4599">
        <v>12644.1</v>
      </c>
    </row>
    <row r="4600" spans="1:8" x14ac:dyDescent="0.35">
      <c r="A4600" t="s">
        <v>7</v>
      </c>
      <c r="B4600" t="s">
        <v>12</v>
      </c>
      <c r="C4600" t="s">
        <v>10</v>
      </c>
      <c r="D4600">
        <v>205</v>
      </c>
      <c r="E4600">
        <v>0</v>
      </c>
      <c r="F4600">
        <v>0</v>
      </c>
      <c r="G4600">
        <v>56.61</v>
      </c>
      <c r="H4600">
        <v>11605.05</v>
      </c>
    </row>
    <row r="4601" spans="1:8" x14ac:dyDescent="0.35">
      <c r="A4601" t="s">
        <v>6</v>
      </c>
      <c r="B4601" t="s">
        <v>12</v>
      </c>
      <c r="C4601" t="s">
        <v>9</v>
      </c>
      <c r="D4601">
        <v>220</v>
      </c>
      <c r="E4601">
        <v>13</v>
      </c>
      <c r="F4601">
        <v>5.91</v>
      </c>
      <c r="G4601">
        <v>15.18</v>
      </c>
      <c r="H4601">
        <v>3339.6</v>
      </c>
    </row>
    <row r="4602" spans="1:8" x14ac:dyDescent="0.35">
      <c r="A4602" t="s">
        <v>7</v>
      </c>
      <c r="B4602" t="s">
        <v>12</v>
      </c>
      <c r="C4602" t="s">
        <v>10</v>
      </c>
      <c r="D4602">
        <v>113</v>
      </c>
      <c r="E4602">
        <v>0</v>
      </c>
      <c r="F4602">
        <v>0</v>
      </c>
      <c r="G4602">
        <v>32.67</v>
      </c>
      <c r="H4602">
        <v>3691.71</v>
      </c>
    </row>
    <row r="4603" spans="1:8" x14ac:dyDescent="0.35">
      <c r="A4603" t="s">
        <v>6</v>
      </c>
      <c r="B4603" t="s">
        <v>12</v>
      </c>
      <c r="C4603" t="s">
        <v>11</v>
      </c>
      <c r="D4603">
        <v>86</v>
      </c>
      <c r="E4603">
        <v>2</v>
      </c>
      <c r="F4603">
        <v>2.33</v>
      </c>
      <c r="G4603">
        <v>18.61</v>
      </c>
      <c r="H4603">
        <v>1600.46</v>
      </c>
    </row>
    <row r="4604" spans="1:8" x14ac:dyDescent="0.35">
      <c r="A4604" t="s">
        <v>5</v>
      </c>
      <c r="B4604" t="s">
        <v>12</v>
      </c>
      <c r="C4604" t="s">
        <v>9</v>
      </c>
      <c r="D4604">
        <v>119</v>
      </c>
      <c r="E4604">
        <v>6</v>
      </c>
      <c r="F4604">
        <v>5.04</v>
      </c>
      <c r="G4604">
        <v>12.88</v>
      </c>
      <c r="H4604">
        <v>1532.72</v>
      </c>
    </row>
    <row r="4605" spans="1:8" x14ac:dyDescent="0.35">
      <c r="A4605" t="s">
        <v>8</v>
      </c>
      <c r="B4605" t="s">
        <v>12</v>
      </c>
      <c r="C4605" t="s">
        <v>9</v>
      </c>
      <c r="D4605">
        <v>298</v>
      </c>
      <c r="E4605">
        <v>7</v>
      </c>
      <c r="F4605">
        <v>2.35</v>
      </c>
      <c r="G4605">
        <v>59.79</v>
      </c>
      <c r="H4605">
        <v>17817.419999999998</v>
      </c>
    </row>
    <row r="4606" spans="1:8" x14ac:dyDescent="0.35">
      <c r="A4606" t="s">
        <v>8</v>
      </c>
      <c r="B4606" t="s">
        <v>12</v>
      </c>
      <c r="C4606" t="s">
        <v>9</v>
      </c>
      <c r="D4606">
        <v>176</v>
      </c>
      <c r="E4606">
        <v>1</v>
      </c>
      <c r="F4606">
        <v>0.56999999999999995</v>
      </c>
      <c r="G4606">
        <v>8.2200000000000006</v>
      </c>
      <c r="H4606">
        <v>1446.72</v>
      </c>
    </row>
    <row r="4607" spans="1:8" x14ac:dyDescent="0.35">
      <c r="A4607" t="s">
        <v>6</v>
      </c>
      <c r="B4607" t="s">
        <v>12</v>
      </c>
      <c r="C4607" t="s">
        <v>11</v>
      </c>
      <c r="D4607">
        <v>204</v>
      </c>
      <c r="E4607">
        <v>12</v>
      </c>
      <c r="F4607">
        <v>5.88</v>
      </c>
      <c r="G4607">
        <v>22.93</v>
      </c>
      <c r="H4607">
        <v>4677.72</v>
      </c>
    </row>
    <row r="4608" spans="1:8" x14ac:dyDescent="0.35">
      <c r="A4608" t="s">
        <v>7</v>
      </c>
      <c r="B4608" t="s">
        <v>12</v>
      </c>
      <c r="C4608" t="s">
        <v>9</v>
      </c>
      <c r="D4608">
        <v>114</v>
      </c>
      <c r="E4608">
        <v>5</v>
      </c>
      <c r="F4608">
        <v>4.3899999999999997</v>
      </c>
      <c r="G4608">
        <v>48.25</v>
      </c>
      <c r="H4608">
        <v>5500.5</v>
      </c>
    </row>
    <row r="4609" spans="1:8" x14ac:dyDescent="0.35">
      <c r="A4609" t="s">
        <v>8</v>
      </c>
      <c r="B4609" t="s">
        <v>12</v>
      </c>
      <c r="C4609" t="s">
        <v>9</v>
      </c>
      <c r="D4609">
        <v>233</v>
      </c>
      <c r="E4609">
        <v>8</v>
      </c>
      <c r="F4609">
        <v>3.43</v>
      </c>
      <c r="G4609">
        <v>32.75</v>
      </c>
      <c r="H4609">
        <v>7630.75</v>
      </c>
    </row>
    <row r="4610" spans="1:8" x14ac:dyDescent="0.35">
      <c r="A4610" t="s">
        <v>7</v>
      </c>
      <c r="B4610" t="s">
        <v>12</v>
      </c>
      <c r="C4610" t="s">
        <v>9</v>
      </c>
      <c r="D4610">
        <v>174</v>
      </c>
      <c r="E4610">
        <v>17</v>
      </c>
      <c r="F4610">
        <v>9.77</v>
      </c>
      <c r="G4610">
        <v>37.119999999999997</v>
      </c>
      <c r="H4610">
        <v>6458.88</v>
      </c>
    </row>
    <row r="4611" spans="1:8" x14ac:dyDescent="0.35">
      <c r="A4611" t="s">
        <v>6</v>
      </c>
      <c r="B4611" t="s">
        <v>12</v>
      </c>
      <c r="C4611" t="s">
        <v>9</v>
      </c>
      <c r="D4611">
        <v>176</v>
      </c>
      <c r="E4611">
        <v>2</v>
      </c>
      <c r="F4611">
        <v>1.1399999999999999</v>
      </c>
      <c r="G4611">
        <v>48.81</v>
      </c>
      <c r="H4611">
        <v>8590.56</v>
      </c>
    </row>
    <row r="4612" spans="1:8" x14ac:dyDescent="0.35">
      <c r="A4612" t="s">
        <v>6</v>
      </c>
      <c r="B4612" t="s">
        <v>12</v>
      </c>
      <c r="C4612" t="s">
        <v>9</v>
      </c>
      <c r="D4612">
        <v>284</v>
      </c>
      <c r="E4612">
        <v>7</v>
      </c>
      <c r="F4612">
        <v>2.46</v>
      </c>
      <c r="G4612">
        <v>42.64</v>
      </c>
      <c r="H4612">
        <v>12109.76</v>
      </c>
    </row>
    <row r="4613" spans="1:8" x14ac:dyDescent="0.35">
      <c r="A4613" t="s">
        <v>6</v>
      </c>
      <c r="B4613" t="s">
        <v>12</v>
      </c>
      <c r="C4613" t="s">
        <v>9</v>
      </c>
      <c r="D4613">
        <v>117</v>
      </c>
      <c r="E4613">
        <v>9</v>
      </c>
      <c r="F4613">
        <v>7.69</v>
      </c>
      <c r="G4613">
        <v>18.420000000000002</v>
      </c>
      <c r="H4613">
        <v>2155.14</v>
      </c>
    </row>
    <row r="4614" spans="1:8" x14ac:dyDescent="0.35">
      <c r="A4614" t="s">
        <v>6</v>
      </c>
      <c r="B4614" t="s">
        <v>12</v>
      </c>
      <c r="C4614" t="s">
        <v>11</v>
      </c>
      <c r="D4614">
        <v>248</v>
      </c>
      <c r="E4614">
        <v>21</v>
      </c>
      <c r="F4614">
        <v>8.4700000000000006</v>
      </c>
      <c r="G4614">
        <v>36.479999999999997</v>
      </c>
      <c r="H4614">
        <v>9047.0400000000009</v>
      </c>
    </row>
    <row r="4615" spans="1:8" x14ac:dyDescent="0.35">
      <c r="A4615" t="s">
        <v>6</v>
      </c>
      <c r="B4615" t="s">
        <v>12</v>
      </c>
      <c r="C4615" t="s">
        <v>11</v>
      </c>
      <c r="D4615">
        <v>216</v>
      </c>
      <c r="E4615">
        <v>3</v>
      </c>
      <c r="F4615">
        <v>1.39</v>
      </c>
      <c r="G4615">
        <v>30.26</v>
      </c>
      <c r="H4615">
        <v>6536.16</v>
      </c>
    </row>
    <row r="4616" spans="1:8" x14ac:dyDescent="0.35">
      <c r="A4616" t="s">
        <v>7</v>
      </c>
      <c r="B4616" t="s">
        <v>12</v>
      </c>
      <c r="C4616" t="s">
        <v>9</v>
      </c>
      <c r="D4616">
        <v>88</v>
      </c>
      <c r="E4616">
        <v>6</v>
      </c>
      <c r="F4616">
        <v>6.82</v>
      </c>
      <c r="G4616">
        <v>36.1</v>
      </c>
      <c r="H4616">
        <v>3176.8</v>
      </c>
    </row>
    <row r="4617" spans="1:8" x14ac:dyDescent="0.35">
      <c r="A4617" t="s">
        <v>7</v>
      </c>
      <c r="B4617" t="s">
        <v>12</v>
      </c>
      <c r="C4617" t="s">
        <v>10</v>
      </c>
      <c r="D4617">
        <v>270</v>
      </c>
      <c r="E4617">
        <v>15</v>
      </c>
      <c r="F4617">
        <v>5.56</v>
      </c>
      <c r="G4617">
        <v>66.73</v>
      </c>
      <c r="H4617">
        <v>18017.099999999999</v>
      </c>
    </row>
    <row r="4618" spans="1:8" x14ac:dyDescent="0.35">
      <c r="A4618" t="s">
        <v>7</v>
      </c>
      <c r="B4618" t="s">
        <v>12</v>
      </c>
      <c r="C4618" t="s">
        <v>9</v>
      </c>
      <c r="D4618">
        <v>110</v>
      </c>
      <c r="E4618">
        <v>7</v>
      </c>
      <c r="F4618">
        <v>6.36</v>
      </c>
      <c r="G4618">
        <v>43.82</v>
      </c>
      <c r="H4618">
        <v>4820.2</v>
      </c>
    </row>
    <row r="4619" spans="1:8" x14ac:dyDescent="0.35">
      <c r="A4619" t="s">
        <v>7</v>
      </c>
      <c r="B4619" t="s">
        <v>12</v>
      </c>
      <c r="C4619" t="s">
        <v>9</v>
      </c>
      <c r="D4619">
        <v>102</v>
      </c>
      <c r="E4619">
        <v>6</v>
      </c>
      <c r="F4619">
        <v>5.88</v>
      </c>
      <c r="G4619">
        <v>68.34</v>
      </c>
      <c r="H4619">
        <v>6970.68</v>
      </c>
    </row>
    <row r="4620" spans="1:8" x14ac:dyDescent="0.35">
      <c r="A4620" t="s">
        <v>7</v>
      </c>
      <c r="B4620" t="s">
        <v>12</v>
      </c>
      <c r="C4620" t="s">
        <v>10</v>
      </c>
      <c r="D4620">
        <v>233</v>
      </c>
      <c r="E4620">
        <v>16</v>
      </c>
      <c r="F4620">
        <v>6.87</v>
      </c>
      <c r="G4620">
        <v>31.49</v>
      </c>
      <c r="H4620">
        <v>7337.17</v>
      </c>
    </row>
    <row r="4621" spans="1:8" x14ac:dyDescent="0.35">
      <c r="A4621" t="s">
        <v>7</v>
      </c>
      <c r="B4621" t="s">
        <v>12</v>
      </c>
      <c r="C4621" t="s">
        <v>9</v>
      </c>
      <c r="D4621">
        <v>282</v>
      </c>
      <c r="E4621">
        <v>27</v>
      </c>
      <c r="F4621">
        <v>9.57</v>
      </c>
      <c r="G4621">
        <v>28.83</v>
      </c>
      <c r="H4621">
        <v>8130.06</v>
      </c>
    </row>
    <row r="4622" spans="1:8" x14ac:dyDescent="0.35">
      <c r="A4622" t="s">
        <v>6</v>
      </c>
      <c r="B4622" t="s">
        <v>12</v>
      </c>
      <c r="C4622" t="s">
        <v>9</v>
      </c>
      <c r="D4622">
        <v>236</v>
      </c>
      <c r="E4622">
        <v>11</v>
      </c>
      <c r="F4622">
        <v>4.66</v>
      </c>
      <c r="G4622">
        <v>58.66</v>
      </c>
      <c r="H4622">
        <v>13843.76</v>
      </c>
    </row>
    <row r="4623" spans="1:8" x14ac:dyDescent="0.35">
      <c r="A4623" t="s">
        <v>6</v>
      </c>
      <c r="B4623" t="s">
        <v>12</v>
      </c>
      <c r="C4623" t="s">
        <v>9</v>
      </c>
      <c r="D4623">
        <v>138</v>
      </c>
      <c r="E4623">
        <v>10</v>
      </c>
      <c r="F4623">
        <v>7.25</v>
      </c>
      <c r="G4623">
        <v>63.21</v>
      </c>
      <c r="H4623">
        <v>8722.98</v>
      </c>
    </row>
    <row r="4624" spans="1:8" x14ac:dyDescent="0.35">
      <c r="A4624" t="s">
        <v>8</v>
      </c>
      <c r="B4624" t="s">
        <v>12</v>
      </c>
      <c r="C4624" t="s">
        <v>9</v>
      </c>
      <c r="D4624">
        <v>57</v>
      </c>
      <c r="E4624">
        <v>5</v>
      </c>
      <c r="F4624">
        <v>8.77</v>
      </c>
      <c r="G4624">
        <v>7.93</v>
      </c>
      <c r="H4624">
        <v>452.01</v>
      </c>
    </row>
    <row r="4625" spans="1:8" x14ac:dyDescent="0.35">
      <c r="A4625" t="s">
        <v>7</v>
      </c>
      <c r="B4625" t="s">
        <v>12</v>
      </c>
      <c r="C4625" t="s">
        <v>10</v>
      </c>
      <c r="D4625">
        <v>294</v>
      </c>
      <c r="E4625">
        <v>24</v>
      </c>
      <c r="F4625">
        <v>8.16</v>
      </c>
      <c r="G4625">
        <v>68.02</v>
      </c>
      <c r="H4625">
        <v>19997.88</v>
      </c>
    </row>
    <row r="4626" spans="1:8" x14ac:dyDescent="0.35">
      <c r="A4626" t="s">
        <v>5</v>
      </c>
      <c r="B4626" t="s">
        <v>12</v>
      </c>
      <c r="C4626" t="s">
        <v>9</v>
      </c>
      <c r="D4626">
        <v>150</v>
      </c>
      <c r="E4626">
        <v>0</v>
      </c>
      <c r="F4626">
        <v>0</v>
      </c>
      <c r="G4626">
        <v>43.8</v>
      </c>
      <c r="H4626">
        <v>6570</v>
      </c>
    </row>
    <row r="4627" spans="1:8" x14ac:dyDescent="0.35">
      <c r="A4627" t="s">
        <v>8</v>
      </c>
      <c r="B4627" t="s">
        <v>12</v>
      </c>
      <c r="C4627" t="s">
        <v>9</v>
      </c>
      <c r="D4627">
        <v>91</v>
      </c>
      <c r="E4627">
        <v>5</v>
      </c>
      <c r="F4627">
        <v>5.49</v>
      </c>
      <c r="G4627">
        <v>5.45</v>
      </c>
      <c r="H4627">
        <v>495.95</v>
      </c>
    </row>
    <row r="4628" spans="1:8" x14ac:dyDescent="0.35">
      <c r="A4628" t="s">
        <v>8</v>
      </c>
      <c r="B4628" t="s">
        <v>12</v>
      </c>
      <c r="C4628" t="s">
        <v>9</v>
      </c>
      <c r="D4628">
        <v>205</v>
      </c>
      <c r="E4628">
        <v>9</v>
      </c>
      <c r="F4628">
        <v>4.3899999999999997</v>
      </c>
      <c r="G4628">
        <v>39.11</v>
      </c>
      <c r="H4628">
        <v>8017.55</v>
      </c>
    </row>
    <row r="4629" spans="1:8" x14ac:dyDescent="0.35">
      <c r="A4629" t="s">
        <v>8</v>
      </c>
      <c r="B4629" t="s">
        <v>12</v>
      </c>
      <c r="C4629" t="s">
        <v>9</v>
      </c>
      <c r="D4629">
        <v>188</v>
      </c>
      <c r="E4629">
        <v>0</v>
      </c>
      <c r="F4629">
        <v>0</v>
      </c>
      <c r="G4629">
        <v>43.4</v>
      </c>
      <c r="H4629">
        <v>8159.2</v>
      </c>
    </row>
    <row r="4630" spans="1:8" x14ac:dyDescent="0.35">
      <c r="A4630" t="s">
        <v>7</v>
      </c>
      <c r="B4630" t="s">
        <v>12</v>
      </c>
      <c r="C4630" t="s">
        <v>9</v>
      </c>
      <c r="D4630">
        <v>158</v>
      </c>
      <c r="E4630">
        <v>5</v>
      </c>
      <c r="F4630">
        <v>3.16</v>
      </c>
      <c r="G4630">
        <v>44.2</v>
      </c>
      <c r="H4630">
        <v>6983.6</v>
      </c>
    </row>
    <row r="4631" spans="1:8" x14ac:dyDescent="0.35">
      <c r="A4631" t="s">
        <v>7</v>
      </c>
      <c r="B4631" t="s">
        <v>12</v>
      </c>
      <c r="C4631" t="s">
        <v>10</v>
      </c>
      <c r="D4631">
        <v>152</v>
      </c>
      <c r="E4631">
        <v>5</v>
      </c>
      <c r="F4631">
        <v>3.29</v>
      </c>
      <c r="G4631">
        <v>15.13</v>
      </c>
      <c r="H4631">
        <v>2299.7600000000002</v>
      </c>
    </row>
    <row r="4632" spans="1:8" x14ac:dyDescent="0.35">
      <c r="A4632" t="s">
        <v>6</v>
      </c>
      <c r="B4632" t="s">
        <v>12</v>
      </c>
      <c r="C4632" t="s">
        <v>9</v>
      </c>
      <c r="D4632">
        <v>158</v>
      </c>
      <c r="E4632">
        <v>2</v>
      </c>
      <c r="F4632">
        <v>1.27</v>
      </c>
      <c r="G4632">
        <v>51.66</v>
      </c>
      <c r="H4632">
        <v>8162.28</v>
      </c>
    </row>
    <row r="4633" spans="1:8" x14ac:dyDescent="0.35">
      <c r="A4633" t="s">
        <v>8</v>
      </c>
      <c r="B4633" t="s">
        <v>12</v>
      </c>
      <c r="C4633" t="s">
        <v>9</v>
      </c>
      <c r="D4633">
        <v>197</v>
      </c>
      <c r="E4633">
        <v>18</v>
      </c>
      <c r="F4633">
        <v>9.14</v>
      </c>
      <c r="G4633">
        <v>22.46</v>
      </c>
      <c r="H4633">
        <v>4424.62</v>
      </c>
    </row>
    <row r="4634" spans="1:8" x14ac:dyDescent="0.35">
      <c r="A4634" t="s">
        <v>8</v>
      </c>
      <c r="B4634" t="s">
        <v>12</v>
      </c>
      <c r="C4634" t="s">
        <v>9</v>
      </c>
      <c r="D4634">
        <v>215</v>
      </c>
      <c r="E4634">
        <v>18</v>
      </c>
      <c r="F4634">
        <v>8.3699999999999992</v>
      </c>
      <c r="G4634">
        <v>13.33</v>
      </c>
      <c r="H4634">
        <v>2865.95</v>
      </c>
    </row>
    <row r="4635" spans="1:8" x14ac:dyDescent="0.35">
      <c r="A4635" t="s">
        <v>8</v>
      </c>
      <c r="B4635" t="s">
        <v>12</v>
      </c>
      <c r="C4635" t="s">
        <v>9</v>
      </c>
      <c r="D4635">
        <v>267</v>
      </c>
      <c r="E4635">
        <v>13</v>
      </c>
      <c r="F4635">
        <v>4.87</v>
      </c>
      <c r="G4635">
        <v>28.13</v>
      </c>
      <c r="H4635">
        <v>7510.71</v>
      </c>
    </row>
    <row r="4636" spans="1:8" x14ac:dyDescent="0.35">
      <c r="A4636" t="s">
        <v>7</v>
      </c>
      <c r="B4636" t="s">
        <v>12</v>
      </c>
      <c r="C4636" t="s">
        <v>10</v>
      </c>
      <c r="D4636">
        <v>248</v>
      </c>
      <c r="E4636">
        <v>16</v>
      </c>
      <c r="F4636">
        <v>6.45</v>
      </c>
      <c r="G4636">
        <v>68.290000000000006</v>
      </c>
      <c r="H4636">
        <v>16935.919999999998</v>
      </c>
    </row>
    <row r="4637" spans="1:8" x14ac:dyDescent="0.35">
      <c r="A4637" t="s">
        <v>6</v>
      </c>
      <c r="B4637" t="s">
        <v>12</v>
      </c>
      <c r="C4637" t="s">
        <v>11</v>
      </c>
      <c r="D4637">
        <v>50</v>
      </c>
      <c r="E4637">
        <v>0</v>
      </c>
      <c r="F4637">
        <v>0</v>
      </c>
      <c r="G4637">
        <v>19.73</v>
      </c>
      <c r="H4637">
        <v>986.5</v>
      </c>
    </row>
    <row r="4638" spans="1:8" x14ac:dyDescent="0.35">
      <c r="A4638" t="s">
        <v>7</v>
      </c>
      <c r="B4638" t="s">
        <v>12</v>
      </c>
      <c r="C4638" t="s">
        <v>10</v>
      </c>
      <c r="D4638">
        <v>164</v>
      </c>
      <c r="E4638">
        <v>9</v>
      </c>
      <c r="F4638">
        <v>5.49</v>
      </c>
      <c r="G4638">
        <v>14.85</v>
      </c>
      <c r="H4638">
        <v>2435.4</v>
      </c>
    </row>
    <row r="4639" spans="1:8" x14ac:dyDescent="0.35">
      <c r="A4639" t="s">
        <v>7</v>
      </c>
      <c r="B4639" t="s">
        <v>12</v>
      </c>
      <c r="C4639" t="s">
        <v>10</v>
      </c>
      <c r="D4639">
        <v>115</v>
      </c>
      <c r="E4639">
        <v>4</v>
      </c>
      <c r="F4639">
        <v>3.48</v>
      </c>
      <c r="G4639">
        <v>56.05</v>
      </c>
      <c r="H4639">
        <v>6445.75</v>
      </c>
    </row>
    <row r="4640" spans="1:8" x14ac:dyDescent="0.35">
      <c r="A4640" t="s">
        <v>7</v>
      </c>
      <c r="B4640" t="s">
        <v>12</v>
      </c>
      <c r="C4640" t="s">
        <v>9</v>
      </c>
      <c r="D4640">
        <v>276</v>
      </c>
      <c r="E4640">
        <v>16</v>
      </c>
      <c r="F4640">
        <v>5.8</v>
      </c>
      <c r="G4640">
        <v>61.02</v>
      </c>
      <c r="H4640">
        <v>16841.52</v>
      </c>
    </row>
    <row r="4641" spans="1:8" x14ac:dyDescent="0.35">
      <c r="A4641" t="s">
        <v>6</v>
      </c>
      <c r="B4641" t="s">
        <v>12</v>
      </c>
      <c r="C4641" t="s">
        <v>9</v>
      </c>
      <c r="D4641">
        <v>284</v>
      </c>
      <c r="E4641">
        <v>27</v>
      </c>
      <c r="F4641">
        <v>9.51</v>
      </c>
      <c r="G4641">
        <v>20.72</v>
      </c>
      <c r="H4641">
        <v>5884.48</v>
      </c>
    </row>
    <row r="4642" spans="1:8" x14ac:dyDescent="0.35">
      <c r="A4642" t="s">
        <v>5</v>
      </c>
      <c r="B4642" t="s">
        <v>12</v>
      </c>
      <c r="C4642" t="s">
        <v>9</v>
      </c>
      <c r="D4642">
        <v>221</v>
      </c>
      <c r="E4642">
        <v>18</v>
      </c>
      <c r="F4642">
        <v>8.14</v>
      </c>
      <c r="G4642">
        <v>67.05</v>
      </c>
      <c r="H4642">
        <v>14818.05</v>
      </c>
    </row>
    <row r="4643" spans="1:8" x14ac:dyDescent="0.35">
      <c r="A4643" t="s">
        <v>7</v>
      </c>
      <c r="B4643" t="s">
        <v>12</v>
      </c>
      <c r="C4643" t="s">
        <v>9</v>
      </c>
      <c r="D4643">
        <v>196</v>
      </c>
      <c r="E4643">
        <v>6</v>
      </c>
      <c r="F4643">
        <v>3.06</v>
      </c>
      <c r="G4643">
        <v>47.92</v>
      </c>
      <c r="H4643">
        <v>9392.32</v>
      </c>
    </row>
    <row r="4644" spans="1:8" x14ac:dyDescent="0.35">
      <c r="A4644" t="s">
        <v>5</v>
      </c>
      <c r="B4644" t="s">
        <v>12</v>
      </c>
      <c r="C4644" t="s">
        <v>9</v>
      </c>
      <c r="D4644">
        <v>66</v>
      </c>
      <c r="E4644">
        <v>6</v>
      </c>
      <c r="F4644">
        <v>9.09</v>
      </c>
      <c r="G4644">
        <v>58.51</v>
      </c>
      <c r="H4644">
        <v>3861.66</v>
      </c>
    </row>
    <row r="4645" spans="1:8" x14ac:dyDescent="0.35">
      <c r="A4645" t="s">
        <v>6</v>
      </c>
      <c r="B4645" t="s">
        <v>12</v>
      </c>
      <c r="C4645" t="s">
        <v>11</v>
      </c>
      <c r="D4645">
        <v>60</v>
      </c>
      <c r="E4645">
        <v>4</v>
      </c>
      <c r="F4645">
        <v>6.67</v>
      </c>
      <c r="G4645">
        <v>24.01</v>
      </c>
      <c r="H4645">
        <v>1440.6</v>
      </c>
    </row>
    <row r="4646" spans="1:8" x14ac:dyDescent="0.35">
      <c r="A4646" t="s">
        <v>6</v>
      </c>
      <c r="B4646" t="s">
        <v>12</v>
      </c>
      <c r="C4646" t="s">
        <v>11</v>
      </c>
      <c r="D4646">
        <v>113</v>
      </c>
      <c r="E4646">
        <v>10</v>
      </c>
      <c r="F4646">
        <v>8.85</v>
      </c>
      <c r="G4646">
        <v>43.42</v>
      </c>
      <c r="H4646">
        <v>4906.46</v>
      </c>
    </row>
    <row r="4647" spans="1:8" x14ac:dyDescent="0.35">
      <c r="A4647" t="s">
        <v>5</v>
      </c>
      <c r="B4647" t="s">
        <v>12</v>
      </c>
      <c r="C4647" t="s">
        <v>9</v>
      </c>
      <c r="D4647">
        <v>226</v>
      </c>
      <c r="E4647">
        <v>15</v>
      </c>
      <c r="F4647">
        <v>6.64</v>
      </c>
      <c r="G4647">
        <v>16.690000000000001</v>
      </c>
      <c r="H4647">
        <v>3771.94</v>
      </c>
    </row>
    <row r="4648" spans="1:8" x14ac:dyDescent="0.35">
      <c r="A4648" t="s">
        <v>7</v>
      </c>
      <c r="B4648" t="s">
        <v>12</v>
      </c>
      <c r="C4648" t="s">
        <v>9</v>
      </c>
      <c r="D4648">
        <v>252</v>
      </c>
      <c r="E4648">
        <v>15</v>
      </c>
      <c r="F4648">
        <v>5.95</v>
      </c>
      <c r="G4648">
        <v>26.55</v>
      </c>
      <c r="H4648">
        <v>6690.6</v>
      </c>
    </row>
    <row r="4649" spans="1:8" x14ac:dyDescent="0.35">
      <c r="A4649" t="s">
        <v>8</v>
      </c>
      <c r="B4649" t="s">
        <v>12</v>
      </c>
      <c r="C4649" t="s">
        <v>9</v>
      </c>
      <c r="D4649">
        <v>162</v>
      </c>
      <c r="E4649">
        <v>9</v>
      </c>
      <c r="F4649">
        <v>5.56</v>
      </c>
      <c r="G4649">
        <v>46.85</v>
      </c>
      <c r="H4649">
        <v>7589.7</v>
      </c>
    </row>
    <row r="4650" spans="1:8" x14ac:dyDescent="0.35">
      <c r="A4650" t="s">
        <v>6</v>
      </c>
      <c r="B4650" t="s">
        <v>12</v>
      </c>
      <c r="C4650" t="s">
        <v>11</v>
      </c>
      <c r="D4650">
        <v>226</v>
      </c>
      <c r="E4650">
        <v>8</v>
      </c>
      <c r="F4650">
        <v>3.54</v>
      </c>
      <c r="G4650">
        <v>7.04</v>
      </c>
      <c r="H4650">
        <v>1591.04</v>
      </c>
    </row>
    <row r="4651" spans="1:8" x14ac:dyDescent="0.35">
      <c r="A4651" t="s">
        <v>8</v>
      </c>
      <c r="B4651" t="s">
        <v>12</v>
      </c>
      <c r="C4651" t="s">
        <v>9</v>
      </c>
      <c r="D4651">
        <v>291</v>
      </c>
      <c r="E4651">
        <v>21</v>
      </c>
      <c r="F4651">
        <v>7.22</v>
      </c>
      <c r="G4651">
        <v>17.97</v>
      </c>
      <c r="H4651">
        <v>5229.2700000000004</v>
      </c>
    </row>
    <row r="4652" spans="1:8" x14ac:dyDescent="0.35">
      <c r="A4652" t="s">
        <v>8</v>
      </c>
      <c r="B4652" t="s">
        <v>12</v>
      </c>
      <c r="C4652" t="s">
        <v>9</v>
      </c>
      <c r="D4652">
        <v>281</v>
      </c>
      <c r="E4652">
        <v>0</v>
      </c>
      <c r="F4652">
        <v>0</v>
      </c>
      <c r="G4652">
        <v>41.4</v>
      </c>
      <c r="H4652">
        <v>11633.4</v>
      </c>
    </row>
    <row r="4653" spans="1:8" x14ac:dyDescent="0.35">
      <c r="A4653" t="s">
        <v>5</v>
      </c>
      <c r="B4653" t="s">
        <v>12</v>
      </c>
      <c r="C4653" t="s">
        <v>9</v>
      </c>
      <c r="D4653">
        <v>286</v>
      </c>
      <c r="E4653">
        <v>17</v>
      </c>
      <c r="F4653">
        <v>5.94</v>
      </c>
      <c r="G4653">
        <v>19.649999999999999</v>
      </c>
      <c r="H4653">
        <v>5619.9</v>
      </c>
    </row>
    <row r="4654" spans="1:8" x14ac:dyDescent="0.35">
      <c r="A4654" t="s">
        <v>6</v>
      </c>
      <c r="B4654" t="s">
        <v>12</v>
      </c>
      <c r="C4654" t="s">
        <v>11</v>
      </c>
      <c r="D4654">
        <v>147</v>
      </c>
      <c r="E4654">
        <v>10</v>
      </c>
      <c r="F4654">
        <v>6.8</v>
      </c>
      <c r="G4654">
        <v>32.590000000000003</v>
      </c>
      <c r="H4654">
        <v>4790.7299999999996</v>
      </c>
    </row>
    <row r="4655" spans="1:8" x14ac:dyDescent="0.35">
      <c r="A4655" t="s">
        <v>6</v>
      </c>
      <c r="B4655" t="s">
        <v>12</v>
      </c>
      <c r="C4655" t="s">
        <v>9</v>
      </c>
      <c r="D4655">
        <v>218</v>
      </c>
      <c r="E4655">
        <v>9</v>
      </c>
      <c r="F4655">
        <v>4.13</v>
      </c>
      <c r="G4655">
        <v>28.14</v>
      </c>
      <c r="H4655">
        <v>6134.52</v>
      </c>
    </row>
    <row r="4656" spans="1:8" x14ac:dyDescent="0.35">
      <c r="A4656" t="s">
        <v>7</v>
      </c>
      <c r="B4656" t="s">
        <v>12</v>
      </c>
      <c r="C4656" t="s">
        <v>10</v>
      </c>
      <c r="D4656">
        <v>241</v>
      </c>
      <c r="E4656">
        <v>22</v>
      </c>
      <c r="F4656">
        <v>9.1300000000000008</v>
      </c>
      <c r="G4656">
        <v>24.42</v>
      </c>
      <c r="H4656">
        <v>5885.22</v>
      </c>
    </row>
    <row r="4657" spans="1:8" x14ac:dyDescent="0.35">
      <c r="A4657" t="s">
        <v>7</v>
      </c>
      <c r="B4657" t="s">
        <v>12</v>
      </c>
      <c r="C4657" t="s">
        <v>9</v>
      </c>
      <c r="D4657">
        <v>86</v>
      </c>
      <c r="E4657">
        <v>2</v>
      </c>
      <c r="F4657">
        <v>2.33</v>
      </c>
      <c r="G4657">
        <v>50.59</v>
      </c>
      <c r="H4657">
        <v>4350.74</v>
      </c>
    </row>
    <row r="4658" spans="1:8" x14ac:dyDescent="0.35">
      <c r="A4658" t="s">
        <v>8</v>
      </c>
      <c r="B4658" t="s">
        <v>12</v>
      </c>
      <c r="C4658" t="s">
        <v>9</v>
      </c>
      <c r="D4658">
        <v>216</v>
      </c>
      <c r="E4658">
        <v>1</v>
      </c>
      <c r="F4658">
        <v>0.46</v>
      </c>
      <c r="G4658">
        <v>56.38</v>
      </c>
      <c r="H4658">
        <v>12178.08</v>
      </c>
    </row>
    <row r="4659" spans="1:8" x14ac:dyDescent="0.35">
      <c r="A4659" t="s">
        <v>7</v>
      </c>
      <c r="B4659" t="s">
        <v>12</v>
      </c>
      <c r="C4659" t="s">
        <v>9</v>
      </c>
      <c r="D4659">
        <v>151</v>
      </c>
      <c r="E4659">
        <v>15</v>
      </c>
      <c r="F4659">
        <v>9.93</v>
      </c>
      <c r="G4659">
        <v>63.83</v>
      </c>
      <c r="H4659">
        <v>9638.33</v>
      </c>
    </row>
    <row r="4660" spans="1:8" x14ac:dyDescent="0.35">
      <c r="A4660" t="s">
        <v>5</v>
      </c>
      <c r="B4660" t="s">
        <v>12</v>
      </c>
      <c r="C4660" t="s">
        <v>9</v>
      </c>
      <c r="D4660">
        <v>240</v>
      </c>
      <c r="E4660">
        <v>23</v>
      </c>
      <c r="F4660">
        <v>9.58</v>
      </c>
      <c r="G4660">
        <v>67.45</v>
      </c>
      <c r="H4660">
        <v>16188</v>
      </c>
    </row>
    <row r="4661" spans="1:8" x14ac:dyDescent="0.35">
      <c r="A4661" t="s">
        <v>8</v>
      </c>
      <c r="B4661" t="s">
        <v>12</v>
      </c>
      <c r="C4661" t="s">
        <v>9</v>
      </c>
      <c r="D4661">
        <v>292</v>
      </c>
      <c r="E4661">
        <v>17</v>
      </c>
      <c r="F4661">
        <v>5.82</v>
      </c>
      <c r="G4661">
        <v>32.049999999999997</v>
      </c>
      <c r="H4661">
        <v>9358.6</v>
      </c>
    </row>
    <row r="4662" spans="1:8" x14ac:dyDescent="0.35">
      <c r="A4662" t="s">
        <v>6</v>
      </c>
      <c r="B4662" t="s">
        <v>12</v>
      </c>
      <c r="C4662" t="s">
        <v>11</v>
      </c>
      <c r="D4662">
        <v>233</v>
      </c>
      <c r="E4662">
        <v>22</v>
      </c>
      <c r="F4662">
        <v>9.44</v>
      </c>
      <c r="G4662">
        <v>18.100000000000001</v>
      </c>
      <c r="H4662">
        <v>4217.3</v>
      </c>
    </row>
    <row r="4663" spans="1:8" x14ac:dyDescent="0.35">
      <c r="A4663" t="s">
        <v>7</v>
      </c>
      <c r="B4663" t="s">
        <v>12</v>
      </c>
      <c r="C4663" t="s">
        <v>9</v>
      </c>
      <c r="D4663">
        <v>258</v>
      </c>
      <c r="E4663">
        <v>1</v>
      </c>
      <c r="F4663">
        <v>0.39</v>
      </c>
      <c r="G4663">
        <v>6.11</v>
      </c>
      <c r="H4663">
        <v>1576.38</v>
      </c>
    </row>
    <row r="4664" spans="1:8" x14ac:dyDescent="0.35">
      <c r="A4664" t="s">
        <v>6</v>
      </c>
      <c r="B4664" t="s">
        <v>12</v>
      </c>
      <c r="C4664" t="s">
        <v>9</v>
      </c>
      <c r="D4664">
        <v>186</v>
      </c>
      <c r="E4664">
        <v>0</v>
      </c>
      <c r="F4664">
        <v>0</v>
      </c>
      <c r="G4664">
        <v>10.65</v>
      </c>
      <c r="H4664">
        <v>1980.9</v>
      </c>
    </row>
    <row r="4665" spans="1:8" x14ac:dyDescent="0.35">
      <c r="A4665" t="s">
        <v>6</v>
      </c>
      <c r="B4665" t="s">
        <v>12</v>
      </c>
      <c r="C4665" t="s">
        <v>11</v>
      </c>
      <c r="D4665">
        <v>178</v>
      </c>
      <c r="E4665">
        <v>7</v>
      </c>
      <c r="F4665">
        <v>3.93</v>
      </c>
      <c r="G4665">
        <v>48.02</v>
      </c>
      <c r="H4665">
        <v>8547.56</v>
      </c>
    </row>
    <row r="4666" spans="1:8" x14ac:dyDescent="0.35">
      <c r="A4666" t="s">
        <v>5</v>
      </c>
      <c r="B4666" t="s">
        <v>12</v>
      </c>
      <c r="C4666" t="s">
        <v>9</v>
      </c>
      <c r="D4666">
        <v>105</v>
      </c>
      <c r="E4666">
        <v>1</v>
      </c>
      <c r="F4666">
        <v>0.95</v>
      </c>
      <c r="G4666">
        <v>45.33</v>
      </c>
      <c r="H4666">
        <v>4759.6499999999996</v>
      </c>
    </row>
    <row r="4667" spans="1:8" x14ac:dyDescent="0.35">
      <c r="A4667" t="s">
        <v>7</v>
      </c>
      <c r="B4667" t="s">
        <v>12</v>
      </c>
      <c r="C4667" t="s">
        <v>10</v>
      </c>
      <c r="D4667">
        <v>231</v>
      </c>
      <c r="E4667">
        <v>4</v>
      </c>
      <c r="F4667">
        <v>1.73</v>
      </c>
      <c r="G4667">
        <v>54.78</v>
      </c>
      <c r="H4667">
        <v>12654.18</v>
      </c>
    </row>
    <row r="4668" spans="1:8" x14ac:dyDescent="0.35">
      <c r="A4668" t="s">
        <v>5</v>
      </c>
      <c r="B4668" t="s">
        <v>12</v>
      </c>
      <c r="C4668" t="s">
        <v>9</v>
      </c>
      <c r="D4668">
        <v>76</v>
      </c>
      <c r="E4668">
        <v>7</v>
      </c>
      <c r="F4668">
        <v>9.2100000000000009</v>
      </c>
      <c r="G4668">
        <v>40.07</v>
      </c>
      <c r="H4668">
        <v>3045.32</v>
      </c>
    </row>
    <row r="4669" spans="1:8" x14ac:dyDescent="0.35">
      <c r="A4669" t="s">
        <v>8</v>
      </c>
      <c r="B4669" t="s">
        <v>12</v>
      </c>
      <c r="C4669" t="s">
        <v>9</v>
      </c>
      <c r="D4669">
        <v>253</v>
      </c>
      <c r="E4669">
        <v>22</v>
      </c>
      <c r="F4669">
        <v>8.6999999999999993</v>
      </c>
      <c r="G4669">
        <v>63.58</v>
      </c>
      <c r="H4669">
        <v>16085.74</v>
      </c>
    </row>
    <row r="4670" spans="1:8" x14ac:dyDescent="0.35">
      <c r="A4670" t="s">
        <v>7</v>
      </c>
      <c r="B4670" t="s">
        <v>12</v>
      </c>
      <c r="C4670" t="s">
        <v>9</v>
      </c>
      <c r="D4670">
        <v>131</v>
      </c>
      <c r="E4670">
        <v>13</v>
      </c>
      <c r="F4670">
        <v>9.92</v>
      </c>
      <c r="G4670">
        <v>20.88</v>
      </c>
      <c r="H4670">
        <v>2735.28</v>
      </c>
    </row>
    <row r="4671" spans="1:8" x14ac:dyDescent="0.35">
      <c r="A4671" t="s">
        <v>6</v>
      </c>
      <c r="B4671" t="s">
        <v>12</v>
      </c>
      <c r="C4671" t="s">
        <v>9</v>
      </c>
      <c r="D4671">
        <v>275</v>
      </c>
      <c r="E4671">
        <v>25</v>
      </c>
      <c r="F4671">
        <v>9.09</v>
      </c>
      <c r="G4671">
        <v>47.31</v>
      </c>
      <c r="H4671">
        <v>13010.25</v>
      </c>
    </row>
    <row r="4672" spans="1:8" x14ac:dyDescent="0.35">
      <c r="A4672" t="s">
        <v>8</v>
      </c>
      <c r="B4672" t="s">
        <v>12</v>
      </c>
      <c r="C4672" t="s">
        <v>9</v>
      </c>
      <c r="D4672">
        <v>268</v>
      </c>
      <c r="E4672">
        <v>13</v>
      </c>
      <c r="F4672">
        <v>4.8499999999999996</v>
      </c>
      <c r="G4672">
        <v>33.03</v>
      </c>
      <c r="H4672">
        <v>8852.0400000000009</v>
      </c>
    </row>
    <row r="4673" spans="1:8" x14ac:dyDescent="0.35">
      <c r="A4673" t="s">
        <v>8</v>
      </c>
      <c r="B4673" t="s">
        <v>12</v>
      </c>
      <c r="C4673" t="s">
        <v>9</v>
      </c>
      <c r="D4673">
        <v>238</v>
      </c>
      <c r="E4673">
        <v>8</v>
      </c>
      <c r="F4673">
        <v>3.36</v>
      </c>
      <c r="G4673">
        <v>22.17</v>
      </c>
      <c r="H4673">
        <v>5276.46</v>
      </c>
    </row>
    <row r="4674" spans="1:8" x14ac:dyDescent="0.35">
      <c r="A4674" t="s">
        <v>6</v>
      </c>
      <c r="B4674" t="s">
        <v>12</v>
      </c>
      <c r="C4674" t="s">
        <v>11</v>
      </c>
      <c r="D4674">
        <v>249</v>
      </c>
      <c r="E4674">
        <v>8</v>
      </c>
      <c r="F4674">
        <v>3.21</v>
      </c>
      <c r="G4674">
        <v>28.25</v>
      </c>
      <c r="H4674">
        <v>7034.25</v>
      </c>
    </row>
    <row r="4675" spans="1:8" x14ac:dyDescent="0.35">
      <c r="A4675" t="s">
        <v>7</v>
      </c>
      <c r="B4675" t="s">
        <v>12</v>
      </c>
      <c r="C4675" t="s">
        <v>9</v>
      </c>
      <c r="D4675">
        <v>115</v>
      </c>
      <c r="E4675">
        <v>2</v>
      </c>
      <c r="F4675">
        <v>1.74</v>
      </c>
      <c r="G4675">
        <v>17.12</v>
      </c>
      <c r="H4675">
        <v>1968.8</v>
      </c>
    </row>
    <row r="4676" spans="1:8" x14ac:dyDescent="0.35">
      <c r="A4676" t="s">
        <v>8</v>
      </c>
      <c r="B4676" t="s">
        <v>12</v>
      </c>
      <c r="C4676" t="s">
        <v>9</v>
      </c>
      <c r="D4676">
        <v>178</v>
      </c>
      <c r="E4676">
        <v>16</v>
      </c>
      <c r="F4676">
        <v>8.99</v>
      </c>
      <c r="G4676">
        <v>68.5</v>
      </c>
      <c r="H4676">
        <v>12193</v>
      </c>
    </row>
    <row r="4677" spans="1:8" x14ac:dyDescent="0.35">
      <c r="A4677" t="s">
        <v>5</v>
      </c>
      <c r="B4677" t="s">
        <v>12</v>
      </c>
      <c r="C4677" t="s">
        <v>9</v>
      </c>
      <c r="D4677">
        <v>128</v>
      </c>
      <c r="E4677">
        <v>9</v>
      </c>
      <c r="F4677">
        <v>7.03</v>
      </c>
      <c r="G4677">
        <v>9.06</v>
      </c>
      <c r="H4677">
        <v>1159.68</v>
      </c>
    </row>
    <row r="4678" spans="1:8" x14ac:dyDescent="0.35">
      <c r="A4678" t="s">
        <v>6</v>
      </c>
      <c r="B4678" t="s">
        <v>12</v>
      </c>
      <c r="C4678" t="s">
        <v>9</v>
      </c>
      <c r="D4678">
        <v>91</v>
      </c>
      <c r="E4678">
        <v>2</v>
      </c>
      <c r="F4678">
        <v>2.2000000000000002</v>
      </c>
      <c r="G4678">
        <v>49.96</v>
      </c>
      <c r="H4678">
        <v>4546.3599999999997</v>
      </c>
    </row>
    <row r="4679" spans="1:8" x14ac:dyDescent="0.35">
      <c r="A4679" t="s">
        <v>8</v>
      </c>
      <c r="B4679" t="s">
        <v>12</v>
      </c>
      <c r="C4679" t="s">
        <v>9</v>
      </c>
      <c r="D4679">
        <v>57</v>
      </c>
      <c r="E4679">
        <v>5</v>
      </c>
      <c r="F4679">
        <v>8.77</v>
      </c>
      <c r="G4679">
        <v>12.3</v>
      </c>
      <c r="H4679">
        <v>701.1</v>
      </c>
    </row>
    <row r="4680" spans="1:8" x14ac:dyDescent="0.35">
      <c r="A4680" t="s">
        <v>8</v>
      </c>
      <c r="B4680" t="s">
        <v>12</v>
      </c>
      <c r="C4680" t="s">
        <v>9</v>
      </c>
      <c r="D4680">
        <v>182</v>
      </c>
      <c r="E4680">
        <v>7</v>
      </c>
      <c r="F4680">
        <v>3.85</v>
      </c>
      <c r="G4680">
        <v>68.739999999999995</v>
      </c>
      <c r="H4680">
        <v>12510.68</v>
      </c>
    </row>
    <row r="4681" spans="1:8" x14ac:dyDescent="0.35">
      <c r="A4681" t="s">
        <v>8</v>
      </c>
      <c r="B4681" t="s">
        <v>12</v>
      </c>
      <c r="C4681" t="s">
        <v>9</v>
      </c>
      <c r="D4681">
        <v>101</v>
      </c>
      <c r="E4681">
        <v>10</v>
      </c>
      <c r="F4681">
        <v>9.9</v>
      </c>
      <c r="G4681">
        <v>32.31</v>
      </c>
      <c r="H4681">
        <v>3263.31</v>
      </c>
    </row>
    <row r="4682" spans="1:8" x14ac:dyDescent="0.35">
      <c r="A4682" t="s">
        <v>6</v>
      </c>
      <c r="B4682" t="s">
        <v>12</v>
      </c>
      <c r="C4682" t="s">
        <v>9</v>
      </c>
      <c r="D4682">
        <v>52</v>
      </c>
      <c r="E4682">
        <v>3</v>
      </c>
      <c r="F4682">
        <v>5.77</v>
      </c>
      <c r="G4682">
        <v>24.71</v>
      </c>
      <c r="H4682">
        <v>1284.92</v>
      </c>
    </row>
    <row r="4683" spans="1:8" x14ac:dyDescent="0.35">
      <c r="A4683" t="s">
        <v>8</v>
      </c>
      <c r="B4683" t="s">
        <v>12</v>
      </c>
      <c r="C4683" t="s">
        <v>9</v>
      </c>
      <c r="D4683">
        <v>257</v>
      </c>
      <c r="E4683">
        <v>23</v>
      </c>
      <c r="F4683">
        <v>8.9499999999999993</v>
      </c>
      <c r="G4683">
        <v>50.3</v>
      </c>
      <c r="H4683">
        <v>12927.1</v>
      </c>
    </row>
    <row r="4684" spans="1:8" x14ac:dyDescent="0.35">
      <c r="A4684" t="s">
        <v>8</v>
      </c>
      <c r="B4684" t="s">
        <v>12</v>
      </c>
      <c r="C4684" t="s">
        <v>9</v>
      </c>
      <c r="D4684">
        <v>91</v>
      </c>
      <c r="E4684">
        <v>3</v>
      </c>
      <c r="F4684">
        <v>3.3</v>
      </c>
      <c r="G4684">
        <v>41.54</v>
      </c>
      <c r="H4684">
        <v>3780.14</v>
      </c>
    </row>
    <row r="4685" spans="1:8" x14ac:dyDescent="0.35">
      <c r="A4685" t="s">
        <v>7</v>
      </c>
      <c r="B4685" t="s">
        <v>12</v>
      </c>
      <c r="C4685" t="s">
        <v>9</v>
      </c>
      <c r="D4685">
        <v>272</v>
      </c>
      <c r="E4685">
        <v>17</v>
      </c>
      <c r="F4685">
        <v>6.25</v>
      </c>
      <c r="G4685">
        <v>17.11</v>
      </c>
      <c r="H4685">
        <v>4653.92</v>
      </c>
    </row>
    <row r="4686" spans="1:8" x14ac:dyDescent="0.35">
      <c r="A4686" t="s">
        <v>7</v>
      </c>
      <c r="B4686" t="s">
        <v>12</v>
      </c>
      <c r="C4686" t="s">
        <v>9</v>
      </c>
      <c r="D4686">
        <v>229</v>
      </c>
      <c r="E4686">
        <v>2</v>
      </c>
      <c r="F4686">
        <v>0.87</v>
      </c>
      <c r="G4686">
        <v>53.25</v>
      </c>
      <c r="H4686">
        <v>12194.25</v>
      </c>
    </row>
    <row r="4687" spans="1:8" x14ac:dyDescent="0.35">
      <c r="A4687" t="s">
        <v>7</v>
      </c>
      <c r="B4687" t="s">
        <v>12</v>
      </c>
      <c r="C4687" t="s">
        <v>10</v>
      </c>
      <c r="D4687">
        <v>237</v>
      </c>
      <c r="E4687">
        <v>3</v>
      </c>
      <c r="F4687">
        <v>1.27</v>
      </c>
      <c r="G4687">
        <v>8.7899999999999991</v>
      </c>
      <c r="H4687">
        <v>2083.23</v>
      </c>
    </row>
    <row r="4688" spans="1:8" x14ac:dyDescent="0.35">
      <c r="A4688" t="s">
        <v>5</v>
      </c>
      <c r="B4688" t="s">
        <v>12</v>
      </c>
      <c r="C4688" t="s">
        <v>9</v>
      </c>
      <c r="D4688">
        <v>129</v>
      </c>
      <c r="E4688">
        <v>9</v>
      </c>
      <c r="F4688">
        <v>6.98</v>
      </c>
      <c r="G4688">
        <v>47.68</v>
      </c>
      <c r="H4688">
        <v>6150.72</v>
      </c>
    </row>
    <row r="4689" spans="1:8" x14ac:dyDescent="0.35">
      <c r="A4689" t="s">
        <v>7</v>
      </c>
      <c r="B4689" t="s">
        <v>12</v>
      </c>
      <c r="C4689" t="s">
        <v>10</v>
      </c>
      <c r="D4689">
        <v>162</v>
      </c>
      <c r="E4689">
        <v>12</v>
      </c>
      <c r="F4689">
        <v>7.41</v>
      </c>
      <c r="G4689">
        <v>41.99</v>
      </c>
      <c r="H4689">
        <v>6802.38</v>
      </c>
    </row>
    <row r="4690" spans="1:8" x14ac:dyDescent="0.35">
      <c r="A4690" t="s">
        <v>5</v>
      </c>
      <c r="B4690" t="s">
        <v>12</v>
      </c>
      <c r="C4690" t="s">
        <v>9</v>
      </c>
      <c r="D4690">
        <v>160</v>
      </c>
      <c r="E4690">
        <v>9</v>
      </c>
      <c r="F4690">
        <v>5.62</v>
      </c>
      <c r="G4690">
        <v>50.52</v>
      </c>
      <c r="H4690">
        <v>8083.2</v>
      </c>
    </row>
    <row r="4691" spans="1:8" x14ac:dyDescent="0.35">
      <c r="A4691" t="s">
        <v>5</v>
      </c>
      <c r="B4691" t="s">
        <v>12</v>
      </c>
      <c r="C4691" t="s">
        <v>9</v>
      </c>
      <c r="D4691">
        <v>73</v>
      </c>
      <c r="E4691">
        <v>4</v>
      </c>
      <c r="F4691">
        <v>5.48</v>
      </c>
      <c r="G4691">
        <v>31.21</v>
      </c>
      <c r="H4691">
        <v>2278.33</v>
      </c>
    </row>
    <row r="4692" spans="1:8" x14ac:dyDescent="0.35">
      <c r="A4692" t="s">
        <v>8</v>
      </c>
      <c r="B4692" t="s">
        <v>12</v>
      </c>
      <c r="C4692" t="s">
        <v>9</v>
      </c>
      <c r="D4692">
        <v>110</v>
      </c>
      <c r="E4692">
        <v>1</v>
      </c>
      <c r="F4692">
        <v>0.91</v>
      </c>
      <c r="G4692">
        <v>43.8</v>
      </c>
      <c r="H4692">
        <v>4818</v>
      </c>
    </row>
    <row r="4693" spans="1:8" x14ac:dyDescent="0.35">
      <c r="A4693" t="s">
        <v>5</v>
      </c>
      <c r="B4693" t="s">
        <v>12</v>
      </c>
      <c r="C4693" t="s">
        <v>9</v>
      </c>
      <c r="D4693">
        <v>116</v>
      </c>
      <c r="E4693">
        <v>5</v>
      </c>
      <c r="F4693">
        <v>4.3099999999999996</v>
      </c>
      <c r="G4693">
        <v>28.91</v>
      </c>
      <c r="H4693">
        <v>3353.56</v>
      </c>
    </row>
    <row r="4694" spans="1:8" x14ac:dyDescent="0.35">
      <c r="A4694" t="s">
        <v>8</v>
      </c>
      <c r="B4694" t="s">
        <v>12</v>
      </c>
      <c r="C4694" t="s">
        <v>9</v>
      </c>
      <c r="D4694">
        <v>255</v>
      </c>
      <c r="E4694">
        <v>8</v>
      </c>
      <c r="F4694">
        <v>3.14</v>
      </c>
      <c r="G4694">
        <v>60.61</v>
      </c>
      <c r="H4694">
        <v>15455.55</v>
      </c>
    </row>
    <row r="4695" spans="1:8" x14ac:dyDescent="0.35">
      <c r="A4695" t="s">
        <v>6</v>
      </c>
      <c r="B4695" t="s">
        <v>12</v>
      </c>
      <c r="C4695" t="s">
        <v>9</v>
      </c>
      <c r="D4695">
        <v>217</v>
      </c>
      <c r="E4695">
        <v>10</v>
      </c>
      <c r="F4695">
        <v>4.6100000000000003</v>
      </c>
      <c r="G4695">
        <v>25.01</v>
      </c>
      <c r="H4695">
        <v>5427.17</v>
      </c>
    </row>
    <row r="4696" spans="1:8" x14ac:dyDescent="0.35">
      <c r="A4696" t="s">
        <v>7</v>
      </c>
      <c r="B4696" t="s">
        <v>12</v>
      </c>
      <c r="C4696" t="s">
        <v>10</v>
      </c>
      <c r="D4696">
        <v>215</v>
      </c>
      <c r="E4696">
        <v>5</v>
      </c>
      <c r="F4696">
        <v>2.33</v>
      </c>
      <c r="G4696">
        <v>46.83</v>
      </c>
      <c r="H4696">
        <v>10068.450000000001</v>
      </c>
    </row>
    <row r="4697" spans="1:8" x14ac:dyDescent="0.35">
      <c r="A4697" t="s">
        <v>6</v>
      </c>
      <c r="B4697" t="s">
        <v>12</v>
      </c>
      <c r="C4697" t="s">
        <v>9</v>
      </c>
      <c r="D4697">
        <v>213</v>
      </c>
      <c r="E4697">
        <v>12</v>
      </c>
      <c r="F4697">
        <v>5.63</v>
      </c>
      <c r="G4697">
        <v>10.67</v>
      </c>
      <c r="H4697">
        <v>2272.71</v>
      </c>
    </row>
    <row r="4698" spans="1:8" x14ac:dyDescent="0.35">
      <c r="A4698" t="s">
        <v>7</v>
      </c>
      <c r="B4698" t="s">
        <v>12</v>
      </c>
      <c r="C4698" t="s">
        <v>9</v>
      </c>
      <c r="D4698">
        <v>121</v>
      </c>
      <c r="E4698">
        <v>6</v>
      </c>
      <c r="F4698">
        <v>4.96</v>
      </c>
      <c r="G4698">
        <v>43.79</v>
      </c>
      <c r="H4698">
        <v>5298.59</v>
      </c>
    </row>
    <row r="4699" spans="1:8" x14ac:dyDescent="0.35">
      <c r="A4699" t="s">
        <v>5</v>
      </c>
      <c r="B4699" t="s">
        <v>12</v>
      </c>
      <c r="C4699" t="s">
        <v>9</v>
      </c>
      <c r="D4699">
        <v>143</v>
      </c>
      <c r="E4699">
        <v>4</v>
      </c>
      <c r="F4699">
        <v>2.8</v>
      </c>
      <c r="G4699">
        <v>45.79</v>
      </c>
      <c r="H4699">
        <v>6547.97</v>
      </c>
    </row>
    <row r="4700" spans="1:8" x14ac:dyDescent="0.35">
      <c r="A4700" t="s">
        <v>6</v>
      </c>
      <c r="B4700" t="s">
        <v>12</v>
      </c>
      <c r="C4700" t="s">
        <v>9</v>
      </c>
      <c r="D4700">
        <v>257</v>
      </c>
      <c r="E4700">
        <v>0</v>
      </c>
      <c r="F4700">
        <v>0</v>
      </c>
      <c r="G4700">
        <v>43.97</v>
      </c>
      <c r="H4700">
        <v>11300.29</v>
      </c>
    </row>
    <row r="4701" spans="1:8" x14ac:dyDescent="0.35">
      <c r="A4701" t="s">
        <v>8</v>
      </c>
      <c r="B4701" t="s">
        <v>12</v>
      </c>
      <c r="C4701" t="s">
        <v>9</v>
      </c>
      <c r="D4701">
        <v>220</v>
      </c>
      <c r="E4701">
        <v>10</v>
      </c>
      <c r="F4701">
        <v>4.55</v>
      </c>
      <c r="G4701">
        <v>20.3</v>
      </c>
      <c r="H4701">
        <v>4466</v>
      </c>
    </row>
    <row r="4702" spans="1:8" x14ac:dyDescent="0.35">
      <c r="A4702" t="s">
        <v>6</v>
      </c>
      <c r="B4702" t="s">
        <v>12</v>
      </c>
      <c r="C4702" t="s">
        <v>9</v>
      </c>
      <c r="D4702">
        <v>57</v>
      </c>
      <c r="E4702">
        <v>3</v>
      </c>
      <c r="F4702">
        <v>5.26</v>
      </c>
      <c r="G4702">
        <v>59.35</v>
      </c>
      <c r="H4702">
        <v>3382.95</v>
      </c>
    </row>
    <row r="4703" spans="1:8" x14ac:dyDescent="0.35">
      <c r="A4703" t="s">
        <v>5</v>
      </c>
      <c r="B4703" t="s">
        <v>12</v>
      </c>
      <c r="C4703" t="s">
        <v>9</v>
      </c>
      <c r="D4703">
        <v>121</v>
      </c>
      <c r="E4703">
        <v>0</v>
      </c>
      <c r="F4703">
        <v>0</v>
      </c>
      <c r="G4703">
        <v>64.61</v>
      </c>
      <c r="H4703">
        <v>7817.81</v>
      </c>
    </row>
    <row r="4704" spans="1:8" x14ac:dyDescent="0.35">
      <c r="A4704" t="s">
        <v>5</v>
      </c>
      <c r="B4704" t="s">
        <v>12</v>
      </c>
      <c r="C4704" t="s">
        <v>9</v>
      </c>
      <c r="D4704">
        <v>124</v>
      </c>
      <c r="E4704">
        <v>10</v>
      </c>
      <c r="F4704">
        <v>8.06</v>
      </c>
      <c r="G4704">
        <v>53.93</v>
      </c>
      <c r="H4704">
        <v>6687.32</v>
      </c>
    </row>
    <row r="4705" spans="1:8" x14ac:dyDescent="0.35">
      <c r="A4705" t="s">
        <v>5</v>
      </c>
      <c r="B4705" t="s">
        <v>12</v>
      </c>
      <c r="C4705" t="s">
        <v>9</v>
      </c>
      <c r="D4705">
        <v>182</v>
      </c>
      <c r="E4705">
        <v>10</v>
      </c>
      <c r="F4705">
        <v>5.49</v>
      </c>
      <c r="G4705">
        <v>31.89</v>
      </c>
      <c r="H4705">
        <v>5803.98</v>
      </c>
    </row>
    <row r="4706" spans="1:8" x14ac:dyDescent="0.35">
      <c r="A4706" t="s">
        <v>8</v>
      </c>
      <c r="B4706" t="s">
        <v>12</v>
      </c>
      <c r="C4706" t="s">
        <v>9</v>
      </c>
      <c r="D4706">
        <v>116</v>
      </c>
      <c r="E4706">
        <v>11</v>
      </c>
      <c r="F4706">
        <v>9.48</v>
      </c>
      <c r="G4706">
        <v>31.48</v>
      </c>
      <c r="H4706">
        <v>3651.68</v>
      </c>
    </row>
    <row r="4707" spans="1:8" x14ac:dyDescent="0.35">
      <c r="A4707" t="s">
        <v>7</v>
      </c>
      <c r="B4707" t="s">
        <v>12</v>
      </c>
      <c r="C4707" t="s">
        <v>10</v>
      </c>
      <c r="D4707">
        <v>280</v>
      </c>
      <c r="E4707">
        <v>17</v>
      </c>
      <c r="F4707">
        <v>6.07</v>
      </c>
      <c r="G4707">
        <v>64.75</v>
      </c>
      <c r="H4707">
        <v>18130</v>
      </c>
    </row>
    <row r="4708" spans="1:8" x14ac:dyDescent="0.35">
      <c r="A4708" t="s">
        <v>8</v>
      </c>
      <c r="B4708" t="s">
        <v>12</v>
      </c>
      <c r="C4708" t="s">
        <v>9</v>
      </c>
      <c r="D4708">
        <v>145</v>
      </c>
      <c r="E4708">
        <v>6</v>
      </c>
      <c r="F4708">
        <v>4.1399999999999997</v>
      </c>
      <c r="G4708">
        <v>37.840000000000003</v>
      </c>
      <c r="H4708">
        <v>5486.8</v>
      </c>
    </row>
    <row r="4709" spans="1:8" x14ac:dyDescent="0.35">
      <c r="A4709" t="s">
        <v>7</v>
      </c>
      <c r="B4709" t="s">
        <v>12</v>
      </c>
      <c r="C4709" t="s">
        <v>10</v>
      </c>
      <c r="D4709">
        <v>262</v>
      </c>
      <c r="E4709">
        <v>0</v>
      </c>
      <c r="F4709">
        <v>0</v>
      </c>
      <c r="G4709">
        <v>10.15</v>
      </c>
      <c r="H4709">
        <v>2659.3</v>
      </c>
    </row>
    <row r="4710" spans="1:8" x14ac:dyDescent="0.35">
      <c r="A4710" t="s">
        <v>7</v>
      </c>
      <c r="B4710" t="s">
        <v>12</v>
      </c>
      <c r="C4710" t="s">
        <v>9</v>
      </c>
      <c r="D4710">
        <v>253</v>
      </c>
      <c r="E4710">
        <v>0</v>
      </c>
      <c r="F4710">
        <v>0</v>
      </c>
      <c r="G4710">
        <v>35.32</v>
      </c>
      <c r="H4710">
        <v>8935.9599999999991</v>
      </c>
    </row>
    <row r="4711" spans="1:8" x14ac:dyDescent="0.35">
      <c r="A4711" t="s">
        <v>5</v>
      </c>
      <c r="B4711" t="s">
        <v>12</v>
      </c>
      <c r="C4711" t="s">
        <v>9</v>
      </c>
      <c r="D4711">
        <v>52</v>
      </c>
      <c r="E4711">
        <v>5</v>
      </c>
      <c r="F4711">
        <v>9.6199999999999992</v>
      </c>
      <c r="G4711">
        <v>60.61</v>
      </c>
      <c r="H4711">
        <v>3151.72</v>
      </c>
    </row>
    <row r="4712" spans="1:8" x14ac:dyDescent="0.35">
      <c r="A4712" t="s">
        <v>5</v>
      </c>
      <c r="B4712" t="s">
        <v>12</v>
      </c>
      <c r="C4712" t="s">
        <v>9</v>
      </c>
      <c r="D4712">
        <v>270</v>
      </c>
      <c r="E4712">
        <v>12</v>
      </c>
      <c r="F4712">
        <v>4.4400000000000004</v>
      </c>
      <c r="G4712">
        <v>36.56</v>
      </c>
      <c r="H4712">
        <v>9871.2000000000007</v>
      </c>
    </row>
    <row r="4713" spans="1:8" x14ac:dyDescent="0.35">
      <c r="A4713" t="s">
        <v>6</v>
      </c>
      <c r="B4713" t="s">
        <v>12</v>
      </c>
      <c r="C4713" t="s">
        <v>11</v>
      </c>
      <c r="D4713">
        <v>70</v>
      </c>
      <c r="E4713">
        <v>6</v>
      </c>
      <c r="F4713">
        <v>8.57</v>
      </c>
      <c r="G4713">
        <v>7.9</v>
      </c>
      <c r="H4713">
        <v>553</v>
      </c>
    </row>
    <row r="4714" spans="1:8" x14ac:dyDescent="0.35">
      <c r="A4714" t="s">
        <v>7</v>
      </c>
      <c r="B4714" t="s">
        <v>12</v>
      </c>
      <c r="C4714" t="s">
        <v>10</v>
      </c>
      <c r="D4714">
        <v>161</v>
      </c>
      <c r="E4714">
        <v>2</v>
      </c>
      <c r="F4714">
        <v>1.24</v>
      </c>
      <c r="G4714">
        <v>11.31</v>
      </c>
      <c r="H4714">
        <v>1820.91</v>
      </c>
    </row>
    <row r="4715" spans="1:8" x14ac:dyDescent="0.35">
      <c r="A4715" t="s">
        <v>5</v>
      </c>
      <c r="B4715" t="s">
        <v>12</v>
      </c>
      <c r="C4715" t="s">
        <v>9</v>
      </c>
      <c r="D4715">
        <v>84</v>
      </c>
      <c r="E4715">
        <v>2</v>
      </c>
      <c r="F4715">
        <v>2.38</v>
      </c>
      <c r="G4715">
        <v>38</v>
      </c>
      <c r="H4715">
        <v>3192</v>
      </c>
    </row>
    <row r="4716" spans="1:8" x14ac:dyDescent="0.35">
      <c r="A4716" t="s">
        <v>5</v>
      </c>
      <c r="B4716" t="s">
        <v>12</v>
      </c>
      <c r="C4716" t="s">
        <v>9</v>
      </c>
      <c r="D4716">
        <v>67</v>
      </c>
      <c r="E4716">
        <v>5</v>
      </c>
      <c r="F4716">
        <v>7.46</v>
      </c>
      <c r="G4716">
        <v>54.64</v>
      </c>
      <c r="H4716">
        <v>3660.88</v>
      </c>
    </row>
    <row r="4717" spans="1:8" x14ac:dyDescent="0.35">
      <c r="A4717" t="s">
        <v>8</v>
      </c>
      <c r="B4717" t="s">
        <v>12</v>
      </c>
      <c r="C4717" t="s">
        <v>9</v>
      </c>
      <c r="D4717">
        <v>109</v>
      </c>
      <c r="E4717">
        <v>4</v>
      </c>
      <c r="F4717">
        <v>3.67</v>
      </c>
      <c r="G4717">
        <v>28.41</v>
      </c>
      <c r="H4717">
        <v>3096.69</v>
      </c>
    </row>
    <row r="4718" spans="1:8" x14ac:dyDescent="0.35">
      <c r="A4718" t="s">
        <v>8</v>
      </c>
      <c r="B4718" t="s">
        <v>12</v>
      </c>
      <c r="C4718" t="s">
        <v>9</v>
      </c>
      <c r="D4718">
        <v>118</v>
      </c>
      <c r="E4718">
        <v>2</v>
      </c>
      <c r="F4718">
        <v>1.69</v>
      </c>
      <c r="G4718">
        <v>24.93</v>
      </c>
      <c r="H4718">
        <v>2941.74</v>
      </c>
    </row>
    <row r="4719" spans="1:8" x14ac:dyDescent="0.35">
      <c r="A4719" t="s">
        <v>5</v>
      </c>
      <c r="B4719" t="s">
        <v>12</v>
      </c>
      <c r="C4719" t="s">
        <v>9</v>
      </c>
      <c r="D4719">
        <v>56</v>
      </c>
      <c r="E4719">
        <v>4</v>
      </c>
      <c r="F4719">
        <v>7.14</v>
      </c>
      <c r="G4719">
        <v>41.46</v>
      </c>
      <c r="H4719">
        <v>2321.7600000000002</v>
      </c>
    </row>
    <row r="4720" spans="1:8" x14ac:dyDescent="0.35">
      <c r="A4720" t="s">
        <v>5</v>
      </c>
      <c r="B4720" t="s">
        <v>12</v>
      </c>
      <c r="C4720" t="s">
        <v>9</v>
      </c>
      <c r="D4720">
        <v>100</v>
      </c>
      <c r="E4720">
        <v>10</v>
      </c>
      <c r="F4720">
        <v>10</v>
      </c>
      <c r="G4720">
        <v>11.51</v>
      </c>
      <c r="H4720">
        <v>1151</v>
      </c>
    </row>
    <row r="4721" spans="1:8" x14ac:dyDescent="0.35">
      <c r="A4721" t="s">
        <v>7</v>
      </c>
      <c r="B4721" t="s">
        <v>12</v>
      </c>
      <c r="C4721" t="s">
        <v>9</v>
      </c>
      <c r="D4721">
        <v>256</v>
      </c>
      <c r="E4721">
        <v>4</v>
      </c>
      <c r="F4721">
        <v>1.56</v>
      </c>
      <c r="G4721">
        <v>29.55</v>
      </c>
      <c r="H4721">
        <v>7564.8</v>
      </c>
    </row>
    <row r="4722" spans="1:8" x14ac:dyDescent="0.35">
      <c r="A4722" t="s">
        <v>8</v>
      </c>
      <c r="B4722" t="s">
        <v>12</v>
      </c>
      <c r="C4722" t="s">
        <v>9</v>
      </c>
      <c r="D4722">
        <v>249</v>
      </c>
      <c r="E4722">
        <v>15</v>
      </c>
      <c r="F4722">
        <v>6.02</v>
      </c>
      <c r="G4722">
        <v>62.75</v>
      </c>
      <c r="H4722">
        <v>15624.75</v>
      </c>
    </row>
    <row r="4723" spans="1:8" x14ac:dyDescent="0.35">
      <c r="A4723" t="s">
        <v>7</v>
      </c>
      <c r="B4723" t="s">
        <v>12</v>
      </c>
      <c r="C4723" t="s">
        <v>10</v>
      </c>
      <c r="D4723">
        <v>95</v>
      </c>
      <c r="E4723">
        <v>4</v>
      </c>
      <c r="F4723">
        <v>4.21</v>
      </c>
      <c r="G4723">
        <v>45.3</v>
      </c>
      <c r="H4723">
        <v>4303.5</v>
      </c>
    </row>
    <row r="4724" spans="1:8" x14ac:dyDescent="0.35">
      <c r="A4724" t="s">
        <v>8</v>
      </c>
      <c r="B4724" t="s">
        <v>12</v>
      </c>
      <c r="C4724" t="s">
        <v>9</v>
      </c>
      <c r="D4724">
        <v>249</v>
      </c>
      <c r="E4724">
        <v>19</v>
      </c>
      <c r="F4724">
        <v>7.63</v>
      </c>
      <c r="G4724">
        <v>20.76</v>
      </c>
      <c r="H4724">
        <v>5169.24</v>
      </c>
    </row>
    <row r="4725" spans="1:8" x14ac:dyDescent="0.35">
      <c r="A4725" t="s">
        <v>6</v>
      </c>
      <c r="B4725" t="s">
        <v>12</v>
      </c>
      <c r="C4725" t="s">
        <v>9</v>
      </c>
      <c r="D4725">
        <v>104</v>
      </c>
      <c r="E4725">
        <v>7</v>
      </c>
      <c r="F4725">
        <v>6.73</v>
      </c>
      <c r="G4725">
        <v>7.21</v>
      </c>
      <c r="H4725">
        <v>749.84</v>
      </c>
    </row>
    <row r="4726" spans="1:8" x14ac:dyDescent="0.35">
      <c r="A4726" t="s">
        <v>7</v>
      </c>
      <c r="B4726" t="s">
        <v>12</v>
      </c>
      <c r="C4726" t="s">
        <v>9</v>
      </c>
      <c r="D4726">
        <v>198</v>
      </c>
      <c r="E4726">
        <v>15</v>
      </c>
      <c r="F4726">
        <v>7.58</v>
      </c>
      <c r="G4726">
        <v>53.85</v>
      </c>
      <c r="H4726">
        <v>10662.3</v>
      </c>
    </row>
    <row r="4727" spans="1:8" x14ac:dyDescent="0.35">
      <c r="A4727" t="s">
        <v>8</v>
      </c>
      <c r="B4727" t="s">
        <v>12</v>
      </c>
      <c r="C4727" t="s">
        <v>9</v>
      </c>
      <c r="D4727">
        <v>149</v>
      </c>
      <c r="E4727">
        <v>5</v>
      </c>
      <c r="F4727">
        <v>3.36</v>
      </c>
      <c r="G4727">
        <v>43.79</v>
      </c>
      <c r="H4727">
        <v>6524.71</v>
      </c>
    </row>
    <row r="4728" spans="1:8" x14ac:dyDescent="0.35">
      <c r="A4728" t="s">
        <v>7</v>
      </c>
      <c r="B4728" t="s">
        <v>12</v>
      </c>
      <c r="C4728" t="s">
        <v>9</v>
      </c>
      <c r="D4728">
        <v>80</v>
      </c>
      <c r="E4728">
        <v>7</v>
      </c>
      <c r="F4728">
        <v>8.75</v>
      </c>
      <c r="G4728">
        <v>38.57</v>
      </c>
      <c r="H4728">
        <v>3085.6</v>
      </c>
    </row>
    <row r="4729" spans="1:8" x14ac:dyDescent="0.35">
      <c r="A4729" t="s">
        <v>8</v>
      </c>
      <c r="B4729" t="s">
        <v>12</v>
      </c>
      <c r="C4729" t="s">
        <v>9</v>
      </c>
      <c r="D4729">
        <v>59</v>
      </c>
      <c r="E4729">
        <v>4</v>
      </c>
      <c r="F4729">
        <v>6.78</v>
      </c>
      <c r="G4729">
        <v>57.01</v>
      </c>
      <c r="H4729">
        <v>3363.59</v>
      </c>
    </row>
    <row r="4730" spans="1:8" x14ac:dyDescent="0.35">
      <c r="A4730" t="s">
        <v>8</v>
      </c>
      <c r="B4730" t="s">
        <v>12</v>
      </c>
      <c r="C4730" t="s">
        <v>9</v>
      </c>
      <c r="D4730">
        <v>245</v>
      </c>
      <c r="E4730">
        <v>18</v>
      </c>
      <c r="F4730">
        <v>7.35</v>
      </c>
      <c r="G4730">
        <v>51.6</v>
      </c>
      <c r="H4730">
        <v>12642</v>
      </c>
    </row>
    <row r="4731" spans="1:8" x14ac:dyDescent="0.35">
      <c r="A4731" t="s">
        <v>8</v>
      </c>
      <c r="B4731" t="s">
        <v>12</v>
      </c>
      <c r="C4731" t="s">
        <v>9</v>
      </c>
      <c r="D4731">
        <v>140</v>
      </c>
      <c r="E4731">
        <v>13</v>
      </c>
      <c r="F4731">
        <v>9.2899999999999991</v>
      </c>
      <c r="G4731">
        <v>63.23</v>
      </c>
      <c r="H4731">
        <v>8852.2000000000007</v>
      </c>
    </row>
    <row r="4732" spans="1:8" x14ac:dyDescent="0.35">
      <c r="A4732" t="s">
        <v>7</v>
      </c>
      <c r="B4732" t="s">
        <v>12</v>
      </c>
      <c r="C4732" t="s">
        <v>9</v>
      </c>
      <c r="D4732">
        <v>96</v>
      </c>
      <c r="E4732">
        <v>0</v>
      </c>
      <c r="F4732">
        <v>0</v>
      </c>
      <c r="G4732">
        <v>31.92</v>
      </c>
      <c r="H4732">
        <v>3064.32</v>
      </c>
    </row>
    <row r="4733" spans="1:8" x14ac:dyDescent="0.35">
      <c r="A4733" t="s">
        <v>8</v>
      </c>
      <c r="B4733" t="s">
        <v>12</v>
      </c>
      <c r="C4733" t="s">
        <v>9</v>
      </c>
      <c r="D4733">
        <v>162</v>
      </c>
      <c r="E4733">
        <v>5</v>
      </c>
      <c r="F4733">
        <v>3.09</v>
      </c>
      <c r="G4733">
        <v>30.84</v>
      </c>
      <c r="H4733">
        <v>4996.08</v>
      </c>
    </row>
    <row r="4734" spans="1:8" x14ac:dyDescent="0.35">
      <c r="A4734" t="s">
        <v>7</v>
      </c>
      <c r="B4734" t="s">
        <v>12</v>
      </c>
      <c r="C4734" t="s">
        <v>9</v>
      </c>
      <c r="D4734">
        <v>249</v>
      </c>
      <c r="E4734">
        <v>23</v>
      </c>
      <c r="F4734">
        <v>9.24</v>
      </c>
      <c r="G4734">
        <v>11.59</v>
      </c>
      <c r="H4734">
        <v>2885.91</v>
      </c>
    </row>
    <row r="4735" spans="1:8" x14ac:dyDescent="0.35">
      <c r="A4735" t="s">
        <v>7</v>
      </c>
      <c r="B4735" t="s">
        <v>12</v>
      </c>
      <c r="C4735" t="s">
        <v>10</v>
      </c>
      <c r="D4735">
        <v>229</v>
      </c>
      <c r="E4735">
        <v>18</v>
      </c>
      <c r="F4735">
        <v>7.86</v>
      </c>
      <c r="G4735">
        <v>10.029999999999999</v>
      </c>
      <c r="H4735">
        <v>2296.87</v>
      </c>
    </row>
    <row r="4736" spans="1:8" x14ac:dyDescent="0.35">
      <c r="A4736" t="s">
        <v>6</v>
      </c>
      <c r="B4736" t="s">
        <v>12</v>
      </c>
      <c r="C4736" t="s">
        <v>9</v>
      </c>
      <c r="D4736">
        <v>184</v>
      </c>
      <c r="E4736">
        <v>1</v>
      </c>
      <c r="F4736">
        <v>0.54</v>
      </c>
      <c r="G4736">
        <v>11.72</v>
      </c>
      <c r="H4736">
        <v>2156.48</v>
      </c>
    </row>
    <row r="4737" spans="1:8" x14ac:dyDescent="0.35">
      <c r="A4737" t="s">
        <v>7</v>
      </c>
      <c r="B4737" t="s">
        <v>12</v>
      </c>
      <c r="C4737" t="s">
        <v>10</v>
      </c>
      <c r="D4737">
        <v>156</v>
      </c>
      <c r="E4737">
        <v>11</v>
      </c>
      <c r="F4737">
        <v>7.05</v>
      </c>
      <c r="G4737">
        <v>6.61</v>
      </c>
      <c r="H4737">
        <v>1031.1600000000001</v>
      </c>
    </row>
    <row r="4738" spans="1:8" x14ac:dyDescent="0.35">
      <c r="A4738" t="s">
        <v>7</v>
      </c>
      <c r="B4738" t="s">
        <v>12</v>
      </c>
      <c r="C4738" t="s">
        <v>9</v>
      </c>
      <c r="D4738">
        <v>257</v>
      </c>
      <c r="E4738">
        <v>14</v>
      </c>
      <c r="F4738">
        <v>5.45</v>
      </c>
      <c r="G4738">
        <v>67.849999999999994</v>
      </c>
      <c r="H4738">
        <v>17437.45</v>
      </c>
    </row>
    <row r="4739" spans="1:8" x14ac:dyDescent="0.35">
      <c r="A4739" t="s">
        <v>7</v>
      </c>
      <c r="B4739" t="s">
        <v>12</v>
      </c>
      <c r="C4739" t="s">
        <v>10</v>
      </c>
      <c r="D4739">
        <v>225</v>
      </c>
      <c r="E4739">
        <v>16</v>
      </c>
      <c r="F4739">
        <v>7.11</v>
      </c>
      <c r="G4739">
        <v>8.6999999999999993</v>
      </c>
      <c r="H4739">
        <v>1957.5</v>
      </c>
    </row>
    <row r="4740" spans="1:8" x14ac:dyDescent="0.35">
      <c r="A4740" t="s">
        <v>6</v>
      </c>
      <c r="B4740" t="s">
        <v>12</v>
      </c>
      <c r="C4740" t="s">
        <v>9</v>
      </c>
      <c r="D4740">
        <v>172</v>
      </c>
      <c r="E4740">
        <v>7</v>
      </c>
      <c r="F4740">
        <v>4.07</v>
      </c>
      <c r="G4740">
        <v>26.86</v>
      </c>
      <c r="H4740">
        <v>4619.92</v>
      </c>
    </row>
    <row r="4741" spans="1:8" x14ac:dyDescent="0.35">
      <c r="A4741" t="s">
        <v>8</v>
      </c>
      <c r="B4741" t="s">
        <v>12</v>
      </c>
      <c r="C4741" t="s">
        <v>9</v>
      </c>
      <c r="D4741">
        <v>189</v>
      </c>
      <c r="E4741">
        <v>9</v>
      </c>
      <c r="F4741">
        <v>4.76</v>
      </c>
      <c r="G4741">
        <v>66</v>
      </c>
      <c r="H4741">
        <v>12474</v>
      </c>
    </row>
    <row r="4742" spans="1:8" x14ac:dyDescent="0.35">
      <c r="A4742" t="s">
        <v>7</v>
      </c>
      <c r="B4742" t="s">
        <v>12</v>
      </c>
      <c r="C4742" t="s">
        <v>10</v>
      </c>
      <c r="D4742">
        <v>102</v>
      </c>
      <c r="E4742">
        <v>6</v>
      </c>
      <c r="F4742">
        <v>5.88</v>
      </c>
      <c r="G4742">
        <v>62.23</v>
      </c>
      <c r="H4742">
        <v>6347.46</v>
      </c>
    </row>
    <row r="4743" spans="1:8" x14ac:dyDescent="0.35">
      <c r="A4743" t="s">
        <v>7</v>
      </c>
      <c r="B4743" t="s">
        <v>12</v>
      </c>
      <c r="C4743" t="s">
        <v>9</v>
      </c>
      <c r="D4743">
        <v>259</v>
      </c>
      <c r="E4743">
        <v>23</v>
      </c>
      <c r="F4743">
        <v>8.8800000000000008</v>
      </c>
      <c r="G4743">
        <v>33.89</v>
      </c>
      <c r="H4743">
        <v>8777.51</v>
      </c>
    </row>
    <row r="4744" spans="1:8" x14ac:dyDescent="0.35">
      <c r="A4744" t="s">
        <v>7</v>
      </c>
      <c r="B4744" t="s">
        <v>12</v>
      </c>
      <c r="C4744" t="s">
        <v>10</v>
      </c>
      <c r="D4744">
        <v>251</v>
      </c>
      <c r="E4744">
        <v>18</v>
      </c>
      <c r="F4744">
        <v>7.17</v>
      </c>
      <c r="G4744">
        <v>27.97</v>
      </c>
      <c r="H4744">
        <v>7020.47</v>
      </c>
    </row>
    <row r="4745" spans="1:8" x14ac:dyDescent="0.35">
      <c r="A4745" t="s">
        <v>7</v>
      </c>
      <c r="B4745" t="s">
        <v>12</v>
      </c>
      <c r="C4745" t="s">
        <v>9</v>
      </c>
      <c r="D4745">
        <v>151</v>
      </c>
      <c r="E4745">
        <v>11</v>
      </c>
      <c r="F4745">
        <v>7.28</v>
      </c>
      <c r="G4745">
        <v>25.68</v>
      </c>
      <c r="H4745">
        <v>3877.68</v>
      </c>
    </row>
    <row r="4746" spans="1:8" x14ac:dyDescent="0.35">
      <c r="A4746" t="s">
        <v>5</v>
      </c>
      <c r="B4746" t="s">
        <v>12</v>
      </c>
      <c r="C4746" t="s">
        <v>9</v>
      </c>
      <c r="D4746">
        <v>106</v>
      </c>
      <c r="E4746">
        <v>4</v>
      </c>
      <c r="F4746">
        <v>3.77</v>
      </c>
      <c r="G4746">
        <v>63.22</v>
      </c>
      <c r="H4746">
        <v>6701.32</v>
      </c>
    </row>
    <row r="4747" spans="1:8" x14ac:dyDescent="0.35">
      <c r="A4747" t="s">
        <v>6</v>
      </c>
      <c r="B4747" t="s">
        <v>12</v>
      </c>
      <c r="C4747" t="s">
        <v>11</v>
      </c>
      <c r="D4747">
        <v>56</v>
      </c>
      <c r="E4747">
        <v>4</v>
      </c>
      <c r="F4747">
        <v>7.14</v>
      </c>
      <c r="G4747">
        <v>35.83</v>
      </c>
      <c r="H4747">
        <v>2006.48</v>
      </c>
    </row>
    <row r="4748" spans="1:8" x14ac:dyDescent="0.35">
      <c r="A4748" t="s">
        <v>6</v>
      </c>
      <c r="B4748" t="s">
        <v>12</v>
      </c>
      <c r="C4748" t="s">
        <v>11</v>
      </c>
      <c r="D4748">
        <v>95</v>
      </c>
      <c r="E4748">
        <v>6</v>
      </c>
      <c r="F4748">
        <v>6.32</v>
      </c>
      <c r="G4748">
        <v>23.98</v>
      </c>
      <c r="H4748">
        <v>2278.1</v>
      </c>
    </row>
    <row r="4749" spans="1:8" x14ac:dyDescent="0.35">
      <c r="A4749" t="s">
        <v>7</v>
      </c>
      <c r="B4749" t="s">
        <v>12</v>
      </c>
      <c r="C4749" t="s">
        <v>9</v>
      </c>
      <c r="D4749">
        <v>225</v>
      </c>
      <c r="E4749">
        <v>5</v>
      </c>
      <c r="F4749">
        <v>2.2200000000000002</v>
      </c>
      <c r="G4749">
        <v>10.32</v>
      </c>
      <c r="H4749">
        <v>2322</v>
      </c>
    </row>
    <row r="4750" spans="1:8" x14ac:dyDescent="0.35">
      <c r="A4750" t="s">
        <v>5</v>
      </c>
      <c r="B4750" t="s">
        <v>12</v>
      </c>
      <c r="C4750" t="s">
        <v>9</v>
      </c>
      <c r="D4750">
        <v>62</v>
      </c>
      <c r="E4750">
        <v>2</v>
      </c>
      <c r="F4750">
        <v>3.23</v>
      </c>
      <c r="G4750">
        <v>43.19</v>
      </c>
      <c r="H4750">
        <v>2677.78</v>
      </c>
    </row>
    <row r="4751" spans="1:8" x14ac:dyDescent="0.35">
      <c r="A4751" t="s">
        <v>7</v>
      </c>
      <c r="B4751" t="s">
        <v>12</v>
      </c>
      <c r="C4751" t="s">
        <v>10</v>
      </c>
      <c r="D4751">
        <v>206</v>
      </c>
      <c r="E4751">
        <v>2</v>
      </c>
      <c r="F4751">
        <v>0.97</v>
      </c>
      <c r="G4751">
        <v>10.1</v>
      </c>
      <c r="H4751">
        <v>2080.6</v>
      </c>
    </row>
    <row r="4752" spans="1:8" x14ac:dyDescent="0.35">
      <c r="A4752" t="s">
        <v>6</v>
      </c>
      <c r="B4752" t="s">
        <v>12</v>
      </c>
      <c r="C4752" t="s">
        <v>9</v>
      </c>
      <c r="D4752">
        <v>179</v>
      </c>
      <c r="E4752">
        <v>16</v>
      </c>
      <c r="F4752">
        <v>8.94</v>
      </c>
      <c r="G4752">
        <v>32.71</v>
      </c>
      <c r="H4752">
        <v>5855.09</v>
      </c>
    </row>
    <row r="4753" spans="1:8" x14ac:dyDescent="0.35">
      <c r="A4753" t="s">
        <v>5</v>
      </c>
      <c r="B4753" t="s">
        <v>12</v>
      </c>
      <c r="C4753" t="s">
        <v>9</v>
      </c>
      <c r="D4753">
        <v>147</v>
      </c>
      <c r="E4753">
        <v>7</v>
      </c>
      <c r="F4753">
        <v>4.76</v>
      </c>
      <c r="G4753">
        <v>63.77</v>
      </c>
      <c r="H4753">
        <v>9374.19</v>
      </c>
    </row>
    <row r="4754" spans="1:8" x14ac:dyDescent="0.35">
      <c r="A4754" t="s">
        <v>5</v>
      </c>
      <c r="B4754" t="s">
        <v>12</v>
      </c>
      <c r="C4754" t="s">
        <v>9</v>
      </c>
      <c r="D4754">
        <v>251</v>
      </c>
      <c r="E4754">
        <v>14</v>
      </c>
      <c r="F4754">
        <v>5.58</v>
      </c>
      <c r="G4754">
        <v>27.01</v>
      </c>
      <c r="H4754">
        <v>6779.51</v>
      </c>
    </row>
    <row r="4755" spans="1:8" x14ac:dyDescent="0.35">
      <c r="A4755" t="s">
        <v>8</v>
      </c>
      <c r="B4755" t="s">
        <v>12</v>
      </c>
      <c r="C4755" t="s">
        <v>9</v>
      </c>
      <c r="D4755">
        <v>130</v>
      </c>
      <c r="E4755">
        <v>11</v>
      </c>
      <c r="F4755">
        <v>8.4600000000000009</v>
      </c>
      <c r="G4755">
        <v>36.950000000000003</v>
      </c>
      <c r="H4755">
        <v>4803.5</v>
      </c>
    </row>
    <row r="4756" spans="1:8" x14ac:dyDescent="0.35">
      <c r="A4756" t="s">
        <v>5</v>
      </c>
      <c r="B4756" t="s">
        <v>12</v>
      </c>
      <c r="C4756" t="s">
        <v>9</v>
      </c>
      <c r="D4756">
        <v>277</v>
      </c>
      <c r="E4756">
        <v>20</v>
      </c>
      <c r="F4756">
        <v>7.22</v>
      </c>
      <c r="G4756">
        <v>36.11</v>
      </c>
      <c r="H4756">
        <v>10002.469999999999</v>
      </c>
    </row>
    <row r="4757" spans="1:8" x14ac:dyDescent="0.35">
      <c r="A4757" t="s">
        <v>7</v>
      </c>
      <c r="B4757" t="s">
        <v>12</v>
      </c>
      <c r="C4757" t="s">
        <v>10</v>
      </c>
      <c r="D4757">
        <v>155</v>
      </c>
      <c r="E4757">
        <v>0</v>
      </c>
      <c r="F4757">
        <v>0</v>
      </c>
      <c r="G4757">
        <v>52.63</v>
      </c>
      <c r="H4757">
        <v>8157.65</v>
      </c>
    </row>
    <row r="4758" spans="1:8" x14ac:dyDescent="0.35">
      <c r="A4758" t="s">
        <v>7</v>
      </c>
      <c r="B4758" t="s">
        <v>12</v>
      </c>
      <c r="C4758" t="s">
        <v>10</v>
      </c>
      <c r="D4758">
        <v>157</v>
      </c>
      <c r="E4758">
        <v>4</v>
      </c>
      <c r="F4758">
        <v>2.5499999999999998</v>
      </c>
      <c r="G4758">
        <v>24.08</v>
      </c>
      <c r="H4758">
        <v>3780.56</v>
      </c>
    </row>
    <row r="4759" spans="1:8" x14ac:dyDescent="0.35">
      <c r="A4759" t="s">
        <v>6</v>
      </c>
      <c r="B4759" t="s">
        <v>12</v>
      </c>
      <c r="C4759" t="s">
        <v>9</v>
      </c>
      <c r="D4759">
        <v>190</v>
      </c>
      <c r="E4759">
        <v>12</v>
      </c>
      <c r="F4759">
        <v>6.32</v>
      </c>
      <c r="G4759">
        <v>65.709999999999994</v>
      </c>
      <c r="H4759">
        <v>12484.9</v>
      </c>
    </row>
    <row r="4760" spans="1:8" x14ac:dyDescent="0.35">
      <c r="A4760" t="s">
        <v>8</v>
      </c>
      <c r="B4760" t="s">
        <v>12</v>
      </c>
      <c r="C4760" t="s">
        <v>9</v>
      </c>
      <c r="D4760">
        <v>61</v>
      </c>
      <c r="E4760">
        <v>6</v>
      </c>
      <c r="F4760">
        <v>9.84</v>
      </c>
      <c r="G4760">
        <v>25.11</v>
      </c>
      <c r="H4760">
        <v>1531.71</v>
      </c>
    </row>
    <row r="4761" spans="1:8" x14ac:dyDescent="0.35">
      <c r="A4761" t="s">
        <v>5</v>
      </c>
      <c r="B4761" t="s">
        <v>12</v>
      </c>
      <c r="C4761" t="s">
        <v>9</v>
      </c>
      <c r="D4761">
        <v>295</v>
      </c>
      <c r="E4761">
        <v>6</v>
      </c>
      <c r="F4761">
        <v>2.0299999999999998</v>
      </c>
      <c r="G4761">
        <v>18.329999999999998</v>
      </c>
      <c r="H4761">
        <v>5407.35</v>
      </c>
    </row>
    <row r="4762" spans="1:8" x14ac:dyDescent="0.35">
      <c r="A4762" t="s">
        <v>5</v>
      </c>
      <c r="B4762" t="s">
        <v>12</v>
      </c>
      <c r="C4762" t="s">
        <v>9</v>
      </c>
      <c r="D4762">
        <v>84</v>
      </c>
      <c r="E4762">
        <v>1</v>
      </c>
      <c r="F4762">
        <v>1.19</v>
      </c>
      <c r="G4762">
        <v>61.89</v>
      </c>
      <c r="H4762">
        <v>5198.76</v>
      </c>
    </row>
    <row r="4763" spans="1:8" x14ac:dyDescent="0.35">
      <c r="A4763" t="s">
        <v>5</v>
      </c>
      <c r="B4763" t="s">
        <v>12</v>
      </c>
      <c r="C4763" t="s">
        <v>9</v>
      </c>
      <c r="D4763">
        <v>146</v>
      </c>
      <c r="E4763">
        <v>9</v>
      </c>
      <c r="F4763">
        <v>6.16</v>
      </c>
      <c r="G4763">
        <v>49.61</v>
      </c>
      <c r="H4763">
        <v>7243.06</v>
      </c>
    </row>
    <row r="4764" spans="1:8" x14ac:dyDescent="0.35">
      <c r="A4764" t="s">
        <v>6</v>
      </c>
      <c r="B4764" t="s">
        <v>12</v>
      </c>
      <c r="C4764" t="s">
        <v>11</v>
      </c>
      <c r="D4764">
        <v>99</v>
      </c>
      <c r="E4764">
        <v>1</v>
      </c>
      <c r="F4764">
        <v>1.01</v>
      </c>
      <c r="G4764">
        <v>11.91</v>
      </c>
      <c r="H4764">
        <v>1179.0899999999999</v>
      </c>
    </row>
    <row r="4765" spans="1:8" x14ac:dyDescent="0.35">
      <c r="A4765" t="s">
        <v>6</v>
      </c>
      <c r="B4765" t="s">
        <v>12</v>
      </c>
      <c r="C4765" t="s">
        <v>11</v>
      </c>
      <c r="D4765">
        <v>95</v>
      </c>
      <c r="E4765">
        <v>0</v>
      </c>
      <c r="F4765">
        <v>0</v>
      </c>
      <c r="G4765">
        <v>6.35</v>
      </c>
      <c r="H4765">
        <v>603.25</v>
      </c>
    </row>
    <row r="4766" spans="1:8" x14ac:dyDescent="0.35">
      <c r="A4766" t="s">
        <v>6</v>
      </c>
      <c r="B4766" t="s">
        <v>12</v>
      </c>
      <c r="C4766" t="s">
        <v>9</v>
      </c>
      <c r="D4766">
        <v>217</v>
      </c>
      <c r="E4766">
        <v>2</v>
      </c>
      <c r="F4766">
        <v>0.92</v>
      </c>
      <c r="G4766">
        <v>41.31</v>
      </c>
      <c r="H4766">
        <v>8964.27</v>
      </c>
    </row>
    <row r="4767" spans="1:8" x14ac:dyDescent="0.35">
      <c r="A4767" t="s">
        <v>7</v>
      </c>
      <c r="B4767" t="s">
        <v>12</v>
      </c>
      <c r="C4767" t="s">
        <v>9</v>
      </c>
      <c r="D4767">
        <v>108</v>
      </c>
      <c r="E4767">
        <v>0</v>
      </c>
      <c r="F4767">
        <v>0</v>
      </c>
      <c r="G4767">
        <v>58.95</v>
      </c>
      <c r="H4767">
        <v>6366.6</v>
      </c>
    </row>
    <row r="4768" spans="1:8" x14ac:dyDescent="0.35">
      <c r="A4768" t="s">
        <v>6</v>
      </c>
      <c r="B4768" t="s">
        <v>12</v>
      </c>
      <c r="C4768" t="s">
        <v>9</v>
      </c>
      <c r="D4768">
        <v>152</v>
      </c>
      <c r="E4768">
        <v>1</v>
      </c>
      <c r="F4768">
        <v>0.66</v>
      </c>
      <c r="G4768">
        <v>11.7</v>
      </c>
      <c r="H4768">
        <v>1778.4</v>
      </c>
    </row>
    <row r="4769" spans="1:8" x14ac:dyDescent="0.35">
      <c r="A4769" t="s">
        <v>7</v>
      </c>
      <c r="B4769" t="s">
        <v>12</v>
      </c>
      <c r="C4769" t="s">
        <v>10</v>
      </c>
      <c r="D4769">
        <v>70</v>
      </c>
      <c r="E4769">
        <v>7</v>
      </c>
      <c r="F4769">
        <v>10</v>
      </c>
      <c r="G4769">
        <v>5.98</v>
      </c>
      <c r="H4769">
        <v>418.6</v>
      </c>
    </row>
    <row r="4770" spans="1:8" x14ac:dyDescent="0.35">
      <c r="A4770" t="s">
        <v>5</v>
      </c>
      <c r="B4770" t="s">
        <v>12</v>
      </c>
      <c r="C4770" t="s">
        <v>9</v>
      </c>
      <c r="D4770">
        <v>208</v>
      </c>
      <c r="E4770">
        <v>0</v>
      </c>
      <c r="F4770">
        <v>0</v>
      </c>
      <c r="G4770">
        <v>6.88</v>
      </c>
      <c r="H4770">
        <v>1431.04</v>
      </c>
    </row>
    <row r="4771" spans="1:8" x14ac:dyDescent="0.35">
      <c r="A4771" t="s">
        <v>7</v>
      </c>
      <c r="B4771" t="s">
        <v>12</v>
      </c>
      <c r="C4771" t="s">
        <v>9</v>
      </c>
      <c r="D4771">
        <v>253</v>
      </c>
      <c r="E4771">
        <v>7</v>
      </c>
      <c r="F4771">
        <v>2.77</v>
      </c>
      <c r="G4771">
        <v>23.63</v>
      </c>
      <c r="H4771">
        <v>5978.39</v>
      </c>
    </row>
    <row r="4772" spans="1:8" x14ac:dyDescent="0.35">
      <c r="A4772" t="s">
        <v>6</v>
      </c>
      <c r="B4772" t="s">
        <v>12</v>
      </c>
      <c r="C4772" t="s">
        <v>9</v>
      </c>
      <c r="D4772">
        <v>128</v>
      </c>
      <c r="E4772">
        <v>12</v>
      </c>
      <c r="F4772">
        <v>9.3800000000000008</v>
      </c>
      <c r="G4772">
        <v>69.45</v>
      </c>
      <c r="H4772">
        <v>8889.6</v>
      </c>
    </row>
    <row r="4773" spans="1:8" x14ac:dyDescent="0.35">
      <c r="A4773" t="s">
        <v>6</v>
      </c>
      <c r="B4773" t="s">
        <v>12</v>
      </c>
      <c r="C4773" t="s">
        <v>9</v>
      </c>
      <c r="D4773">
        <v>225</v>
      </c>
      <c r="E4773">
        <v>6</v>
      </c>
      <c r="F4773">
        <v>2.67</v>
      </c>
      <c r="G4773">
        <v>17.88</v>
      </c>
      <c r="H4773">
        <v>4023</v>
      </c>
    </row>
    <row r="4774" spans="1:8" x14ac:dyDescent="0.35">
      <c r="A4774" t="s">
        <v>7</v>
      </c>
      <c r="B4774" t="s">
        <v>12</v>
      </c>
      <c r="C4774" t="s">
        <v>9</v>
      </c>
      <c r="D4774">
        <v>263</v>
      </c>
      <c r="E4774">
        <v>21</v>
      </c>
      <c r="F4774">
        <v>7.98</v>
      </c>
      <c r="G4774">
        <v>21.14</v>
      </c>
      <c r="H4774">
        <v>5559.82</v>
      </c>
    </row>
    <row r="4775" spans="1:8" x14ac:dyDescent="0.35">
      <c r="A4775" t="s">
        <v>7</v>
      </c>
      <c r="B4775" t="s">
        <v>12</v>
      </c>
      <c r="C4775" t="s">
        <v>10</v>
      </c>
      <c r="D4775">
        <v>299</v>
      </c>
      <c r="E4775">
        <v>18</v>
      </c>
      <c r="F4775">
        <v>6.02</v>
      </c>
      <c r="G4775">
        <v>61.05</v>
      </c>
      <c r="H4775">
        <v>18253.95</v>
      </c>
    </row>
    <row r="4776" spans="1:8" x14ac:dyDescent="0.35">
      <c r="A4776" t="s">
        <v>6</v>
      </c>
      <c r="B4776" t="s">
        <v>12</v>
      </c>
      <c r="C4776" t="s">
        <v>11</v>
      </c>
      <c r="D4776">
        <v>58</v>
      </c>
      <c r="E4776">
        <v>4</v>
      </c>
      <c r="F4776">
        <v>6.9</v>
      </c>
      <c r="G4776">
        <v>32.659999999999997</v>
      </c>
      <c r="H4776">
        <v>1894.28</v>
      </c>
    </row>
    <row r="4777" spans="1:8" x14ac:dyDescent="0.35">
      <c r="A4777" t="s">
        <v>8</v>
      </c>
      <c r="B4777" t="s">
        <v>12</v>
      </c>
      <c r="C4777" t="s">
        <v>9</v>
      </c>
      <c r="D4777">
        <v>196</v>
      </c>
      <c r="E4777">
        <v>3</v>
      </c>
      <c r="F4777">
        <v>1.53</v>
      </c>
      <c r="G4777">
        <v>68.45</v>
      </c>
      <c r="H4777">
        <v>13416.2</v>
      </c>
    </row>
    <row r="4778" spans="1:8" x14ac:dyDescent="0.35">
      <c r="A4778" t="s">
        <v>8</v>
      </c>
      <c r="B4778" t="s">
        <v>12</v>
      </c>
      <c r="C4778" t="s">
        <v>9</v>
      </c>
      <c r="D4778">
        <v>237</v>
      </c>
      <c r="E4778">
        <v>22</v>
      </c>
      <c r="F4778">
        <v>9.2799999999999994</v>
      </c>
      <c r="G4778">
        <v>20.57</v>
      </c>
      <c r="H4778">
        <v>4875.09</v>
      </c>
    </row>
    <row r="4779" spans="1:8" x14ac:dyDescent="0.35">
      <c r="A4779" t="s">
        <v>5</v>
      </c>
      <c r="B4779" t="s">
        <v>12</v>
      </c>
      <c r="C4779" t="s">
        <v>9</v>
      </c>
      <c r="D4779">
        <v>237</v>
      </c>
      <c r="E4779">
        <v>16</v>
      </c>
      <c r="F4779">
        <v>6.75</v>
      </c>
      <c r="G4779">
        <v>10.57</v>
      </c>
      <c r="H4779">
        <v>2505.09</v>
      </c>
    </row>
    <row r="4780" spans="1:8" x14ac:dyDescent="0.35">
      <c r="A4780" t="s">
        <v>5</v>
      </c>
      <c r="B4780" t="s">
        <v>12</v>
      </c>
      <c r="C4780" t="s">
        <v>9</v>
      </c>
      <c r="D4780">
        <v>228</v>
      </c>
      <c r="E4780">
        <v>10</v>
      </c>
      <c r="F4780">
        <v>4.3899999999999997</v>
      </c>
      <c r="G4780">
        <v>69.27</v>
      </c>
      <c r="H4780">
        <v>15793.56</v>
      </c>
    </row>
    <row r="4781" spans="1:8" x14ac:dyDescent="0.35">
      <c r="A4781" t="s">
        <v>8</v>
      </c>
      <c r="B4781" t="s">
        <v>12</v>
      </c>
      <c r="C4781" t="s">
        <v>9</v>
      </c>
      <c r="D4781">
        <v>138</v>
      </c>
      <c r="E4781">
        <v>6</v>
      </c>
      <c r="F4781">
        <v>4.3499999999999996</v>
      </c>
      <c r="G4781">
        <v>47.83</v>
      </c>
      <c r="H4781">
        <v>6600.54</v>
      </c>
    </row>
    <row r="4782" spans="1:8" x14ac:dyDescent="0.35">
      <c r="A4782" t="s">
        <v>7</v>
      </c>
      <c r="B4782" t="s">
        <v>12</v>
      </c>
      <c r="C4782" t="s">
        <v>10</v>
      </c>
      <c r="D4782">
        <v>192</v>
      </c>
      <c r="E4782">
        <v>0</v>
      </c>
      <c r="F4782">
        <v>0</v>
      </c>
      <c r="G4782">
        <v>47.06</v>
      </c>
      <c r="H4782">
        <v>9035.52</v>
      </c>
    </row>
    <row r="4783" spans="1:8" x14ac:dyDescent="0.35">
      <c r="A4783" t="s">
        <v>7</v>
      </c>
      <c r="B4783" t="s">
        <v>12</v>
      </c>
      <c r="C4783" t="s">
        <v>9</v>
      </c>
      <c r="D4783">
        <v>297</v>
      </c>
      <c r="E4783">
        <v>21</v>
      </c>
      <c r="F4783">
        <v>7.07</v>
      </c>
      <c r="G4783">
        <v>62.92</v>
      </c>
      <c r="H4783">
        <v>18687.240000000002</v>
      </c>
    </row>
    <row r="4784" spans="1:8" x14ac:dyDescent="0.35">
      <c r="A4784" t="s">
        <v>6</v>
      </c>
      <c r="B4784" t="s">
        <v>12</v>
      </c>
      <c r="C4784" t="s">
        <v>11</v>
      </c>
      <c r="D4784">
        <v>83</v>
      </c>
      <c r="E4784">
        <v>3</v>
      </c>
      <c r="F4784">
        <v>3.61</v>
      </c>
      <c r="G4784">
        <v>32.5</v>
      </c>
      <c r="H4784">
        <v>2697.5</v>
      </c>
    </row>
    <row r="4785" spans="1:8" x14ac:dyDescent="0.35">
      <c r="A4785" t="s">
        <v>6</v>
      </c>
      <c r="B4785" t="s">
        <v>12</v>
      </c>
      <c r="C4785" t="s">
        <v>9</v>
      </c>
      <c r="D4785">
        <v>93</v>
      </c>
      <c r="E4785">
        <v>2</v>
      </c>
      <c r="F4785">
        <v>2.15</v>
      </c>
      <c r="G4785">
        <v>13.01</v>
      </c>
      <c r="H4785">
        <v>1209.93</v>
      </c>
    </row>
    <row r="4786" spans="1:8" x14ac:dyDescent="0.35">
      <c r="A4786" t="s">
        <v>6</v>
      </c>
      <c r="B4786" t="s">
        <v>12</v>
      </c>
      <c r="C4786" t="s">
        <v>11</v>
      </c>
      <c r="D4786">
        <v>187</v>
      </c>
      <c r="E4786">
        <v>7</v>
      </c>
      <c r="F4786">
        <v>3.74</v>
      </c>
      <c r="G4786">
        <v>47.77</v>
      </c>
      <c r="H4786">
        <v>8932.99</v>
      </c>
    </row>
    <row r="4787" spans="1:8" x14ac:dyDescent="0.35">
      <c r="A4787" t="s">
        <v>8</v>
      </c>
      <c r="B4787" t="s">
        <v>12</v>
      </c>
      <c r="C4787" t="s">
        <v>9</v>
      </c>
      <c r="D4787">
        <v>182</v>
      </c>
      <c r="E4787">
        <v>8</v>
      </c>
      <c r="F4787">
        <v>4.4000000000000004</v>
      </c>
      <c r="G4787">
        <v>39.47</v>
      </c>
      <c r="H4787">
        <v>7183.54</v>
      </c>
    </row>
    <row r="4788" spans="1:8" x14ac:dyDescent="0.35">
      <c r="A4788" t="s">
        <v>6</v>
      </c>
      <c r="B4788" t="s">
        <v>12</v>
      </c>
      <c r="C4788" t="s">
        <v>9</v>
      </c>
      <c r="D4788">
        <v>105</v>
      </c>
      <c r="E4788">
        <v>9</v>
      </c>
      <c r="F4788">
        <v>8.57</v>
      </c>
      <c r="G4788">
        <v>65.53</v>
      </c>
      <c r="H4788">
        <v>6880.65</v>
      </c>
    </row>
    <row r="4789" spans="1:8" x14ac:dyDescent="0.35">
      <c r="A4789" t="s">
        <v>6</v>
      </c>
      <c r="B4789" t="s">
        <v>12</v>
      </c>
      <c r="C4789" t="s">
        <v>9</v>
      </c>
      <c r="D4789">
        <v>57</v>
      </c>
      <c r="E4789">
        <v>5</v>
      </c>
      <c r="F4789">
        <v>8.77</v>
      </c>
      <c r="G4789">
        <v>45.28</v>
      </c>
      <c r="H4789">
        <v>2580.96</v>
      </c>
    </row>
    <row r="4790" spans="1:8" x14ac:dyDescent="0.35">
      <c r="A4790" t="s">
        <v>6</v>
      </c>
      <c r="B4790" t="s">
        <v>12</v>
      </c>
      <c r="C4790" t="s">
        <v>9</v>
      </c>
      <c r="D4790">
        <v>255</v>
      </c>
      <c r="E4790">
        <v>21</v>
      </c>
      <c r="F4790">
        <v>8.24</v>
      </c>
      <c r="G4790">
        <v>36.5</v>
      </c>
      <c r="H4790">
        <v>9307.5</v>
      </c>
    </row>
    <row r="4791" spans="1:8" x14ac:dyDescent="0.35">
      <c r="A4791" t="s">
        <v>8</v>
      </c>
      <c r="B4791" t="s">
        <v>12</v>
      </c>
      <c r="C4791" t="s">
        <v>9</v>
      </c>
      <c r="D4791">
        <v>169</v>
      </c>
      <c r="E4791">
        <v>1</v>
      </c>
      <c r="F4791">
        <v>0.59</v>
      </c>
      <c r="G4791">
        <v>54.51</v>
      </c>
      <c r="H4791">
        <v>9212.19</v>
      </c>
    </row>
    <row r="4792" spans="1:8" x14ac:dyDescent="0.35">
      <c r="A4792" t="s">
        <v>6</v>
      </c>
      <c r="B4792" t="s">
        <v>12</v>
      </c>
      <c r="C4792" t="s">
        <v>11</v>
      </c>
      <c r="D4792">
        <v>94</v>
      </c>
      <c r="E4792">
        <v>3</v>
      </c>
      <c r="F4792">
        <v>3.19</v>
      </c>
      <c r="G4792">
        <v>49.05</v>
      </c>
      <c r="H4792">
        <v>4610.7</v>
      </c>
    </row>
    <row r="4793" spans="1:8" x14ac:dyDescent="0.35">
      <c r="A4793" t="s">
        <v>5</v>
      </c>
      <c r="B4793" t="s">
        <v>12</v>
      </c>
      <c r="C4793" t="s">
        <v>9</v>
      </c>
      <c r="D4793">
        <v>90</v>
      </c>
      <c r="E4793">
        <v>9</v>
      </c>
      <c r="F4793">
        <v>10</v>
      </c>
      <c r="G4793">
        <v>33.869999999999997</v>
      </c>
      <c r="H4793">
        <v>3048.3</v>
      </c>
    </row>
    <row r="4794" spans="1:8" x14ac:dyDescent="0.35">
      <c r="A4794" t="s">
        <v>7</v>
      </c>
      <c r="B4794" t="s">
        <v>12</v>
      </c>
      <c r="C4794" t="s">
        <v>9</v>
      </c>
      <c r="D4794">
        <v>217</v>
      </c>
      <c r="E4794">
        <v>5</v>
      </c>
      <c r="F4794">
        <v>2.2999999999999998</v>
      </c>
      <c r="G4794">
        <v>55.91</v>
      </c>
      <c r="H4794">
        <v>12132.47</v>
      </c>
    </row>
    <row r="4795" spans="1:8" x14ac:dyDescent="0.35">
      <c r="A4795" t="s">
        <v>6</v>
      </c>
      <c r="B4795" t="s">
        <v>12</v>
      </c>
      <c r="C4795" t="s">
        <v>11</v>
      </c>
      <c r="D4795">
        <v>216</v>
      </c>
      <c r="E4795">
        <v>8</v>
      </c>
      <c r="F4795">
        <v>3.7</v>
      </c>
      <c r="G4795">
        <v>18.96</v>
      </c>
      <c r="H4795">
        <v>4095.36</v>
      </c>
    </row>
    <row r="4796" spans="1:8" x14ac:dyDescent="0.35">
      <c r="A4796" t="s">
        <v>6</v>
      </c>
      <c r="B4796" t="s">
        <v>12</v>
      </c>
      <c r="C4796" t="s">
        <v>9</v>
      </c>
      <c r="D4796">
        <v>300</v>
      </c>
      <c r="E4796">
        <v>9</v>
      </c>
      <c r="F4796">
        <v>3</v>
      </c>
      <c r="G4796">
        <v>52.75</v>
      </c>
      <c r="H4796">
        <v>15825</v>
      </c>
    </row>
    <row r="4797" spans="1:8" x14ac:dyDescent="0.35">
      <c r="A4797" t="s">
        <v>6</v>
      </c>
      <c r="B4797" t="s">
        <v>12</v>
      </c>
      <c r="C4797" t="s">
        <v>9</v>
      </c>
      <c r="D4797">
        <v>109</v>
      </c>
      <c r="E4797">
        <v>6</v>
      </c>
      <c r="F4797">
        <v>5.5</v>
      </c>
      <c r="G4797">
        <v>55.54</v>
      </c>
      <c r="H4797">
        <v>6053.86</v>
      </c>
    </row>
    <row r="4798" spans="1:8" x14ac:dyDescent="0.35">
      <c r="A4798" t="s">
        <v>8</v>
      </c>
      <c r="B4798" t="s">
        <v>12</v>
      </c>
      <c r="C4798" t="s">
        <v>9</v>
      </c>
      <c r="D4798">
        <v>72</v>
      </c>
      <c r="E4798">
        <v>6</v>
      </c>
      <c r="F4798">
        <v>8.33</v>
      </c>
      <c r="G4798">
        <v>55.59</v>
      </c>
      <c r="H4798">
        <v>4002.48</v>
      </c>
    </row>
    <row r="4799" spans="1:8" x14ac:dyDescent="0.35">
      <c r="A4799" t="s">
        <v>5</v>
      </c>
      <c r="B4799" t="s">
        <v>12</v>
      </c>
      <c r="C4799" t="s">
        <v>9</v>
      </c>
      <c r="D4799">
        <v>154</v>
      </c>
      <c r="E4799">
        <v>6</v>
      </c>
      <c r="F4799">
        <v>3.9</v>
      </c>
      <c r="G4799">
        <v>63.6</v>
      </c>
      <c r="H4799">
        <v>9794.4</v>
      </c>
    </row>
    <row r="4800" spans="1:8" x14ac:dyDescent="0.35">
      <c r="A4800" t="s">
        <v>5</v>
      </c>
      <c r="B4800" t="s">
        <v>12</v>
      </c>
      <c r="C4800" t="s">
        <v>9</v>
      </c>
      <c r="D4800">
        <v>100</v>
      </c>
      <c r="E4800">
        <v>1</v>
      </c>
      <c r="F4800">
        <v>1</v>
      </c>
      <c r="G4800">
        <v>29.69</v>
      </c>
      <c r="H4800">
        <v>2969</v>
      </c>
    </row>
    <row r="4801" spans="1:8" x14ac:dyDescent="0.35">
      <c r="A4801" t="s">
        <v>7</v>
      </c>
      <c r="B4801" t="s">
        <v>12</v>
      </c>
      <c r="C4801" t="s">
        <v>10</v>
      </c>
      <c r="D4801">
        <v>124</v>
      </c>
      <c r="E4801">
        <v>9</v>
      </c>
      <c r="F4801">
        <v>7.26</v>
      </c>
      <c r="G4801">
        <v>25.62</v>
      </c>
      <c r="H4801">
        <v>3176.88</v>
      </c>
    </row>
    <row r="4802" spans="1:8" x14ac:dyDescent="0.35">
      <c r="A4802" t="s">
        <v>7</v>
      </c>
      <c r="B4802" t="s">
        <v>12</v>
      </c>
      <c r="C4802" t="s">
        <v>9</v>
      </c>
      <c r="D4802">
        <v>160</v>
      </c>
      <c r="E4802">
        <v>16</v>
      </c>
      <c r="F4802">
        <v>10</v>
      </c>
      <c r="G4802">
        <v>21.88</v>
      </c>
      <c r="H4802">
        <v>3500.8</v>
      </c>
    </row>
    <row r="4803" spans="1:8" x14ac:dyDescent="0.35">
      <c r="A4803" t="s">
        <v>6</v>
      </c>
      <c r="B4803" t="s">
        <v>12</v>
      </c>
      <c r="C4803" t="s">
        <v>11</v>
      </c>
      <c r="D4803">
        <v>50</v>
      </c>
      <c r="E4803">
        <v>5</v>
      </c>
      <c r="F4803">
        <v>10</v>
      </c>
      <c r="G4803">
        <v>34.81</v>
      </c>
      <c r="H4803">
        <v>1740.5</v>
      </c>
    </row>
    <row r="4804" spans="1:8" x14ac:dyDescent="0.35">
      <c r="A4804" t="s">
        <v>8</v>
      </c>
      <c r="B4804" t="s">
        <v>12</v>
      </c>
      <c r="C4804" t="s">
        <v>9</v>
      </c>
      <c r="D4804">
        <v>156</v>
      </c>
      <c r="E4804">
        <v>3</v>
      </c>
      <c r="F4804">
        <v>1.92</v>
      </c>
      <c r="G4804">
        <v>46.28</v>
      </c>
      <c r="H4804">
        <v>7219.68</v>
      </c>
    </row>
    <row r="4805" spans="1:8" x14ac:dyDescent="0.35">
      <c r="A4805" t="s">
        <v>7</v>
      </c>
      <c r="B4805" t="s">
        <v>12</v>
      </c>
      <c r="C4805" t="s">
        <v>9</v>
      </c>
      <c r="D4805">
        <v>258</v>
      </c>
      <c r="E4805">
        <v>12</v>
      </c>
      <c r="F4805">
        <v>4.6500000000000004</v>
      </c>
      <c r="G4805">
        <v>37.31</v>
      </c>
      <c r="H4805">
        <v>9625.98</v>
      </c>
    </row>
    <row r="4806" spans="1:8" x14ac:dyDescent="0.35">
      <c r="A4806" t="s">
        <v>6</v>
      </c>
      <c r="B4806" t="s">
        <v>12</v>
      </c>
      <c r="C4806" t="s">
        <v>11</v>
      </c>
      <c r="D4806">
        <v>274</v>
      </c>
      <c r="E4806">
        <v>24</v>
      </c>
      <c r="F4806">
        <v>8.76</v>
      </c>
      <c r="G4806">
        <v>56.97</v>
      </c>
      <c r="H4806">
        <v>15609.78</v>
      </c>
    </row>
    <row r="4807" spans="1:8" x14ac:dyDescent="0.35">
      <c r="A4807" t="s">
        <v>5</v>
      </c>
      <c r="B4807" t="s">
        <v>12</v>
      </c>
      <c r="C4807" t="s">
        <v>9</v>
      </c>
      <c r="D4807">
        <v>218</v>
      </c>
      <c r="E4807">
        <v>3</v>
      </c>
      <c r="F4807">
        <v>1.38</v>
      </c>
      <c r="G4807">
        <v>52.34</v>
      </c>
      <c r="H4807">
        <v>11410.12</v>
      </c>
    </row>
    <row r="4808" spans="1:8" x14ac:dyDescent="0.35">
      <c r="A4808" t="s">
        <v>7</v>
      </c>
      <c r="B4808" t="s">
        <v>12</v>
      </c>
      <c r="C4808" t="s">
        <v>9</v>
      </c>
      <c r="D4808">
        <v>269</v>
      </c>
      <c r="E4808">
        <v>21</v>
      </c>
      <c r="F4808">
        <v>7.81</v>
      </c>
      <c r="G4808">
        <v>48.8</v>
      </c>
      <c r="H4808">
        <v>13127.2</v>
      </c>
    </row>
    <row r="4809" spans="1:8" x14ac:dyDescent="0.35">
      <c r="A4809" t="s">
        <v>7</v>
      </c>
      <c r="B4809" t="s">
        <v>12</v>
      </c>
      <c r="C4809" t="s">
        <v>10</v>
      </c>
      <c r="D4809">
        <v>122</v>
      </c>
      <c r="E4809">
        <v>2</v>
      </c>
      <c r="F4809">
        <v>1.64</v>
      </c>
      <c r="G4809">
        <v>46.89</v>
      </c>
      <c r="H4809">
        <v>5720.58</v>
      </c>
    </row>
    <row r="4810" spans="1:8" x14ac:dyDescent="0.35">
      <c r="A4810" t="s">
        <v>5</v>
      </c>
      <c r="B4810" t="s">
        <v>12</v>
      </c>
      <c r="C4810" t="s">
        <v>9</v>
      </c>
      <c r="D4810">
        <v>199</v>
      </c>
      <c r="E4810">
        <v>7</v>
      </c>
      <c r="F4810">
        <v>3.52</v>
      </c>
      <c r="G4810">
        <v>43.2</v>
      </c>
      <c r="H4810">
        <v>8596.7999999999993</v>
      </c>
    </row>
    <row r="4811" spans="1:8" x14ac:dyDescent="0.35">
      <c r="A4811" t="s">
        <v>5</v>
      </c>
      <c r="B4811" t="s">
        <v>12</v>
      </c>
      <c r="C4811" t="s">
        <v>9</v>
      </c>
      <c r="D4811">
        <v>70</v>
      </c>
      <c r="E4811">
        <v>3</v>
      </c>
      <c r="F4811">
        <v>4.29</v>
      </c>
      <c r="G4811">
        <v>8.14</v>
      </c>
      <c r="H4811">
        <v>569.79999999999995</v>
      </c>
    </row>
    <row r="4812" spans="1:8" x14ac:dyDescent="0.35">
      <c r="A4812" t="s">
        <v>6</v>
      </c>
      <c r="B4812" t="s">
        <v>12</v>
      </c>
      <c r="C4812" t="s">
        <v>11</v>
      </c>
      <c r="D4812">
        <v>202</v>
      </c>
      <c r="E4812">
        <v>13</v>
      </c>
      <c r="F4812">
        <v>6.44</v>
      </c>
      <c r="G4812">
        <v>47.12</v>
      </c>
      <c r="H4812">
        <v>9518.24</v>
      </c>
    </row>
    <row r="4813" spans="1:8" x14ac:dyDescent="0.35">
      <c r="A4813" t="s">
        <v>8</v>
      </c>
      <c r="B4813" t="s">
        <v>12</v>
      </c>
      <c r="C4813" t="s">
        <v>9</v>
      </c>
      <c r="D4813">
        <v>56</v>
      </c>
      <c r="E4813">
        <v>2</v>
      </c>
      <c r="F4813">
        <v>3.57</v>
      </c>
      <c r="G4813">
        <v>28.02</v>
      </c>
      <c r="H4813">
        <v>1569.12</v>
      </c>
    </row>
    <row r="4814" spans="1:8" x14ac:dyDescent="0.35">
      <c r="A4814" t="s">
        <v>5</v>
      </c>
      <c r="B4814" t="s">
        <v>12</v>
      </c>
      <c r="C4814" t="s">
        <v>9</v>
      </c>
      <c r="D4814">
        <v>60</v>
      </c>
      <c r="E4814">
        <v>3</v>
      </c>
      <c r="F4814">
        <v>5</v>
      </c>
      <c r="G4814">
        <v>20.94</v>
      </c>
      <c r="H4814">
        <v>1256.4000000000001</v>
      </c>
    </row>
    <row r="4815" spans="1:8" x14ac:dyDescent="0.35">
      <c r="A4815" t="s">
        <v>8</v>
      </c>
      <c r="B4815" t="s">
        <v>12</v>
      </c>
      <c r="C4815" t="s">
        <v>9</v>
      </c>
      <c r="D4815">
        <v>106</v>
      </c>
      <c r="E4815">
        <v>8</v>
      </c>
      <c r="F4815">
        <v>7.55</v>
      </c>
      <c r="G4815">
        <v>56.06</v>
      </c>
      <c r="H4815">
        <v>5942.36</v>
      </c>
    </row>
    <row r="4816" spans="1:8" x14ac:dyDescent="0.35">
      <c r="A4816" t="s">
        <v>6</v>
      </c>
      <c r="B4816" t="s">
        <v>12</v>
      </c>
      <c r="C4816" t="s">
        <v>11</v>
      </c>
      <c r="D4816">
        <v>121</v>
      </c>
      <c r="E4816">
        <v>10</v>
      </c>
      <c r="F4816">
        <v>8.26</v>
      </c>
      <c r="G4816">
        <v>45.73</v>
      </c>
      <c r="H4816">
        <v>5533.33</v>
      </c>
    </row>
    <row r="4817" spans="1:8" x14ac:dyDescent="0.35">
      <c r="A4817" t="s">
        <v>6</v>
      </c>
      <c r="B4817" t="s">
        <v>12</v>
      </c>
      <c r="C4817" t="s">
        <v>11</v>
      </c>
      <c r="D4817">
        <v>123</v>
      </c>
      <c r="E4817">
        <v>10</v>
      </c>
      <c r="F4817">
        <v>8.1300000000000008</v>
      </c>
      <c r="G4817">
        <v>18.72</v>
      </c>
      <c r="H4817">
        <v>2302.56</v>
      </c>
    </row>
    <row r="4818" spans="1:8" x14ac:dyDescent="0.35">
      <c r="A4818" t="s">
        <v>6</v>
      </c>
      <c r="B4818" t="s">
        <v>12</v>
      </c>
      <c r="C4818" t="s">
        <v>11</v>
      </c>
      <c r="D4818">
        <v>230</v>
      </c>
      <c r="E4818">
        <v>11</v>
      </c>
      <c r="F4818">
        <v>4.78</v>
      </c>
      <c r="G4818">
        <v>34.299999999999997</v>
      </c>
      <c r="H4818">
        <v>7889</v>
      </c>
    </row>
    <row r="4819" spans="1:8" x14ac:dyDescent="0.35">
      <c r="A4819" t="s">
        <v>7</v>
      </c>
      <c r="B4819" t="s">
        <v>12</v>
      </c>
      <c r="C4819" t="s">
        <v>9</v>
      </c>
      <c r="D4819">
        <v>101</v>
      </c>
      <c r="E4819">
        <v>8</v>
      </c>
      <c r="F4819">
        <v>7.92</v>
      </c>
      <c r="G4819">
        <v>12.99</v>
      </c>
      <c r="H4819">
        <v>1311.99</v>
      </c>
    </row>
    <row r="4820" spans="1:8" x14ac:dyDescent="0.35">
      <c r="A4820" t="s">
        <v>7</v>
      </c>
      <c r="B4820" t="s">
        <v>12</v>
      </c>
      <c r="C4820" t="s">
        <v>9</v>
      </c>
      <c r="D4820">
        <v>233</v>
      </c>
      <c r="E4820">
        <v>8</v>
      </c>
      <c r="F4820">
        <v>3.43</v>
      </c>
      <c r="G4820">
        <v>34.090000000000003</v>
      </c>
      <c r="H4820">
        <v>7942.97</v>
      </c>
    </row>
    <row r="4821" spans="1:8" x14ac:dyDescent="0.35">
      <c r="A4821" t="s">
        <v>5</v>
      </c>
      <c r="B4821" t="s">
        <v>12</v>
      </c>
      <c r="C4821" t="s">
        <v>9</v>
      </c>
      <c r="D4821">
        <v>260</v>
      </c>
      <c r="E4821">
        <v>7</v>
      </c>
      <c r="F4821">
        <v>2.69</v>
      </c>
      <c r="G4821">
        <v>36.880000000000003</v>
      </c>
      <c r="H4821">
        <v>9588.7999999999993</v>
      </c>
    </row>
    <row r="4822" spans="1:8" x14ac:dyDescent="0.35">
      <c r="A4822" t="s">
        <v>6</v>
      </c>
      <c r="B4822" t="s">
        <v>12</v>
      </c>
      <c r="C4822" t="s">
        <v>9</v>
      </c>
      <c r="D4822">
        <v>259</v>
      </c>
      <c r="E4822">
        <v>1</v>
      </c>
      <c r="F4822">
        <v>0.39</v>
      </c>
      <c r="G4822">
        <v>68.69</v>
      </c>
      <c r="H4822">
        <v>17790.71</v>
      </c>
    </row>
    <row r="4823" spans="1:8" x14ac:dyDescent="0.35">
      <c r="A4823" t="s">
        <v>6</v>
      </c>
      <c r="B4823" t="s">
        <v>12</v>
      </c>
      <c r="C4823" t="s">
        <v>9</v>
      </c>
      <c r="D4823">
        <v>187</v>
      </c>
      <c r="E4823">
        <v>17</v>
      </c>
      <c r="F4823">
        <v>9.09</v>
      </c>
      <c r="G4823">
        <v>11.07</v>
      </c>
      <c r="H4823">
        <v>2070.09</v>
      </c>
    </row>
    <row r="4824" spans="1:8" x14ac:dyDescent="0.35">
      <c r="A4824" t="s">
        <v>7</v>
      </c>
      <c r="B4824" t="s">
        <v>12</v>
      </c>
      <c r="C4824" t="s">
        <v>9</v>
      </c>
      <c r="D4824">
        <v>137</v>
      </c>
      <c r="E4824">
        <v>13</v>
      </c>
      <c r="F4824">
        <v>9.49</v>
      </c>
      <c r="G4824">
        <v>46.85</v>
      </c>
      <c r="H4824">
        <v>6418.45</v>
      </c>
    </row>
    <row r="4825" spans="1:8" x14ac:dyDescent="0.35">
      <c r="A4825" t="s">
        <v>7</v>
      </c>
      <c r="B4825" t="s">
        <v>12</v>
      </c>
      <c r="C4825" t="s">
        <v>9</v>
      </c>
      <c r="D4825">
        <v>249</v>
      </c>
      <c r="E4825">
        <v>23</v>
      </c>
      <c r="F4825">
        <v>9.24</v>
      </c>
      <c r="G4825">
        <v>10.02</v>
      </c>
      <c r="H4825">
        <v>2494.98</v>
      </c>
    </row>
    <row r="4826" spans="1:8" x14ac:dyDescent="0.35">
      <c r="A4826" t="s">
        <v>6</v>
      </c>
      <c r="B4826" t="s">
        <v>12</v>
      </c>
      <c r="C4826" t="s">
        <v>9</v>
      </c>
      <c r="D4826">
        <v>167</v>
      </c>
      <c r="E4826">
        <v>14</v>
      </c>
      <c r="F4826">
        <v>8.3800000000000008</v>
      </c>
      <c r="G4826">
        <v>62.96</v>
      </c>
      <c r="H4826">
        <v>10514.32</v>
      </c>
    </row>
    <row r="4827" spans="1:8" x14ac:dyDescent="0.35">
      <c r="A4827" t="s">
        <v>6</v>
      </c>
      <c r="B4827" t="s">
        <v>12</v>
      </c>
      <c r="C4827" t="s">
        <v>11</v>
      </c>
      <c r="D4827">
        <v>261</v>
      </c>
      <c r="E4827">
        <v>19</v>
      </c>
      <c r="F4827">
        <v>7.28</v>
      </c>
      <c r="G4827">
        <v>9.9700000000000006</v>
      </c>
      <c r="H4827">
        <v>2602.17</v>
      </c>
    </row>
    <row r="4828" spans="1:8" x14ac:dyDescent="0.35">
      <c r="A4828" t="s">
        <v>7</v>
      </c>
      <c r="B4828" t="s">
        <v>12</v>
      </c>
      <c r="C4828" t="s">
        <v>9</v>
      </c>
      <c r="D4828">
        <v>89</v>
      </c>
      <c r="E4828">
        <v>2</v>
      </c>
      <c r="F4828">
        <v>2.25</v>
      </c>
      <c r="G4828">
        <v>35.1</v>
      </c>
      <c r="H4828">
        <v>3123.9</v>
      </c>
    </row>
    <row r="4829" spans="1:8" x14ac:dyDescent="0.35">
      <c r="A4829" t="s">
        <v>7</v>
      </c>
      <c r="B4829" t="s">
        <v>12</v>
      </c>
      <c r="C4829" t="s">
        <v>10</v>
      </c>
      <c r="D4829">
        <v>128</v>
      </c>
      <c r="E4829">
        <v>11</v>
      </c>
      <c r="F4829">
        <v>8.59</v>
      </c>
      <c r="G4829">
        <v>32.450000000000003</v>
      </c>
      <c r="H4829">
        <v>4153.6000000000004</v>
      </c>
    </row>
    <row r="4830" spans="1:8" x14ac:dyDescent="0.35">
      <c r="A4830" t="s">
        <v>6</v>
      </c>
      <c r="B4830" t="s">
        <v>12</v>
      </c>
      <c r="C4830" t="s">
        <v>9</v>
      </c>
      <c r="D4830">
        <v>108</v>
      </c>
      <c r="E4830">
        <v>5</v>
      </c>
      <c r="F4830">
        <v>4.63</v>
      </c>
      <c r="G4830">
        <v>59.62</v>
      </c>
      <c r="H4830">
        <v>6438.96</v>
      </c>
    </row>
    <row r="4831" spans="1:8" x14ac:dyDescent="0.35">
      <c r="A4831" t="s">
        <v>8</v>
      </c>
      <c r="B4831" t="s">
        <v>12</v>
      </c>
      <c r="C4831" t="s">
        <v>9</v>
      </c>
      <c r="D4831">
        <v>199</v>
      </c>
      <c r="E4831">
        <v>12</v>
      </c>
      <c r="F4831">
        <v>6.03</v>
      </c>
      <c r="G4831">
        <v>49.62</v>
      </c>
      <c r="H4831">
        <v>9874.3799999999992</v>
      </c>
    </row>
    <row r="4832" spans="1:8" x14ac:dyDescent="0.35">
      <c r="A4832" t="s">
        <v>7</v>
      </c>
      <c r="B4832" t="s">
        <v>12</v>
      </c>
      <c r="C4832" t="s">
        <v>9</v>
      </c>
      <c r="D4832">
        <v>116</v>
      </c>
      <c r="E4832">
        <v>0</v>
      </c>
      <c r="F4832">
        <v>0</v>
      </c>
      <c r="G4832">
        <v>51.24</v>
      </c>
      <c r="H4832">
        <v>5943.84</v>
      </c>
    </row>
    <row r="4833" spans="1:8" x14ac:dyDescent="0.35">
      <c r="A4833" t="s">
        <v>7</v>
      </c>
      <c r="B4833" t="s">
        <v>12</v>
      </c>
      <c r="C4833" t="s">
        <v>10</v>
      </c>
      <c r="D4833">
        <v>169</v>
      </c>
      <c r="E4833">
        <v>12</v>
      </c>
      <c r="F4833">
        <v>7.1</v>
      </c>
      <c r="G4833">
        <v>27.91</v>
      </c>
      <c r="H4833">
        <v>4716.79</v>
      </c>
    </row>
    <row r="4834" spans="1:8" x14ac:dyDescent="0.35">
      <c r="A4834" t="s">
        <v>7</v>
      </c>
      <c r="B4834" t="s">
        <v>12</v>
      </c>
      <c r="C4834" t="s">
        <v>10</v>
      </c>
      <c r="D4834">
        <v>114</v>
      </c>
      <c r="E4834">
        <v>0</v>
      </c>
      <c r="F4834">
        <v>0</v>
      </c>
      <c r="G4834">
        <v>16.36</v>
      </c>
      <c r="H4834">
        <v>1865.04</v>
      </c>
    </row>
    <row r="4835" spans="1:8" x14ac:dyDescent="0.35">
      <c r="A4835" t="s">
        <v>5</v>
      </c>
      <c r="B4835" t="s">
        <v>12</v>
      </c>
      <c r="C4835" t="s">
        <v>9</v>
      </c>
      <c r="D4835">
        <v>76</v>
      </c>
      <c r="E4835">
        <v>3</v>
      </c>
      <c r="F4835">
        <v>3.95</v>
      </c>
      <c r="G4835">
        <v>25.66</v>
      </c>
      <c r="H4835">
        <v>1950.16</v>
      </c>
    </row>
    <row r="4836" spans="1:8" x14ac:dyDescent="0.35">
      <c r="A4836" t="s">
        <v>8</v>
      </c>
      <c r="B4836" t="s">
        <v>12</v>
      </c>
      <c r="C4836" t="s">
        <v>9</v>
      </c>
      <c r="D4836">
        <v>83</v>
      </c>
      <c r="E4836">
        <v>8</v>
      </c>
      <c r="F4836">
        <v>9.64</v>
      </c>
      <c r="G4836">
        <v>55.6</v>
      </c>
      <c r="H4836">
        <v>4614.8</v>
      </c>
    </row>
    <row r="4837" spans="1:8" x14ac:dyDescent="0.35">
      <c r="A4837" t="s">
        <v>6</v>
      </c>
      <c r="B4837" t="s">
        <v>12</v>
      </c>
      <c r="C4837" t="s">
        <v>11</v>
      </c>
      <c r="D4837">
        <v>176</v>
      </c>
      <c r="E4837">
        <v>14</v>
      </c>
      <c r="F4837">
        <v>7.95</v>
      </c>
      <c r="G4837">
        <v>48.94</v>
      </c>
      <c r="H4837">
        <v>8613.44</v>
      </c>
    </row>
    <row r="4838" spans="1:8" x14ac:dyDescent="0.35">
      <c r="A4838" t="s">
        <v>6</v>
      </c>
      <c r="B4838" t="s">
        <v>12</v>
      </c>
      <c r="C4838" t="s">
        <v>9</v>
      </c>
      <c r="D4838">
        <v>150</v>
      </c>
      <c r="E4838">
        <v>1</v>
      </c>
      <c r="F4838">
        <v>0.67</v>
      </c>
      <c r="G4838">
        <v>10.050000000000001</v>
      </c>
      <c r="H4838">
        <v>1507.5</v>
      </c>
    </row>
    <row r="4839" spans="1:8" x14ac:dyDescent="0.35">
      <c r="A4839" t="s">
        <v>8</v>
      </c>
      <c r="B4839" t="s">
        <v>12</v>
      </c>
      <c r="C4839" t="s">
        <v>9</v>
      </c>
      <c r="D4839">
        <v>75</v>
      </c>
      <c r="E4839">
        <v>3</v>
      </c>
      <c r="F4839">
        <v>4</v>
      </c>
      <c r="G4839">
        <v>31.34</v>
      </c>
      <c r="H4839">
        <v>2350.5</v>
      </c>
    </row>
    <row r="4840" spans="1:8" x14ac:dyDescent="0.35">
      <c r="A4840" t="s">
        <v>6</v>
      </c>
      <c r="B4840" t="s">
        <v>12</v>
      </c>
      <c r="C4840" t="s">
        <v>11</v>
      </c>
      <c r="D4840">
        <v>225</v>
      </c>
      <c r="E4840">
        <v>5</v>
      </c>
      <c r="F4840">
        <v>2.2200000000000002</v>
      </c>
      <c r="G4840">
        <v>56.89</v>
      </c>
      <c r="H4840">
        <v>12800.25</v>
      </c>
    </row>
    <row r="4841" spans="1:8" x14ac:dyDescent="0.35">
      <c r="A4841" t="s">
        <v>7</v>
      </c>
      <c r="B4841" t="s">
        <v>12</v>
      </c>
      <c r="C4841" t="s">
        <v>9</v>
      </c>
      <c r="D4841">
        <v>241</v>
      </c>
      <c r="E4841">
        <v>11</v>
      </c>
      <c r="F4841">
        <v>4.5599999999999996</v>
      </c>
      <c r="G4841">
        <v>58.53</v>
      </c>
      <c r="H4841">
        <v>14105.73</v>
      </c>
    </row>
    <row r="4842" spans="1:8" x14ac:dyDescent="0.35">
      <c r="A4842" t="s">
        <v>5</v>
      </c>
      <c r="B4842" t="s">
        <v>12</v>
      </c>
      <c r="C4842" t="s">
        <v>9</v>
      </c>
      <c r="D4842">
        <v>273</v>
      </c>
      <c r="E4842">
        <v>11</v>
      </c>
      <c r="F4842">
        <v>4.03</v>
      </c>
      <c r="G4842">
        <v>63.72</v>
      </c>
      <c r="H4842">
        <v>17395.560000000001</v>
      </c>
    </row>
    <row r="4843" spans="1:8" x14ac:dyDescent="0.35">
      <c r="A4843" t="s">
        <v>7</v>
      </c>
      <c r="B4843" t="s">
        <v>12</v>
      </c>
      <c r="C4843" t="s">
        <v>9</v>
      </c>
      <c r="D4843">
        <v>152</v>
      </c>
      <c r="E4843">
        <v>3</v>
      </c>
      <c r="F4843">
        <v>1.97</v>
      </c>
      <c r="G4843">
        <v>5.77</v>
      </c>
      <c r="H4843">
        <v>877.04</v>
      </c>
    </row>
    <row r="4844" spans="1:8" x14ac:dyDescent="0.35">
      <c r="A4844" t="s">
        <v>8</v>
      </c>
      <c r="B4844" t="s">
        <v>12</v>
      </c>
      <c r="C4844" t="s">
        <v>9</v>
      </c>
      <c r="D4844">
        <v>297</v>
      </c>
      <c r="E4844">
        <v>4</v>
      </c>
      <c r="F4844">
        <v>1.35</v>
      </c>
      <c r="G4844">
        <v>9.15</v>
      </c>
      <c r="H4844">
        <v>2717.55</v>
      </c>
    </row>
    <row r="4845" spans="1:8" x14ac:dyDescent="0.35">
      <c r="A4845" t="s">
        <v>7</v>
      </c>
      <c r="B4845" t="s">
        <v>12</v>
      </c>
      <c r="C4845" t="s">
        <v>9</v>
      </c>
      <c r="D4845">
        <v>112</v>
      </c>
      <c r="E4845">
        <v>10</v>
      </c>
      <c r="F4845">
        <v>8.93</v>
      </c>
      <c r="G4845">
        <v>6.7</v>
      </c>
      <c r="H4845">
        <v>750.4</v>
      </c>
    </row>
    <row r="4846" spans="1:8" x14ac:dyDescent="0.35">
      <c r="A4846" t="s">
        <v>7</v>
      </c>
      <c r="B4846" t="s">
        <v>12</v>
      </c>
      <c r="C4846" t="s">
        <v>9</v>
      </c>
      <c r="D4846">
        <v>132</v>
      </c>
      <c r="E4846">
        <v>12</v>
      </c>
      <c r="F4846">
        <v>9.09</v>
      </c>
      <c r="G4846">
        <v>29.96</v>
      </c>
      <c r="H4846">
        <v>3954.72</v>
      </c>
    </row>
    <row r="4847" spans="1:8" x14ac:dyDescent="0.35">
      <c r="A4847" t="s">
        <v>5</v>
      </c>
      <c r="B4847" t="s">
        <v>12</v>
      </c>
      <c r="C4847" t="s">
        <v>9</v>
      </c>
      <c r="D4847">
        <v>184</v>
      </c>
      <c r="E4847">
        <v>13</v>
      </c>
      <c r="F4847">
        <v>7.07</v>
      </c>
      <c r="G4847">
        <v>62.63</v>
      </c>
      <c r="H4847">
        <v>11523.92</v>
      </c>
    </row>
    <row r="4848" spans="1:8" x14ac:dyDescent="0.35">
      <c r="A4848" t="s">
        <v>5</v>
      </c>
      <c r="B4848" t="s">
        <v>12</v>
      </c>
      <c r="C4848" t="s">
        <v>9</v>
      </c>
      <c r="D4848">
        <v>199</v>
      </c>
      <c r="E4848">
        <v>0</v>
      </c>
      <c r="F4848">
        <v>0</v>
      </c>
      <c r="G4848">
        <v>54.04</v>
      </c>
      <c r="H4848">
        <v>10753.96</v>
      </c>
    </row>
    <row r="4849" spans="1:8" x14ac:dyDescent="0.35">
      <c r="A4849" t="s">
        <v>6</v>
      </c>
      <c r="B4849" t="s">
        <v>12</v>
      </c>
      <c r="C4849" t="s">
        <v>11</v>
      </c>
      <c r="D4849">
        <v>249</v>
      </c>
      <c r="E4849">
        <v>12</v>
      </c>
      <c r="F4849">
        <v>4.82</v>
      </c>
      <c r="G4849">
        <v>27.13</v>
      </c>
      <c r="H4849">
        <v>6755.37</v>
      </c>
    </row>
    <row r="4850" spans="1:8" x14ac:dyDescent="0.35">
      <c r="A4850" t="s">
        <v>7</v>
      </c>
      <c r="B4850" t="s">
        <v>12</v>
      </c>
      <c r="C4850" t="s">
        <v>10</v>
      </c>
      <c r="D4850">
        <v>269</v>
      </c>
      <c r="E4850">
        <v>8</v>
      </c>
      <c r="F4850">
        <v>2.97</v>
      </c>
      <c r="G4850">
        <v>69.5</v>
      </c>
      <c r="H4850">
        <v>18695.5</v>
      </c>
    </row>
    <row r="4851" spans="1:8" x14ac:dyDescent="0.35">
      <c r="A4851" t="s">
        <v>8</v>
      </c>
      <c r="B4851" t="s">
        <v>12</v>
      </c>
      <c r="C4851" t="s">
        <v>9</v>
      </c>
      <c r="D4851">
        <v>87</v>
      </c>
      <c r="E4851">
        <v>8</v>
      </c>
      <c r="F4851">
        <v>9.1999999999999993</v>
      </c>
      <c r="G4851">
        <v>6.91</v>
      </c>
      <c r="H4851">
        <v>601.16999999999996</v>
      </c>
    </row>
    <row r="4852" spans="1:8" x14ac:dyDescent="0.35">
      <c r="A4852" t="s">
        <v>7</v>
      </c>
      <c r="B4852" t="s">
        <v>12</v>
      </c>
      <c r="C4852" t="s">
        <v>10</v>
      </c>
      <c r="D4852">
        <v>77</v>
      </c>
      <c r="E4852">
        <v>4</v>
      </c>
      <c r="F4852">
        <v>5.19</v>
      </c>
      <c r="G4852">
        <v>25.53</v>
      </c>
      <c r="H4852">
        <v>1965.81</v>
      </c>
    </row>
    <row r="4853" spans="1:8" x14ac:dyDescent="0.35">
      <c r="A4853" t="s">
        <v>7</v>
      </c>
      <c r="B4853" t="s">
        <v>12</v>
      </c>
      <c r="C4853" t="s">
        <v>9</v>
      </c>
      <c r="D4853">
        <v>201</v>
      </c>
      <c r="E4853">
        <v>13</v>
      </c>
      <c r="F4853">
        <v>6.47</v>
      </c>
      <c r="G4853">
        <v>63.41</v>
      </c>
      <c r="H4853">
        <v>12745.41</v>
      </c>
    </row>
    <row r="4854" spans="1:8" x14ac:dyDescent="0.35">
      <c r="A4854" t="s">
        <v>6</v>
      </c>
      <c r="B4854" t="s">
        <v>12</v>
      </c>
      <c r="C4854" t="s">
        <v>11</v>
      </c>
      <c r="D4854">
        <v>300</v>
      </c>
      <c r="E4854">
        <v>22</v>
      </c>
      <c r="F4854">
        <v>7.33</v>
      </c>
      <c r="G4854">
        <v>31.35</v>
      </c>
      <c r="H4854">
        <v>9405</v>
      </c>
    </row>
    <row r="4855" spans="1:8" x14ac:dyDescent="0.35">
      <c r="A4855" t="s">
        <v>7</v>
      </c>
      <c r="B4855" t="s">
        <v>12</v>
      </c>
      <c r="C4855" t="s">
        <v>9</v>
      </c>
      <c r="D4855">
        <v>56</v>
      </c>
      <c r="E4855">
        <v>3</v>
      </c>
      <c r="F4855">
        <v>5.36</v>
      </c>
      <c r="G4855">
        <v>24.85</v>
      </c>
      <c r="H4855">
        <v>1391.6</v>
      </c>
    </row>
    <row r="4856" spans="1:8" x14ac:dyDescent="0.35">
      <c r="A4856" t="s">
        <v>5</v>
      </c>
      <c r="B4856" t="s">
        <v>12</v>
      </c>
      <c r="C4856" t="s">
        <v>9</v>
      </c>
      <c r="D4856">
        <v>131</v>
      </c>
      <c r="E4856">
        <v>5</v>
      </c>
      <c r="F4856">
        <v>3.82</v>
      </c>
      <c r="G4856">
        <v>60</v>
      </c>
      <c r="H4856">
        <v>7860</v>
      </c>
    </row>
    <row r="4857" spans="1:8" x14ac:dyDescent="0.35">
      <c r="A4857" t="s">
        <v>8</v>
      </c>
      <c r="B4857" t="s">
        <v>12</v>
      </c>
      <c r="C4857" t="s">
        <v>9</v>
      </c>
      <c r="D4857">
        <v>82</v>
      </c>
      <c r="E4857">
        <v>0</v>
      </c>
      <c r="F4857">
        <v>0</v>
      </c>
      <c r="G4857">
        <v>65.900000000000006</v>
      </c>
      <c r="H4857">
        <v>5403.8</v>
      </c>
    </row>
    <row r="4858" spans="1:8" x14ac:dyDescent="0.35">
      <c r="A4858" t="s">
        <v>6</v>
      </c>
      <c r="B4858" t="s">
        <v>12</v>
      </c>
      <c r="C4858" t="s">
        <v>11</v>
      </c>
      <c r="D4858">
        <v>179</v>
      </c>
      <c r="E4858">
        <v>10</v>
      </c>
      <c r="F4858">
        <v>5.59</v>
      </c>
      <c r="G4858">
        <v>36.51</v>
      </c>
      <c r="H4858">
        <v>6535.29</v>
      </c>
    </row>
    <row r="4859" spans="1:8" x14ac:dyDescent="0.35">
      <c r="A4859" t="s">
        <v>6</v>
      </c>
      <c r="B4859" t="s">
        <v>12</v>
      </c>
      <c r="C4859" t="s">
        <v>9</v>
      </c>
      <c r="D4859">
        <v>118</v>
      </c>
      <c r="E4859">
        <v>10</v>
      </c>
      <c r="F4859">
        <v>8.4700000000000006</v>
      </c>
      <c r="G4859">
        <v>53.49</v>
      </c>
      <c r="H4859">
        <v>6311.82</v>
      </c>
    </row>
    <row r="4860" spans="1:8" x14ac:dyDescent="0.35">
      <c r="A4860" t="s">
        <v>8</v>
      </c>
      <c r="B4860" t="s">
        <v>12</v>
      </c>
      <c r="C4860" t="s">
        <v>9</v>
      </c>
      <c r="D4860">
        <v>262</v>
      </c>
      <c r="E4860">
        <v>17</v>
      </c>
      <c r="F4860">
        <v>6.49</v>
      </c>
      <c r="G4860">
        <v>66.430000000000007</v>
      </c>
      <c r="H4860">
        <v>17404.66</v>
      </c>
    </row>
    <row r="4861" spans="1:8" x14ac:dyDescent="0.35">
      <c r="A4861" t="s">
        <v>8</v>
      </c>
      <c r="B4861" t="s">
        <v>12</v>
      </c>
      <c r="C4861" t="s">
        <v>9</v>
      </c>
      <c r="D4861">
        <v>286</v>
      </c>
      <c r="E4861">
        <v>18</v>
      </c>
      <c r="F4861">
        <v>6.29</v>
      </c>
      <c r="G4861">
        <v>17.510000000000002</v>
      </c>
      <c r="H4861">
        <v>5007.8599999999997</v>
      </c>
    </row>
    <row r="4862" spans="1:8" x14ac:dyDescent="0.35">
      <c r="A4862" t="s">
        <v>5</v>
      </c>
      <c r="B4862" t="s">
        <v>12</v>
      </c>
      <c r="C4862" t="s">
        <v>9</v>
      </c>
      <c r="D4862">
        <v>142</v>
      </c>
      <c r="E4862">
        <v>5</v>
      </c>
      <c r="F4862">
        <v>3.52</v>
      </c>
      <c r="G4862">
        <v>64.41</v>
      </c>
      <c r="H4862">
        <v>9146.2199999999993</v>
      </c>
    </row>
    <row r="4863" spans="1:8" x14ac:dyDescent="0.35">
      <c r="A4863" t="s">
        <v>6</v>
      </c>
      <c r="B4863" t="s">
        <v>12</v>
      </c>
      <c r="C4863" t="s">
        <v>11</v>
      </c>
      <c r="D4863">
        <v>167</v>
      </c>
      <c r="E4863">
        <v>6</v>
      </c>
      <c r="F4863">
        <v>3.59</v>
      </c>
      <c r="G4863">
        <v>11.94</v>
      </c>
      <c r="H4863">
        <v>1993.98</v>
      </c>
    </row>
    <row r="4864" spans="1:8" x14ac:dyDescent="0.35">
      <c r="A4864" t="s">
        <v>8</v>
      </c>
      <c r="B4864" t="s">
        <v>12</v>
      </c>
      <c r="C4864" t="s">
        <v>9</v>
      </c>
      <c r="D4864">
        <v>214</v>
      </c>
      <c r="E4864">
        <v>18</v>
      </c>
      <c r="F4864">
        <v>8.41</v>
      </c>
      <c r="G4864">
        <v>63.54</v>
      </c>
      <c r="H4864">
        <v>13597.56</v>
      </c>
    </row>
    <row r="4865" spans="1:8" x14ac:dyDescent="0.35">
      <c r="A4865" t="s">
        <v>8</v>
      </c>
      <c r="B4865" t="s">
        <v>12</v>
      </c>
      <c r="C4865" t="s">
        <v>9</v>
      </c>
      <c r="D4865">
        <v>280</v>
      </c>
      <c r="E4865">
        <v>7</v>
      </c>
      <c r="F4865">
        <v>2.5</v>
      </c>
      <c r="G4865">
        <v>46.67</v>
      </c>
      <c r="H4865">
        <v>13067.6</v>
      </c>
    </row>
    <row r="4866" spans="1:8" x14ac:dyDescent="0.35">
      <c r="A4866" t="s">
        <v>8</v>
      </c>
      <c r="B4866" t="s">
        <v>12</v>
      </c>
      <c r="C4866" t="s">
        <v>9</v>
      </c>
      <c r="D4866">
        <v>258</v>
      </c>
      <c r="E4866">
        <v>21</v>
      </c>
      <c r="F4866">
        <v>8.14</v>
      </c>
      <c r="G4866">
        <v>68.680000000000007</v>
      </c>
      <c r="H4866">
        <v>17719.439999999999</v>
      </c>
    </row>
    <row r="4867" spans="1:8" x14ac:dyDescent="0.35">
      <c r="A4867" t="s">
        <v>7</v>
      </c>
      <c r="B4867" t="s">
        <v>12</v>
      </c>
      <c r="C4867" t="s">
        <v>9</v>
      </c>
      <c r="D4867">
        <v>248</v>
      </c>
      <c r="E4867">
        <v>2</v>
      </c>
      <c r="F4867">
        <v>0.81</v>
      </c>
      <c r="G4867">
        <v>13.82</v>
      </c>
      <c r="H4867">
        <v>3427.36</v>
      </c>
    </row>
    <row r="4868" spans="1:8" x14ac:dyDescent="0.35">
      <c r="A4868" t="s">
        <v>8</v>
      </c>
      <c r="B4868" t="s">
        <v>12</v>
      </c>
      <c r="C4868" t="s">
        <v>9</v>
      </c>
      <c r="D4868">
        <v>72</v>
      </c>
      <c r="E4868">
        <v>7</v>
      </c>
      <c r="F4868">
        <v>9.7200000000000006</v>
      </c>
      <c r="G4868">
        <v>47.27</v>
      </c>
      <c r="H4868">
        <v>3403.44</v>
      </c>
    </row>
    <row r="4869" spans="1:8" x14ac:dyDescent="0.35">
      <c r="A4869" t="s">
        <v>6</v>
      </c>
      <c r="B4869" t="s">
        <v>12</v>
      </c>
      <c r="C4869" t="s">
        <v>9</v>
      </c>
      <c r="D4869">
        <v>143</v>
      </c>
      <c r="E4869">
        <v>3</v>
      </c>
      <c r="F4869">
        <v>2.1</v>
      </c>
      <c r="G4869">
        <v>34.25</v>
      </c>
      <c r="H4869">
        <v>4897.75</v>
      </c>
    </row>
    <row r="4870" spans="1:8" x14ac:dyDescent="0.35">
      <c r="A4870" t="s">
        <v>6</v>
      </c>
      <c r="B4870" t="s">
        <v>12</v>
      </c>
      <c r="C4870" t="s">
        <v>11</v>
      </c>
      <c r="D4870">
        <v>262</v>
      </c>
      <c r="E4870">
        <v>18</v>
      </c>
      <c r="F4870">
        <v>6.87</v>
      </c>
      <c r="G4870">
        <v>52.62</v>
      </c>
      <c r="H4870">
        <v>13786.44</v>
      </c>
    </row>
    <row r="4871" spans="1:8" x14ac:dyDescent="0.35">
      <c r="A4871" t="s">
        <v>5</v>
      </c>
      <c r="B4871" t="s">
        <v>12</v>
      </c>
      <c r="C4871" t="s">
        <v>9</v>
      </c>
      <c r="D4871">
        <v>63</v>
      </c>
      <c r="E4871">
        <v>1</v>
      </c>
      <c r="F4871">
        <v>1.59</v>
      </c>
      <c r="G4871">
        <v>34.11</v>
      </c>
      <c r="H4871">
        <v>2148.9299999999998</v>
      </c>
    </row>
    <row r="4872" spans="1:8" x14ac:dyDescent="0.35">
      <c r="A4872" t="s">
        <v>7</v>
      </c>
      <c r="B4872" t="s">
        <v>12</v>
      </c>
      <c r="C4872" t="s">
        <v>10</v>
      </c>
      <c r="D4872">
        <v>57</v>
      </c>
      <c r="E4872">
        <v>5</v>
      </c>
      <c r="F4872">
        <v>8.77</v>
      </c>
      <c r="G4872">
        <v>60.51</v>
      </c>
      <c r="H4872">
        <v>3449.07</v>
      </c>
    </row>
    <row r="4873" spans="1:8" x14ac:dyDescent="0.35">
      <c r="A4873" t="s">
        <v>7</v>
      </c>
      <c r="B4873" t="s">
        <v>12</v>
      </c>
      <c r="C4873" t="s">
        <v>9</v>
      </c>
      <c r="D4873">
        <v>206</v>
      </c>
      <c r="E4873">
        <v>20</v>
      </c>
      <c r="F4873">
        <v>9.7100000000000009</v>
      </c>
      <c r="G4873">
        <v>30.53</v>
      </c>
      <c r="H4873">
        <v>6289.18</v>
      </c>
    </row>
    <row r="4874" spans="1:8" x14ac:dyDescent="0.35">
      <c r="A4874" t="s">
        <v>6</v>
      </c>
      <c r="B4874" t="s">
        <v>12</v>
      </c>
      <c r="C4874" t="s">
        <v>11</v>
      </c>
      <c r="D4874">
        <v>291</v>
      </c>
      <c r="E4874">
        <v>23</v>
      </c>
      <c r="F4874">
        <v>7.9</v>
      </c>
      <c r="G4874">
        <v>25.37</v>
      </c>
      <c r="H4874">
        <v>7382.67</v>
      </c>
    </row>
    <row r="4875" spans="1:8" x14ac:dyDescent="0.35">
      <c r="A4875" t="s">
        <v>7</v>
      </c>
      <c r="B4875" t="s">
        <v>12</v>
      </c>
      <c r="C4875" t="s">
        <v>10</v>
      </c>
      <c r="D4875">
        <v>91</v>
      </c>
      <c r="E4875">
        <v>3</v>
      </c>
      <c r="F4875">
        <v>3.3</v>
      </c>
      <c r="G4875">
        <v>27.38</v>
      </c>
      <c r="H4875">
        <v>2491.58</v>
      </c>
    </row>
    <row r="4876" spans="1:8" x14ac:dyDescent="0.35">
      <c r="A4876" t="s">
        <v>7</v>
      </c>
      <c r="B4876" t="s">
        <v>12</v>
      </c>
      <c r="C4876" t="s">
        <v>9</v>
      </c>
      <c r="D4876">
        <v>51</v>
      </c>
      <c r="E4876">
        <v>1</v>
      </c>
      <c r="F4876">
        <v>1.96</v>
      </c>
      <c r="G4876">
        <v>59.07</v>
      </c>
      <c r="H4876">
        <v>3012.57</v>
      </c>
    </row>
    <row r="4877" spans="1:8" x14ac:dyDescent="0.35">
      <c r="A4877" t="s">
        <v>7</v>
      </c>
      <c r="B4877" t="s">
        <v>12</v>
      </c>
      <c r="C4877" t="s">
        <v>10</v>
      </c>
      <c r="D4877">
        <v>152</v>
      </c>
      <c r="E4877">
        <v>6</v>
      </c>
      <c r="F4877">
        <v>3.95</v>
      </c>
      <c r="G4877">
        <v>26.24</v>
      </c>
      <c r="H4877">
        <v>3988.48</v>
      </c>
    </row>
    <row r="4878" spans="1:8" x14ac:dyDescent="0.35">
      <c r="A4878" t="s">
        <v>8</v>
      </c>
      <c r="B4878" t="s">
        <v>12</v>
      </c>
      <c r="C4878" t="s">
        <v>9</v>
      </c>
      <c r="D4878">
        <v>234</v>
      </c>
      <c r="E4878">
        <v>4</v>
      </c>
      <c r="F4878">
        <v>1.71</v>
      </c>
      <c r="G4878">
        <v>52.77</v>
      </c>
      <c r="H4878">
        <v>12348.18</v>
      </c>
    </row>
    <row r="4879" spans="1:8" x14ac:dyDescent="0.35">
      <c r="A4879" t="s">
        <v>6</v>
      </c>
      <c r="B4879" t="s">
        <v>12</v>
      </c>
      <c r="C4879" t="s">
        <v>9</v>
      </c>
      <c r="D4879">
        <v>240</v>
      </c>
      <c r="E4879">
        <v>15</v>
      </c>
      <c r="F4879">
        <v>6.25</v>
      </c>
      <c r="G4879">
        <v>51.01</v>
      </c>
      <c r="H4879">
        <v>12242.4</v>
      </c>
    </row>
    <row r="4880" spans="1:8" x14ac:dyDescent="0.35">
      <c r="A4880" t="s">
        <v>7</v>
      </c>
      <c r="B4880" t="s">
        <v>12</v>
      </c>
      <c r="C4880" t="s">
        <v>10</v>
      </c>
      <c r="D4880">
        <v>95</v>
      </c>
      <c r="E4880">
        <v>8</v>
      </c>
      <c r="F4880">
        <v>8.42</v>
      </c>
      <c r="G4880">
        <v>33.97</v>
      </c>
      <c r="H4880">
        <v>3227.15</v>
      </c>
    </row>
    <row r="4881" spans="1:8" x14ac:dyDescent="0.35">
      <c r="A4881" t="s">
        <v>6</v>
      </c>
      <c r="B4881" t="s">
        <v>12</v>
      </c>
      <c r="C4881" t="s">
        <v>11</v>
      </c>
      <c r="D4881">
        <v>75</v>
      </c>
      <c r="E4881">
        <v>2</v>
      </c>
      <c r="F4881">
        <v>2.67</v>
      </c>
      <c r="G4881">
        <v>8.94</v>
      </c>
      <c r="H4881">
        <v>670.5</v>
      </c>
    </row>
    <row r="4882" spans="1:8" x14ac:dyDescent="0.35">
      <c r="A4882" t="s">
        <v>8</v>
      </c>
      <c r="B4882" t="s">
        <v>12</v>
      </c>
      <c r="C4882" t="s">
        <v>9</v>
      </c>
      <c r="D4882">
        <v>263</v>
      </c>
      <c r="E4882">
        <v>19</v>
      </c>
      <c r="F4882">
        <v>7.22</v>
      </c>
      <c r="G4882">
        <v>14.93</v>
      </c>
      <c r="H4882">
        <v>3926.59</v>
      </c>
    </row>
    <row r="4883" spans="1:8" x14ac:dyDescent="0.35">
      <c r="A4883" t="s">
        <v>8</v>
      </c>
      <c r="B4883" t="s">
        <v>12</v>
      </c>
      <c r="C4883" t="s">
        <v>9</v>
      </c>
      <c r="D4883">
        <v>203</v>
      </c>
      <c r="E4883">
        <v>5</v>
      </c>
      <c r="F4883">
        <v>2.46</v>
      </c>
      <c r="G4883">
        <v>48.19</v>
      </c>
      <c r="H4883">
        <v>9782.57</v>
      </c>
    </row>
    <row r="4884" spans="1:8" x14ac:dyDescent="0.35">
      <c r="A4884" t="s">
        <v>7</v>
      </c>
      <c r="B4884" t="s">
        <v>12</v>
      </c>
      <c r="C4884" t="s">
        <v>9</v>
      </c>
      <c r="D4884">
        <v>224</v>
      </c>
      <c r="E4884">
        <v>10</v>
      </c>
      <c r="F4884">
        <v>4.46</v>
      </c>
      <c r="G4884">
        <v>40.74</v>
      </c>
      <c r="H4884">
        <v>9125.76</v>
      </c>
    </row>
    <row r="4885" spans="1:8" x14ac:dyDescent="0.35">
      <c r="A4885" t="s">
        <v>7</v>
      </c>
      <c r="B4885" t="s">
        <v>12</v>
      </c>
      <c r="C4885" t="s">
        <v>9</v>
      </c>
      <c r="D4885">
        <v>161</v>
      </c>
      <c r="E4885">
        <v>15</v>
      </c>
      <c r="F4885">
        <v>9.32</v>
      </c>
      <c r="G4885">
        <v>55.89</v>
      </c>
      <c r="H4885">
        <v>8998.2900000000009</v>
      </c>
    </row>
    <row r="4886" spans="1:8" x14ac:dyDescent="0.35">
      <c r="A4886" t="s">
        <v>7</v>
      </c>
      <c r="B4886" t="s">
        <v>12</v>
      </c>
      <c r="C4886" t="s">
        <v>10</v>
      </c>
      <c r="D4886">
        <v>163</v>
      </c>
      <c r="E4886">
        <v>0</v>
      </c>
      <c r="F4886">
        <v>0</v>
      </c>
      <c r="G4886">
        <v>19.07</v>
      </c>
      <c r="H4886">
        <v>3108.41</v>
      </c>
    </row>
    <row r="4887" spans="1:8" x14ac:dyDescent="0.35">
      <c r="A4887" t="s">
        <v>7</v>
      </c>
      <c r="B4887" t="s">
        <v>12</v>
      </c>
      <c r="C4887" t="s">
        <v>10</v>
      </c>
      <c r="D4887">
        <v>278</v>
      </c>
      <c r="E4887">
        <v>1</v>
      </c>
      <c r="F4887">
        <v>0.36</v>
      </c>
      <c r="G4887">
        <v>41.61</v>
      </c>
      <c r="H4887">
        <v>11567.58</v>
      </c>
    </row>
    <row r="4888" spans="1:8" x14ac:dyDescent="0.35">
      <c r="A4888" t="s">
        <v>6</v>
      </c>
      <c r="B4888" t="s">
        <v>12</v>
      </c>
      <c r="C4888" t="s">
        <v>11</v>
      </c>
      <c r="D4888">
        <v>245</v>
      </c>
      <c r="E4888">
        <v>6</v>
      </c>
      <c r="F4888">
        <v>2.4500000000000002</v>
      </c>
      <c r="G4888">
        <v>34.4</v>
      </c>
      <c r="H4888">
        <v>8428</v>
      </c>
    </row>
    <row r="4889" spans="1:8" x14ac:dyDescent="0.35">
      <c r="A4889" t="s">
        <v>5</v>
      </c>
      <c r="B4889" t="s">
        <v>12</v>
      </c>
      <c r="C4889" t="s">
        <v>9</v>
      </c>
      <c r="D4889">
        <v>135</v>
      </c>
      <c r="E4889">
        <v>6</v>
      </c>
      <c r="F4889">
        <v>4.4400000000000004</v>
      </c>
      <c r="G4889">
        <v>46.36</v>
      </c>
      <c r="H4889">
        <v>6258.6</v>
      </c>
    </row>
    <row r="4890" spans="1:8" x14ac:dyDescent="0.35">
      <c r="A4890" t="s">
        <v>6</v>
      </c>
      <c r="B4890" t="s">
        <v>12</v>
      </c>
      <c r="C4890" t="s">
        <v>11</v>
      </c>
      <c r="D4890">
        <v>115</v>
      </c>
      <c r="E4890">
        <v>10</v>
      </c>
      <c r="F4890">
        <v>8.6999999999999993</v>
      </c>
      <c r="G4890">
        <v>14.77</v>
      </c>
      <c r="H4890">
        <v>1698.55</v>
      </c>
    </row>
    <row r="4891" spans="1:8" x14ac:dyDescent="0.35">
      <c r="A4891" t="s">
        <v>6</v>
      </c>
      <c r="B4891" t="s">
        <v>12</v>
      </c>
      <c r="C4891" t="s">
        <v>11</v>
      </c>
      <c r="D4891">
        <v>265</v>
      </c>
      <c r="E4891">
        <v>23</v>
      </c>
      <c r="F4891">
        <v>8.68</v>
      </c>
      <c r="G4891">
        <v>42.78</v>
      </c>
      <c r="H4891">
        <v>11336.7</v>
      </c>
    </row>
    <row r="4892" spans="1:8" x14ac:dyDescent="0.35">
      <c r="A4892" t="s">
        <v>8</v>
      </c>
      <c r="B4892" t="s">
        <v>12</v>
      </c>
      <c r="C4892" t="s">
        <v>9</v>
      </c>
      <c r="D4892">
        <v>248</v>
      </c>
      <c r="E4892">
        <v>17</v>
      </c>
      <c r="F4892">
        <v>6.85</v>
      </c>
      <c r="G4892">
        <v>27.54</v>
      </c>
      <c r="H4892">
        <v>6829.92</v>
      </c>
    </row>
    <row r="4893" spans="1:8" x14ac:dyDescent="0.35">
      <c r="A4893" t="s">
        <v>5</v>
      </c>
      <c r="B4893" t="s">
        <v>12</v>
      </c>
      <c r="C4893" t="s">
        <v>9</v>
      </c>
      <c r="D4893">
        <v>158</v>
      </c>
      <c r="E4893">
        <v>9</v>
      </c>
      <c r="F4893">
        <v>5.7</v>
      </c>
      <c r="G4893">
        <v>60.62</v>
      </c>
      <c r="H4893">
        <v>9577.9599999999991</v>
      </c>
    </row>
    <row r="4894" spans="1:8" x14ac:dyDescent="0.35">
      <c r="A4894" t="s">
        <v>8</v>
      </c>
      <c r="B4894" t="s">
        <v>12</v>
      </c>
      <c r="C4894" t="s">
        <v>9</v>
      </c>
      <c r="D4894">
        <v>55</v>
      </c>
      <c r="E4894">
        <v>4</v>
      </c>
      <c r="F4894">
        <v>7.27</v>
      </c>
      <c r="G4894">
        <v>30.48</v>
      </c>
      <c r="H4894">
        <v>1676.4</v>
      </c>
    </row>
    <row r="4895" spans="1:8" x14ac:dyDescent="0.35">
      <c r="A4895" t="s">
        <v>6</v>
      </c>
      <c r="B4895" t="s">
        <v>12</v>
      </c>
      <c r="C4895" t="s">
        <v>9</v>
      </c>
      <c r="D4895">
        <v>278</v>
      </c>
      <c r="E4895">
        <v>25</v>
      </c>
      <c r="F4895">
        <v>8.99</v>
      </c>
      <c r="G4895">
        <v>10.98</v>
      </c>
      <c r="H4895">
        <v>3052.44</v>
      </c>
    </row>
    <row r="4896" spans="1:8" x14ac:dyDescent="0.35">
      <c r="A4896" t="s">
        <v>6</v>
      </c>
      <c r="B4896" t="s">
        <v>12</v>
      </c>
      <c r="C4896" t="s">
        <v>11</v>
      </c>
      <c r="D4896">
        <v>162</v>
      </c>
      <c r="E4896">
        <v>0</v>
      </c>
      <c r="F4896">
        <v>0</v>
      </c>
      <c r="G4896">
        <v>66.45</v>
      </c>
      <c r="H4896">
        <v>10764.9</v>
      </c>
    </row>
    <row r="4897" spans="1:8" x14ac:dyDescent="0.35">
      <c r="A4897" t="s">
        <v>7</v>
      </c>
      <c r="B4897" t="s">
        <v>12</v>
      </c>
      <c r="C4897" t="s">
        <v>10</v>
      </c>
      <c r="D4897">
        <v>287</v>
      </c>
      <c r="E4897">
        <v>17</v>
      </c>
      <c r="F4897">
        <v>5.92</v>
      </c>
      <c r="G4897">
        <v>66.92</v>
      </c>
      <c r="H4897">
        <v>19206.04</v>
      </c>
    </row>
    <row r="4898" spans="1:8" x14ac:dyDescent="0.35">
      <c r="A4898" t="s">
        <v>6</v>
      </c>
      <c r="B4898" t="s">
        <v>12</v>
      </c>
      <c r="C4898" t="s">
        <v>11</v>
      </c>
      <c r="D4898">
        <v>76</v>
      </c>
      <c r="E4898">
        <v>0</v>
      </c>
      <c r="F4898">
        <v>0</v>
      </c>
      <c r="G4898">
        <v>34.33</v>
      </c>
      <c r="H4898">
        <v>2609.08</v>
      </c>
    </row>
    <row r="4899" spans="1:8" x14ac:dyDescent="0.35">
      <c r="A4899" t="s">
        <v>7</v>
      </c>
      <c r="B4899" t="s">
        <v>12</v>
      </c>
      <c r="C4899" t="s">
        <v>9</v>
      </c>
      <c r="D4899">
        <v>228</v>
      </c>
      <c r="E4899">
        <v>15</v>
      </c>
      <c r="F4899">
        <v>6.58</v>
      </c>
      <c r="G4899">
        <v>30.52</v>
      </c>
      <c r="H4899">
        <v>6958.56</v>
      </c>
    </row>
    <row r="4900" spans="1:8" x14ac:dyDescent="0.35">
      <c r="A4900" t="s">
        <v>7</v>
      </c>
      <c r="B4900" t="s">
        <v>12</v>
      </c>
      <c r="C4900" t="s">
        <v>9</v>
      </c>
      <c r="D4900">
        <v>203</v>
      </c>
      <c r="E4900">
        <v>18</v>
      </c>
      <c r="F4900">
        <v>8.8699999999999992</v>
      </c>
      <c r="G4900">
        <v>26.56</v>
      </c>
      <c r="H4900">
        <v>5391.68</v>
      </c>
    </row>
    <row r="4901" spans="1:8" x14ac:dyDescent="0.35">
      <c r="A4901" t="s">
        <v>8</v>
      </c>
      <c r="B4901" t="s">
        <v>12</v>
      </c>
      <c r="C4901" t="s">
        <v>9</v>
      </c>
      <c r="D4901">
        <v>238</v>
      </c>
      <c r="E4901">
        <v>15</v>
      </c>
      <c r="F4901">
        <v>6.3</v>
      </c>
      <c r="G4901">
        <v>8.3800000000000008</v>
      </c>
      <c r="H4901">
        <v>1994.44</v>
      </c>
    </row>
    <row r="4902" spans="1:8" x14ac:dyDescent="0.35">
      <c r="A4902" t="s">
        <v>7</v>
      </c>
      <c r="B4902" t="s">
        <v>12</v>
      </c>
      <c r="C4902" t="s">
        <v>10</v>
      </c>
      <c r="D4902">
        <v>192</v>
      </c>
      <c r="E4902">
        <v>1</v>
      </c>
      <c r="F4902">
        <v>0.52</v>
      </c>
      <c r="G4902">
        <v>28.84</v>
      </c>
      <c r="H4902">
        <v>5537.28</v>
      </c>
    </row>
    <row r="4903" spans="1:8" x14ac:dyDescent="0.35">
      <c r="A4903" t="s">
        <v>6</v>
      </c>
      <c r="B4903" t="s">
        <v>12</v>
      </c>
      <c r="C4903" t="s">
        <v>11</v>
      </c>
      <c r="D4903">
        <v>175</v>
      </c>
      <c r="E4903">
        <v>13</v>
      </c>
      <c r="F4903">
        <v>7.43</v>
      </c>
      <c r="G4903">
        <v>61.96</v>
      </c>
      <c r="H4903">
        <v>10843</v>
      </c>
    </row>
    <row r="4904" spans="1:8" x14ac:dyDescent="0.35">
      <c r="A4904" t="s">
        <v>7</v>
      </c>
      <c r="B4904" t="s">
        <v>12</v>
      </c>
      <c r="C4904" t="s">
        <v>10</v>
      </c>
      <c r="D4904">
        <v>83</v>
      </c>
      <c r="E4904">
        <v>3</v>
      </c>
      <c r="F4904">
        <v>3.61</v>
      </c>
      <c r="G4904">
        <v>8.75</v>
      </c>
      <c r="H4904">
        <v>726.25</v>
      </c>
    </row>
    <row r="4905" spans="1:8" x14ac:dyDescent="0.35">
      <c r="A4905" t="s">
        <v>7</v>
      </c>
      <c r="B4905" t="s">
        <v>12</v>
      </c>
      <c r="C4905" t="s">
        <v>10</v>
      </c>
      <c r="D4905">
        <v>205</v>
      </c>
      <c r="E4905">
        <v>12</v>
      </c>
      <c r="F4905">
        <v>5.85</v>
      </c>
      <c r="G4905">
        <v>49.93</v>
      </c>
      <c r="H4905">
        <v>10235.65</v>
      </c>
    </row>
    <row r="4906" spans="1:8" x14ac:dyDescent="0.35">
      <c r="A4906" t="s">
        <v>6</v>
      </c>
      <c r="B4906" t="s">
        <v>12</v>
      </c>
      <c r="C4906" t="s">
        <v>9</v>
      </c>
      <c r="D4906">
        <v>149</v>
      </c>
      <c r="E4906">
        <v>2</v>
      </c>
      <c r="F4906">
        <v>1.34</v>
      </c>
      <c r="G4906">
        <v>48.82</v>
      </c>
      <c r="H4906">
        <v>7274.18</v>
      </c>
    </row>
    <row r="4907" spans="1:8" x14ac:dyDescent="0.35">
      <c r="A4907" t="s">
        <v>6</v>
      </c>
      <c r="B4907" t="s">
        <v>12</v>
      </c>
      <c r="C4907" t="s">
        <v>9</v>
      </c>
      <c r="D4907">
        <v>73</v>
      </c>
      <c r="E4907">
        <v>4</v>
      </c>
      <c r="F4907">
        <v>5.48</v>
      </c>
      <c r="G4907">
        <v>64.37</v>
      </c>
      <c r="H4907">
        <v>4699.01</v>
      </c>
    </row>
    <row r="4908" spans="1:8" x14ac:dyDescent="0.35">
      <c r="A4908" t="s">
        <v>7</v>
      </c>
      <c r="B4908" t="s">
        <v>12</v>
      </c>
      <c r="C4908" t="s">
        <v>9</v>
      </c>
      <c r="D4908">
        <v>163</v>
      </c>
      <c r="E4908">
        <v>15</v>
      </c>
      <c r="F4908">
        <v>9.1999999999999993</v>
      </c>
      <c r="G4908">
        <v>46.86</v>
      </c>
      <c r="H4908">
        <v>7638.18</v>
      </c>
    </row>
    <row r="4909" spans="1:8" x14ac:dyDescent="0.35">
      <c r="A4909" t="s">
        <v>8</v>
      </c>
      <c r="B4909" t="s">
        <v>12</v>
      </c>
      <c r="C4909" t="s">
        <v>9</v>
      </c>
      <c r="D4909">
        <v>279</v>
      </c>
      <c r="E4909">
        <v>0</v>
      </c>
      <c r="F4909">
        <v>0</v>
      </c>
      <c r="G4909">
        <v>69.34</v>
      </c>
      <c r="H4909">
        <v>19345.86</v>
      </c>
    </row>
    <row r="4910" spans="1:8" x14ac:dyDescent="0.35">
      <c r="A4910" t="s">
        <v>6</v>
      </c>
      <c r="B4910" t="s">
        <v>12</v>
      </c>
      <c r="C4910" t="s">
        <v>11</v>
      </c>
      <c r="D4910">
        <v>281</v>
      </c>
      <c r="E4910">
        <v>15</v>
      </c>
      <c r="F4910">
        <v>5.34</v>
      </c>
      <c r="G4910">
        <v>16.489999999999998</v>
      </c>
      <c r="H4910">
        <v>4633.6899999999996</v>
      </c>
    </row>
    <row r="4911" spans="1:8" x14ac:dyDescent="0.35">
      <c r="A4911" t="s">
        <v>6</v>
      </c>
      <c r="B4911" t="s">
        <v>12</v>
      </c>
      <c r="C4911" t="s">
        <v>11</v>
      </c>
      <c r="D4911">
        <v>132</v>
      </c>
      <c r="E4911">
        <v>11</v>
      </c>
      <c r="F4911">
        <v>8.33</v>
      </c>
      <c r="G4911">
        <v>8.1300000000000008</v>
      </c>
      <c r="H4911">
        <v>1073.1600000000001</v>
      </c>
    </row>
    <row r="4912" spans="1:8" x14ac:dyDescent="0.35">
      <c r="A4912" t="s">
        <v>8</v>
      </c>
      <c r="B4912" t="s">
        <v>12</v>
      </c>
      <c r="C4912" t="s">
        <v>9</v>
      </c>
      <c r="D4912">
        <v>128</v>
      </c>
      <c r="E4912">
        <v>0</v>
      </c>
      <c r="F4912">
        <v>0</v>
      </c>
      <c r="G4912">
        <v>14.84</v>
      </c>
      <c r="H4912">
        <v>1899.52</v>
      </c>
    </row>
    <row r="4913" spans="1:8" x14ac:dyDescent="0.35">
      <c r="A4913" t="s">
        <v>5</v>
      </c>
      <c r="B4913" t="s">
        <v>12</v>
      </c>
      <c r="C4913" t="s">
        <v>9</v>
      </c>
      <c r="D4913">
        <v>126</v>
      </c>
      <c r="E4913">
        <v>1</v>
      </c>
      <c r="F4913">
        <v>0.79</v>
      </c>
      <c r="G4913">
        <v>35.89</v>
      </c>
      <c r="H4913">
        <v>4522.1400000000003</v>
      </c>
    </row>
    <row r="4914" spans="1:8" x14ac:dyDescent="0.35">
      <c r="A4914" t="s">
        <v>7</v>
      </c>
      <c r="B4914" t="s">
        <v>12</v>
      </c>
      <c r="C4914" t="s">
        <v>10</v>
      </c>
      <c r="D4914">
        <v>236</v>
      </c>
      <c r="E4914">
        <v>23</v>
      </c>
      <c r="F4914">
        <v>9.75</v>
      </c>
      <c r="G4914">
        <v>21.73</v>
      </c>
      <c r="H4914">
        <v>5128.28</v>
      </c>
    </row>
    <row r="4915" spans="1:8" x14ac:dyDescent="0.35">
      <c r="A4915" t="s">
        <v>7</v>
      </c>
      <c r="B4915" t="s">
        <v>12</v>
      </c>
      <c r="C4915" t="s">
        <v>9</v>
      </c>
      <c r="D4915">
        <v>261</v>
      </c>
      <c r="E4915">
        <v>5</v>
      </c>
      <c r="F4915">
        <v>1.92</v>
      </c>
      <c r="G4915">
        <v>57.16</v>
      </c>
      <c r="H4915">
        <v>14918.76</v>
      </c>
    </row>
    <row r="4916" spans="1:8" x14ac:dyDescent="0.35">
      <c r="A4916" t="s">
        <v>5</v>
      </c>
      <c r="B4916" t="s">
        <v>12</v>
      </c>
      <c r="C4916" t="s">
        <v>9</v>
      </c>
      <c r="D4916">
        <v>169</v>
      </c>
      <c r="E4916">
        <v>12</v>
      </c>
      <c r="F4916">
        <v>7.1</v>
      </c>
      <c r="G4916">
        <v>26.7</v>
      </c>
      <c r="H4916">
        <v>4512.3</v>
      </c>
    </row>
    <row r="4917" spans="1:8" x14ac:dyDescent="0.35">
      <c r="A4917" t="s">
        <v>6</v>
      </c>
      <c r="B4917" t="s">
        <v>12</v>
      </c>
      <c r="C4917" t="s">
        <v>11</v>
      </c>
      <c r="D4917">
        <v>175</v>
      </c>
      <c r="E4917">
        <v>10</v>
      </c>
      <c r="F4917">
        <v>5.71</v>
      </c>
      <c r="G4917">
        <v>26.18</v>
      </c>
      <c r="H4917">
        <v>4581.5</v>
      </c>
    </row>
    <row r="4918" spans="1:8" x14ac:dyDescent="0.35">
      <c r="A4918" t="s">
        <v>6</v>
      </c>
      <c r="B4918" t="s">
        <v>12</v>
      </c>
      <c r="C4918" t="s">
        <v>11</v>
      </c>
      <c r="D4918">
        <v>87</v>
      </c>
      <c r="E4918">
        <v>4</v>
      </c>
      <c r="F4918">
        <v>4.5999999999999996</v>
      </c>
      <c r="G4918">
        <v>5.33</v>
      </c>
      <c r="H4918">
        <v>463.71</v>
      </c>
    </row>
    <row r="4919" spans="1:8" x14ac:dyDescent="0.35">
      <c r="A4919" t="s">
        <v>8</v>
      </c>
      <c r="B4919" t="s">
        <v>12</v>
      </c>
      <c r="C4919" t="s">
        <v>9</v>
      </c>
      <c r="D4919">
        <v>173</v>
      </c>
      <c r="E4919">
        <v>15</v>
      </c>
      <c r="F4919">
        <v>8.67</v>
      </c>
      <c r="G4919">
        <v>6.65</v>
      </c>
      <c r="H4919">
        <v>1150.45</v>
      </c>
    </row>
    <row r="4920" spans="1:8" x14ac:dyDescent="0.35">
      <c r="A4920" t="s">
        <v>6</v>
      </c>
      <c r="B4920" t="s">
        <v>12</v>
      </c>
      <c r="C4920" t="s">
        <v>11</v>
      </c>
      <c r="D4920">
        <v>171</v>
      </c>
      <c r="E4920">
        <v>2</v>
      </c>
      <c r="F4920">
        <v>1.17</v>
      </c>
      <c r="G4920">
        <v>6.24</v>
      </c>
      <c r="H4920">
        <v>1067.04</v>
      </c>
    </row>
    <row r="4921" spans="1:8" x14ac:dyDescent="0.35">
      <c r="A4921" t="s">
        <v>5</v>
      </c>
      <c r="B4921" t="s">
        <v>12</v>
      </c>
      <c r="C4921" t="s">
        <v>9</v>
      </c>
      <c r="D4921">
        <v>66</v>
      </c>
      <c r="E4921">
        <v>4</v>
      </c>
      <c r="F4921">
        <v>6.06</v>
      </c>
      <c r="G4921">
        <v>53.85</v>
      </c>
      <c r="H4921">
        <v>3554.1</v>
      </c>
    </row>
    <row r="4922" spans="1:8" x14ac:dyDescent="0.35">
      <c r="A4922" t="s">
        <v>6</v>
      </c>
      <c r="B4922" t="s">
        <v>12</v>
      </c>
      <c r="C4922" t="s">
        <v>9</v>
      </c>
      <c r="D4922">
        <v>203</v>
      </c>
      <c r="E4922">
        <v>9</v>
      </c>
      <c r="F4922">
        <v>4.43</v>
      </c>
      <c r="G4922">
        <v>50.85</v>
      </c>
      <c r="H4922">
        <v>10322.549999999999</v>
      </c>
    </row>
    <row r="4923" spans="1:8" x14ac:dyDescent="0.35">
      <c r="A4923" t="s">
        <v>8</v>
      </c>
      <c r="B4923" t="s">
        <v>12</v>
      </c>
      <c r="C4923" t="s">
        <v>9</v>
      </c>
      <c r="D4923">
        <v>78</v>
      </c>
      <c r="E4923">
        <v>6</v>
      </c>
      <c r="F4923">
        <v>7.69</v>
      </c>
      <c r="G4923">
        <v>20.65</v>
      </c>
      <c r="H4923">
        <v>1610.7</v>
      </c>
    </row>
    <row r="4924" spans="1:8" x14ac:dyDescent="0.35">
      <c r="A4924" t="s">
        <v>6</v>
      </c>
      <c r="B4924" t="s">
        <v>12</v>
      </c>
      <c r="C4924" t="s">
        <v>11</v>
      </c>
      <c r="D4924">
        <v>132</v>
      </c>
      <c r="E4924">
        <v>8</v>
      </c>
      <c r="F4924">
        <v>6.06</v>
      </c>
      <c r="G4924">
        <v>63.52</v>
      </c>
      <c r="H4924">
        <v>8384.64</v>
      </c>
    </row>
    <row r="4925" spans="1:8" x14ac:dyDescent="0.35">
      <c r="A4925" t="s">
        <v>6</v>
      </c>
      <c r="B4925" t="s">
        <v>12</v>
      </c>
      <c r="C4925" t="s">
        <v>9</v>
      </c>
      <c r="D4925">
        <v>97</v>
      </c>
      <c r="E4925">
        <v>3</v>
      </c>
      <c r="F4925">
        <v>3.09</v>
      </c>
      <c r="G4925">
        <v>10.87</v>
      </c>
      <c r="H4925">
        <v>1054.3900000000001</v>
      </c>
    </row>
    <row r="4926" spans="1:8" x14ac:dyDescent="0.35">
      <c r="A4926" t="s">
        <v>6</v>
      </c>
      <c r="B4926" t="s">
        <v>12</v>
      </c>
      <c r="C4926" t="s">
        <v>11</v>
      </c>
      <c r="D4926">
        <v>167</v>
      </c>
      <c r="E4926">
        <v>4</v>
      </c>
      <c r="F4926">
        <v>2.4</v>
      </c>
      <c r="G4926">
        <v>23.09</v>
      </c>
      <c r="H4926">
        <v>3856.03</v>
      </c>
    </row>
    <row r="4927" spans="1:8" x14ac:dyDescent="0.35">
      <c r="A4927" t="s">
        <v>8</v>
      </c>
      <c r="B4927" t="s">
        <v>12</v>
      </c>
      <c r="C4927" t="s">
        <v>9</v>
      </c>
      <c r="D4927">
        <v>168</v>
      </c>
      <c r="E4927">
        <v>12</v>
      </c>
      <c r="F4927">
        <v>7.14</v>
      </c>
      <c r="G4927">
        <v>44.57</v>
      </c>
      <c r="H4927">
        <v>7487.76</v>
      </c>
    </row>
    <row r="4928" spans="1:8" x14ac:dyDescent="0.35">
      <c r="A4928" t="s">
        <v>8</v>
      </c>
      <c r="B4928" t="s">
        <v>12</v>
      </c>
      <c r="C4928" t="s">
        <v>9</v>
      </c>
      <c r="D4928">
        <v>154</v>
      </c>
      <c r="E4928">
        <v>9</v>
      </c>
      <c r="F4928">
        <v>5.84</v>
      </c>
      <c r="G4928">
        <v>58.6</v>
      </c>
      <c r="H4928">
        <v>9024.4</v>
      </c>
    </row>
    <row r="4929" spans="1:8" x14ac:dyDescent="0.35">
      <c r="A4929" t="s">
        <v>7</v>
      </c>
      <c r="B4929" t="s">
        <v>12</v>
      </c>
      <c r="C4929" t="s">
        <v>10</v>
      </c>
      <c r="D4929">
        <v>191</v>
      </c>
      <c r="E4929">
        <v>19</v>
      </c>
      <c r="F4929">
        <v>9.9499999999999993</v>
      </c>
      <c r="G4929">
        <v>50.1</v>
      </c>
      <c r="H4929">
        <v>9569.1</v>
      </c>
    </row>
    <row r="4930" spans="1:8" x14ac:dyDescent="0.35">
      <c r="A4930" t="s">
        <v>7</v>
      </c>
      <c r="B4930" t="s">
        <v>12</v>
      </c>
      <c r="C4930" t="s">
        <v>9</v>
      </c>
      <c r="D4930">
        <v>116</v>
      </c>
      <c r="E4930">
        <v>1</v>
      </c>
      <c r="F4930">
        <v>0.86</v>
      </c>
      <c r="G4930">
        <v>12.36</v>
      </c>
      <c r="H4930">
        <v>1433.76</v>
      </c>
    </row>
    <row r="4931" spans="1:8" x14ac:dyDescent="0.35">
      <c r="A4931" t="s">
        <v>7</v>
      </c>
      <c r="B4931" t="s">
        <v>12</v>
      </c>
      <c r="C4931" t="s">
        <v>10</v>
      </c>
      <c r="D4931">
        <v>267</v>
      </c>
      <c r="E4931">
        <v>21</v>
      </c>
      <c r="F4931">
        <v>7.87</v>
      </c>
      <c r="G4931">
        <v>44.66</v>
      </c>
      <c r="H4931">
        <v>11924.22</v>
      </c>
    </row>
    <row r="4932" spans="1:8" x14ac:dyDescent="0.35">
      <c r="A4932" t="s">
        <v>6</v>
      </c>
      <c r="B4932" t="s">
        <v>12</v>
      </c>
      <c r="C4932" t="s">
        <v>11</v>
      </c>
      <c r="D4932">
        <v>215</v>
      </c>
      <c r="E4932">
        <v>15</v>
      </c>
      <c r="F4932">
        <v>6.98</v>
      </c>
      <c r="G4932">
        <v>51.15</v>
      </c>
      <c r="H4932">
        <v>10997.25</v>
      </c>
    </row>
    <row r="4933" spans="1:8" x14ac:dyDescent="0.35">
      <c r="A4933" t="s">
        <v>8</v>
      </c>
      <c r="B4933" t="s">
        <v>12</v>
      </c>
      <c r="C4933" t="s">
        <v>9</v>
      </c>
      <c r="D4933">
        <v>61</v>
      </c>
      <c r="E4933">
        <v>3</v>
      </c>
      <c r="F4933">
        <v>4.92</v>
      </c>
      <c r="G4933">
        <v>18.670000000000002</v>
      </c>
      <c r="H4933">
        <v>1138.8699999999999</v>
      </c>
    </row>
    <row r="4934" spans="1:8" x14ac:dyDescent="0.35">
      <c r="A4934" t="s">
        <v>5</v>
      </c>
      <c r="B4934" t="s">
        <v>12</v>
      </c>
      <c r="C4934" t="s">
        <v>9</v>
      </c>
      <c r="D4934">
        <v>58</v>
      </c>
      <c r="E4934">
        <v>3</v>
      </c>
      <c r="F4934">
        <v>5.17</v>
      </c>
      <c r="G4934">
        <v>68.25</v>
      </c>
      <c r="H4934">
        <v>3958.5</v>
      </c>
    </row>
    <row r="4935" spans="1:8" x14ac:dyDescent="0.35">
      <c r="A4935" t="s">
        <v>6</v>
      </c>
      <c r="B4935" t="s">
        <v>12</v>
      </c>
      <c r="C4935" t="s">
        <v>11</v>
      </c>
      <c r="D4935">
        <v>216</v>
      </c>
      <c r="E4935">
        <v>10</v>
      </c>
      <c r="F4935">
        <v>4.63</v>
      </c>
      <c r="G4935">
        <v>40.909999999999997</v>
      </c>
      <c r="H4935">
        <v>8836.56</v>
      </c>
    </row>
    <row r="4936" spans="1:8" x14ac:dyDescent="0.35">
      <c r="A4936" t="s">
        <v>7</v>
      </c>
      <c r="B4936" t="s">
        <v>12</v>
      </c>
      <c r="C4936" t="s">
        <v>9</v>
      </c>
      <c r="D4936">
        <v>196</v>
      </c>
      <c r="E4936">
        <v>2</v>
      </c>
      <c r="F4936">
        <v>1.02</v>
      </c>
      <c r="G4936">
        <v>59.56</v>
      </c>
      <c r="H4936">
        <v>11673.76</v>
      </c>
    </row>
    <row r="4937" spans="1:8" x14ac:dyDescent="0.35">
      <c r="A4937" t="s">
        <v>8</v>
      </c>
      <c r="B4937" t="s">
        <v>12</v>
      </c>
      <c r="C4937" t="s">
        <v>9</v>
      </c>
      <c r="D4937">
        <v>75</v>
      </c>
      <c r="E4937">
        <v>5</v>
      </c>
      <c r="F4937">
        <v>6.67</v>
      </c>
      <c r="G4937">
        <v>61.35</v>
      </c>
      <c r="H4937">
        <v>4601.25</v>
      </c>
    </row>
    <row r="4938" spans="1:8" x14ac:dyDescent="0.35">
      <c r="A4938" t="s">
        <v>7</v>
      </c>
      <c r="B4938" t="s">
        <v>12</v>
      </c>
      <c r="C4938" t="s">
        <v>9</v>
      </c>
      <c r="D4938">
        <v>79</v>
      </c>
      <c r="E4938">
        <v>6</v>
      </c>
      <c r="F4938">
        <v>7.59</v>
      </c>
      <c r="G4938">
        <v>19.63</v>
      </c>
      <c r="H4938">
        <v>1550.77</v>
      </c>
    </row>
    <row r="4939" spans="1:8" x14ac:dyDescent="0.35">
      <c r="A4939" t="s">
        <v>6</v>
      </c>
      <c r="B4939" t="s">
        <v>12</v>
      </c>
      <c r="C4939" t="s">
        <v>9</v>
      </c>
      <c r="D4939">
        <v>206</v>
      </c>
      <c r="E4939">
        <v>17</v>
      </c>
      <c r="F4939">
        <v>8.25</v>
      </c>
      <c r="G4939">
        <v>53.32</v>
      </c>
      <c r="H4939">
        <v>10983.92</v>
      </c>
    </row>
    <row r="4940" spans="1:8" x14ac:dyDescent="0.35">
      <c r="A4940" t="s">
        <v>7</v>
      </c>
      <c r="B4940" t="s">
        <v>12</v>
      </c>
      <c r="C4940" t="s">
        <v>9</v>
      </c>
      <c r="D4940">
        <v>170</v>
      </c>
      <c r="E4940">
        <v>2</v>
      </c>
      <c r="F4940">
        <v>1.18</v>
      </c>
      <c r="G4940">
        <v>67.53</v>
      </c>
      <c r="H4940">
        <v>11480.1</v>
      </c>
    </row>
    <row r="4941" spans="1:8" x14ac:dyDescent="0.35">
      <c r="A4941" t="s">
        <v>6</v>
      </c>
      <c r="B4941" t="s">
        <v>12</v>
      </c>
      <c r="C4941" t="s">
        <v>9</v>
      </c>
      <c r="D4941">
        <v>51</v>
      </c>
      <c r="E4941">
        <v>1</v>
      </c>
      <c r="F4941">
        <v>1.96</v>
      </c>
      <c r="G4941">
        <v>61.89</v>
      </c>
      <c r="H4941">
        <v>3156.39</v>
      </c>
    </row>
    <row r="4942" spans="1:8" x14ac:dyDescent="0.35">
      <c r="A4942" t="s">
        <v>5</v>
      </c>
      <c r="B4942" t="s">
        <v>12</v>
      </c>
      <c r="C4942" t="s">
        <v>9</v>
      </c>
      <c r="D4942">
        <v>206</v>
      </c>
      <c r="E4942">
        <v>6</v>
      </c>
      <c r="F4942">
        <v>2.91</v>
      </c>
      <c r="G4942">
        <v>58.56</v>
      </c>
      <c r="H4942">
        <v>12063.36</v>
      </c>
    </row>
    <row r="4943" spans="1:8" x14ac:dyDescent="0.35">
      <c r="A4943" t="s">
        <v>5</v>
      </c>
      <c r="B4943" t="s">
        <v>12</v>
      </c>
      <c r="C4943" t="s">
        <v>9</v>
      </c>
      <c r="D4943">
        <v>164</v>
      </c>
      <c r="E4943">
        <v>14</v>
      </c>
      <c r="F4943">
        <v>8.5399999999999991</v>
      </c>
      <c r="G4943">
        <v>58.71</v>
      </c>
      <c r="H4943">
        <v>9628.44</v>
      </c>
    </row>
    <row r="4944" spans="1:8" x14ac:dyDescent="0.35">
      <c r="A4944" t="s">
        <v>6</v>
      </c>
      <c r="B4944" t="s">
        <v>12</v>
      </c>
      <c r="C4944" t="s">
        <v>11</v>
      </c>
      <c r="D4944">
        <v>114</v>
      </c>
      <c r="E4944">
        <v>10</v>
      </c>
      <c r="F4944">
        <v>8.77</v>
      </c>
      <c r="G4944">
        <v>67.2</v>
      </c>
      <c r="H4944">
        <v>7660.8</v>
      </c>
    </row>
    <row r="4945" spans="1:8" x14ac:dyDescent="0.35">
      <c r="A4945" t="s">
        <v>6</v>
      </c>
      <c r="B4945" t="s">
        <v>12</v>
      </c>
      <c r="C4945" t="s">
        <v>9</v>
      </c>
      <c r="D4945">
        <v>184</v>
      </c>
      <c r="E4945">
        <v>17</v>
      </c>
      <c r="F4945">
        <v>9.24</v>
      </c>
      <c r="G4945">
        <v>37.35</v>
      </c>
      <c r="H4945">
        <v>6872.4</v>
      </c>
    </row>
    <row r="4946" spans="1:8" x14ac:dyDescent="0.35">
      <c r="A4946" t="s">
        <v>6</v>
      </c>
      <c r="B4946" t="s">
        <v>12</v>
      </c>
      <c r="C4946" t="s">
        <v>11</v>
      </c>
      <c r="D4946">
        <v>251</v>
      </c>
      <c r="E4946">
        <v>8</v>
      </c>
      <c r="F4946">
        <v>3.19</v>
      </c>
      <c r="G4946">
        <v>43</v>
      </c>
      <c r="H4946">
        <v>10793</v>
      </c>
    </row>
    <row r="4947" spans="1:8" x14ac:dyDescent="0.35">
      <c r="A4947" t="s">
        <v>7</v>
      </c>
      <c r="B4947" t="s">
        <v>12</v>
      </c>
      <c r="C4947" t="s">
        <v>9</v>
      </c>
      <c r="D4947">
        <v>120</v>
      </c>
      <c r="E4947">
        <v>6</v>
      </c>
      <c r="F4947">
        <v>5</v>
      </c>
      <c r="G4947">
        <v>56.67</v>
      </c>
      <c r="H4947">
        <v>6800.4</v>
      </c>
    </row>
    <row r="4948" spans="1:8" x14ac:dyDescent="0.35">
      <c r="A4948" t="s">
        <v>7</v>
      </c>
      <c r="B4948" t="s">
        <v>12</v>
      </c>
      <c r="C4948" t="s">
        <v>9</v>
      </c>
      <c r="D4948">
        <v>185</v>
      </c>
      <c r="E4948">
        <v>13</v>
      </c>
      <c r="F4948">
        <v>7.03</v>
      </c>
      <c r="G4948">
        <v>40.51</v>
      </c>
      <c r="H4948">
        <v>7494.35</v>
      </c>
    </row>
    <row r="4949" spans="1:8" x14ac:dyDescent="0.35">
      <c r="A4949" t="s">
        <v>7</v>
      </c>
      <c r="B4949" t="s">
        <v>12</v>
      </c>
      <c r="C4949" t="s">
        <v>9</v>
      </c>
      <c r="D4949">
        <v>199</v>
      </c>
      <c r="E4949">
        <v>17</v>
      </c>
      <c r="F4949">
        <v>8.5399999999999991</v>
      </c>
      <c r="G4949">
        <v>37.11</v>
      </c>
      <c r="H4949">
        <v>7384.89</v>
      </c>
    </row>
    <row r="4950" spans="1:8" x14ac:dyDescent="0.35">
      <c r="A4950" t="s">
        <v>7</v>
      </c>
      <c r="B4950" t="s">
        <v>12</v>
      </c>
      <c r="C4950" t="s">
        <v>9</v>
      </c>
      <c r="D4950">
        <v>94</v>
      </c>
      <c r="E4950">
        <v>7</v>
      </c>
      <c r="F4950">
        <v>7.45</v>
      </c>
      <c r="G4950">
        <v>20.73</v>
      </c>
      <c r="H4950">
        <v>1948.62</v>
      </c>
    </row>
    <row r="4951" spans="1:8" x14ac:dyDescent="0.35">
      <c r="A4951" t="s">
        <v>8</v>
      </c>
      <c r="B4951" t="s">
        <v>12</v>
      </c>
      <c r="C4951" t="s">
        <v>9</v>
      </c>
      <c r="D4951">
        <v>53</v>
      </c>
      <c r="E4951">
        <v>1</v>
      </c>
      <c r="F4951">
        <v>1.89</v>
      </c>
      <c r="G4951">
        <v>33.57</v>
      </c>
      <c r="H4951">
        <v>1779.21</v>
      </c>
    </row>
    <row r="4952" spans="1:8" x14ac:dyDescent="0.35">
      <c r="A4952" t="s">
        <v>8</v>
      </c>
      <c r="B4952" t="s">
        <v>12</v>
      </c>
      <c r="C4952" t="s">
        <v>9</v>
      </c>
      <c r="D4952">
        <v>99</v>
      </c>
      <c r="E4952">
        <v>9</v>
      </c>
      <c r="F4952">
        <v>9.09</v>
      </c>
      <c r="G4952">
        <v>41.25</v>
      </c>
      <c r="H4952">
        <v>4083.75</v>
      </c>
    </row>
    <row r="4953" spans="1:8" x14ac:dyDescent="0.35">
      <c r="A4953" t="s">
        <v>6</v>
      </c>
      <c r="B4953" t="s">
        <v>12</v>
      </c>
      <c r="C4953" t="s">
        <v>11</v>
      </c>
      <c r="D4953">
        <v>95</v>
      </c>
      <c r="E4953">
        <v>7</v>
      </c>
      <c r="F4953">
        <v>7.37</v>
      </c>
      <c r="G4953">
        <v>10.220000000000001</v>
      </c>
      <c r="H4953">
        <v>970.9</v>
      </c>
    </row>
    <row r="4954" spans="1:8" x14ac:dyDescent="0.35">
      <c r="A4954" t="s">
        <v>7</v>
      </c>
      <c r="B4954" t="s">
        <v>12</v>
      </c>
      <c r="C4954" t="s">
        <v>9</v>
      </c>
      <c r="D4954">
        <v>272</v>
      </c>
      <c r="E4954">
        <v>20</v>
      </c>
      <c r="F4954">
        <v>7.35</v>
      </c>
      <c r="G4954">
        <v>14.47</v>
      </c>
      <c r="H4954">
        <v>3935.84</v>
      </c>
    </row>
    <row r="4955" spans="1:8" x14ac:dyDescent="0.35">
      <c r="A4955" t="s">
        <v>6</v>
      </c>
      <c r="B4955" t="s">
        <v>12</v>
      </c>
      <c r="C4955" t="s">
        <v>11</v>
      </c>
      <c r="D4955">
        <v>149</v>
      </c>
      <c r="E4955">
        <v>14</v>
      </c>
      <c r="F4955">
        <v>9.4</v>
      </c>
      <c r="G4955">
        <v>32.64</v>
      </c>
      <c r="H4955">
        <v>4863.3599999999997</v>
      </c>
    </row>
    <row r="4956" spans="1:8" x14ac:dyDescent="0.35">
      <c r="A4956" t="s">
        <v>8</v>
      </c>
      <c r="B4956" t="s">
        <v>12</v>
      </c>
      <c r="C4956" t="s">
        <v>9</v>
      </c>
      <c r="D4956">
        <v>293</v>
      </c>
      <c r="E4956">
        <v>11</v>
      </c>
      <c r="F4956">
        <v>3.75</v>
      </c>
      <c r="G4956">
        <v>67.56</v>
      </c>
      <c r="H4956">
        <v>19795.080000000002</v>
      </c>
    </row>
    <row r="4957" spans="1:8" x14ac:dyDescent="0.35">
      <c r="A4957" t="s">
        <v>8</v>
      </c>
      <c r="B4957" t="s">
        <v>12</v>
      </c>
      <c r="C4957" t="s">
        <v>9</v>
      </c>
      <c r="D4957">
        <v>68</v>
      </c>
      <c r="E4957">
        <v>4</v>
      </c>
      <c r="F4957">
        <v>5.88</v>
      </c>
      <c r="G4957">
        <v>13.57</v>
      </c>
      <c r="H4957">
        <v>922.76</v>
      </c>
    </row>
    <row r="4958" spans="1:8" x14ac:dyDescent="0.35">
      <c r="A4958" t="s">
        <v>5</v>
      </c>
      <c r="B4958" t="s">
        <v>12</v>
      </c>
      <c r="C4958" t="s">
        <v>9</v>
      </c>
      <c r="D4958">
        <v>193</v>
      </c>
      <c r="E4958">
        <v>9</v>
      </c>
      <c r="F4958">
        <v>4.66</v>
      </c>
      <c r="G4958">
        <v>41.73</v>
      </c>
      <c r="H4958">
        <v>8053.89</v>
      </c>
    </row>
    <row r="4959" spans="1:8" x14ac:dyDescent="0.35">
      <c r="A4959" t="s">
        <v>7</v>
      </c>
      <c r="B4959" t="s">
        <v>12</v>
      </c>
      <c r="C4959" t="s">
        <v>10</v>
      </c>
      <c r="D4959">
        <v>55</v>
      </c>
      <c r="E4959">
        <v>4</v>
      </c>
      <c r="F4959">
        <v>7.27</v>
      </c>
      <c r="G4959">
        <v>68.95</v>
      </c>
      <c r="H4959">
        <v>3792.25</v>
      </c>
    </row>
    <row r="4960" spans="1:8" x14ac:dyDescent="0.35">
      <c r="A4960" t="s">
        <v>7</v>
      </c>
      <c r="B4960" t="s">
        <v>12</v>
      </c>
      <c r="C4960" t="s">
        <v>10</v>
      </c>
      <c r="D4960">
        <v>157</v>
      </c>
      <c r="E4960">
        <v>4</v>
      </c>
      <c r="F4960">
        <v>2.5499999999999998</v>
      </c>
      <c r="G4960">
        <v>44.41</v>
      </c>
      <c r="H4960">
        <v>6972.37</v>
      </c>
    </row>
    <row r="4961" spans="1:8" x14ac:dyDescent="0.35">
      <c r="A4961" t="s">
        <v>7</v>
      </c>
      <c r="B4961" t="s">
        <v>12</v>
      </c>
      <c r="C4961" t="s">
        <v>9</v>
      </c>
      <c r="D4961">
        <v>188</v>
      </c>
      <c r="E4961">
        <v>18</v>
      </c>
      <c r="F4961">
        <v>9.57</v>
      </c>
      <c r="G4961">
        <v>64.760000000000005</v>
      </c>
      <c r="H4961">
        <v>12174.88</v>
      </c>
    </row>
    <row r="4962" spans="1:8" x14ac:dyDescent="0.35">
      <c r="A4962" t="s">
        <v>6</v>
      </c>
      <c r="B4962" t="s">
        <v>12</v>
      </c>
      <c r="C4962" t="s">
        <v>9</v>
      </c>
      <c r="D4962">
        <v>223</v>
      </c>
      <c r="E4962">
        <v>17</v>
      </c>
      <c r="F4962">
        <v>7.62</v>
      </c>
      <c r="G4962">
        <v>46.64</v>
      </c>
      <c r="H4962">
        <v>10400.719999999999</v>
      </c>
    </row>
    <row r="4963" spans="1:8" x14ac:dyDescent="0.35">
      <c r="A4963" t="s">
        <v>5</v>
      </c>
      <c r="B4963" t="s">
        <v>12</v>
      </c>
      <c r="C4963" t="s">
        <v>9</v>
      </c>
      <c r="D4963">
        <v>105</v>
      </c>
      <c r="E4963">
        <v>3</v>
      </c>
      <c r="F4963">
        <v>2.86</v>
      </c>
      <c r="G4963">
        <v>19.760000000000002</v>
      </c>
      <c r="H4963">
        <v>2074.8000000000002</v>
      </c>
    </row>
    <row r="4964" spans="1:8" x14ac:dyDescent="0.35">
      <c r="A4964" t="s">
        <v>7</v>
      </c>
      <c r="B4964" t="s">
        <v>12</v>
      </c>
      <c r="C4964" t="s">
        <v>10</v>
      </c>
      <c r="D4964">
        <v>289</v>
      </c>
      <c r="E4964">
        <v>14</v>
      </c>
      <c r="F4964">
        <v>4.84</v>
      </c>
      <c r="G4964">
        <v>58.44</v>
      </c>
      <c r="H4964">
        <v>16889.16</v>
      </c>
    </row>
    <row r="4965" spans="1:8" x14ac:dyDescent="0.35">
      <c r="A4965" t="s">
        <v>6</v>
      </c>
      <c r="B4965" t="s">
        <v>12</v>
      </c>
      <c r="C4965" t="s">
        <v>9</v>
      </c>
      <c r="D4965">
        <v>98</v>
      </c>
      <c r="E4965">
        <v>1</v>
      </c>
      <c r="F4965">
        <v>1.02</v>
      </c>
      <c r="G4965">
        <v>12.61</v>
      </c>
      <c r="H4965">
        <v>1235.78</v>
      </c>
    </row>
    <row r="4966" spans="1:8" x14ac:dyDescent="0.35">
      <c r="A4966" t="s">
        <v>7</v>
      </c>
      <c r="B4966" t="s">
        <v>12</v>
      </c>
      <c r="C4966" t="s">
        <v>10</v>
      </c>
      <c r="D4966">
        <v>99</v>
      </c>
      <c r="E4966">
        <v>8</v>
      </c>
      <c r="F4966">
        <v>8.08</v>
      </c>
      <c r="G4966">
        <v>55.48</v>
      </c>
      <c r="H4966">
        <v>5492.52</v>
      </c>
    </row>
    <row r="4967" spans="1:8" x14ac:dyDescent="0.35">
      <c r="A4967" t="s">
        <v>7</v>
      </c>
      <c r="B4967" t="s">
        <v>12</v>
      </c>
      <c r="C4967" t="s">
        <v>10</v>
      </c>
      <c r="D4967">
        <v>82</v>
      </c>
      <c r="E4967">
        <v>4</v>
      </c>
      <c r="F4967">
        <v>4.88</v>
      </c>
      <c r="G4967">
        <v>15.34</v>
      </c>
      <c r="H4967">
        <v>1257.8800000000001</v>
      </c>
    </row>
    <row r="4968" spans="1:8" x14ac:dyDescent="0.35">
      <c r="A4968" t="s">
        <v>7</v>
      </c>
      <c r="B4968" t="s">
        <v>12</v>
      </c>
      <c r="C4968" t="s">
        <v>10</v>
      </c>
      <c r="D4968">
        <v>261</v>
      </c>
      <c r="E4968">
        <v>11</v>
      </c>
      <c r="F4968">
        <v>4.21</v>
      </c>
      <c r="G4968">
        <v>50.26</v>
      </c>
      <c r="H4968">
        <v>13117.86</v>
      </c>
    </row>
    <row r="4969" spans="1:8" x14ac:dyDescent="0.35">
      <c r="A4969" t="s">
        <v>5</v>
      </c>
      <c r="B4969" t="s">
        <v>12</v>
      </c>
      <c r="C4969" t="s">
        <v>9</v>
      </c>
      <c r="D4969">
        <v>201</v>
      </c>
      <c r="E4969">
        <v>19</v>
      </c>
      <c r="F4969">
        <v>9.4499999999999993</v>
      </c>
      <c r="G4969">
        <v>15.97</v>
      </c>
      <c r="H4969">
        <v>3209.97</v>
      </c>
    </row>
    <row r="4970" spans="1:8" x14ac:dyDescent="0.35">
      <c r="A4970" t="s">
        <v>6</v>
      </c>
      <c r="B4970" t="s">
        <v>12</v>
      </c>
      <c r="C4970" t="s">
        <v>9</v>
      </c>
      <c r="D4970">
        <v>275</v>
      </c>
      <c r="E4970">
        <v>3</v>
      </c>
      <c r="F4970">
        <v>1.0900000000000001</v>
      </c>
      <c r="G4970">
        <v>33.229999999999997</v>
      </c>
      <c r="H4970">
        <v>9138.25</v>
      </c>
    </row>
    <row r="4971" spans="1:8" x14ac:dyDescent="0.35">
      <c r="A4971" t="s">
        <v>5</v>
      </c>
      <c r="B4971" t="s">
        <v>12</v>
      </c>
      <c r="C4971" t="s">
        <v>9</v>
      </c>
      <c r="D4971">
        <v>140</v>
      </c>
      <c r="E4971">
        <v>13</v>
      </c>
      <c r="F4971">
        <v>9.2899999999999991</v>
      </c>
      <c r="G4971">
        <v>5.76</v>
      </c>
      <c r="H4971">
        <v>806.4</v>
      </c>
    </row>
    <row r="4972" spans="1:8" x14ac:dyDescent="0.35">
      <c r="A4972" t="s">
        <v>5</v>
      </c>
      <c r="B4972" t="s">
        <v>12</v>
      </c>
      <c r="C4972" t="s">
        <v>9</v>
      </c>
      <c r="D4972">
        <v>177</v>
      </c>
      <c r="E4972">
        <v>17</v>
      </c>
      <c r="F4972">
        <v>9.6</v>
      </c>
      <c r="G4972">
        <v>10.81</v>
      </c>
      <c r="H4972">
        <v>1913.37</v>
      </c>
    </row>
    <row r="4973" spans="1:8" x14ac:dyDescent="0.35">
      <c r="A4973" t="s">
        <v>5</v>
      </c>
      <c r="B4973" t="s">
        <v>12</v>
      </c>
      <c r="C4973" t="s">
        <v>9</v>
      </c>
      <c r="D4973">
        <v>170</v>
      </c>
      <c r="E4973">
        <v>4</v>
      </c>
      <c r="F4973">
        <v>2.35</v>
      </c>
      <c r="G4973">
        <v>42.67</v>
      </c>
      <c r="H4973">
        <v>7253.9</v>
      </c>
    </row>
    <row r="4974" spans="1:8" x14ac:dyDescent="0.35">
      <c r="A4974" t="s">
        <v>8</v>
      </c>
      <c r="B4974" t="s">
        <v>12</v>
      </c>
      <c r="C4974" t="s">
        <v>9</v>
      </c>
      <c r="D4974">
        <v>257</v>
      </c>
      <c r="E4974">
        <v>15</v>
      </c>
      <c r="F4974">
        <v>5.84</v>
      </c>
      <c r="G4974">
        <v>44.94</v>
      </c>
      <c r="H4974">
        <v>11549.58</v>
      </c>
    </row>
    <row r="4975" spans="1:8" x14ac:dyDescent="0.35">
      <c r="A4975" t="s">
        <v>7</v>
      </c>
      <c r="B4975" t="s">
        <v>12</v>
      </c>
      <c r="C4975" t="s">
        <v>10</v>
      </c>
      <c r="D4975">
        <v>174</v>
      </c>
      <c r="E4975">
        <v>12</v>
      </c>
      <c r="F4975">
        <v>6.9</v>
      </c>
      <c r="G4975">
        <v>39.450000000000003</v>
      </c>
      <c r="H4975">
        <v>6864.3</v>
      </c>
    </row>
    <row r="4976" spans="1:8" x14ac:dyDescent="0.35">
      <c r="A4976" t="s">
        <v>6</v>
      </c>
      <c r="B4976" t="s">
        <v>12</v>
      </c>
      <c r="C4976" t="s">
        <v>9</v>
      </c>
      <c r="D4976">
        <v>55</v>
      </c>
      <c r="E4976">
        <v>3</v>
      </c>
      <c r="F4976">
        <v>5.45</v>
      </c>
      <c r="G4976">
        <v>7.99</v>
      </c>
      <c r="H4976">
        <v>439.45</v>
      </c>
    </row>
    <row r="4977" spans="1:8" x14ac:dyDescent="0.35">
      <c r="A4977" t="s">
        <v>6</v>
      </c>
      <c r="B4977" t="s">
        <v>12</v>
      </c>
      <c r="C4977" t="s">
        <v>11</v>
      </c>
      <c r="D4977">
        <v>164</v>
      </c>
      <c r="E4977">
        <v>3</v>
      </c>
      <c r="F4977">
        <v>1.83</v>
      </c>
      <c r="G4977">
        <v>11.54</v>
      </c>
      <c r="H4977">
        <v>1892.56</v>
      </c>
    </row>
    <row r="4978" spans="1:8" x14ac:dyDescent="0.35">
      <c r="A4978" t="s">
        <v>5</v>
      </c>
      <c r="B4978" t="s">
        <v>12</v>
      </c>
      <c r="C4978" t="s">
        <v>9</v>
      </c>
      <c r="D4978">
        <v>285</v>
      </c>
      <c r="E4978">
        <v>19</v>
      </c>
      <c r="F4978">
        <v>6.67</v>
      </c>
      <c r="G4978">
        <v>8.0399999999999991</v>
      </c>
      <c r="H4978">
        <v>2291.4</v>
      </c>
    </row>
    <row r="4979" spans="1:8" x14ac:dyDescent="0.35">
      <c r="A4979" t="s">
        <v>8</v>
      </c>
      <c r="B4979" t="s">
        <v>12</v>
      </c>
      <c r="C4979" t="s">
        <v>9</v>
      </c>
      <c r="D4979">
        <v>260</v>
      </c>
      <c r="E4979">
        <v>13</v>
      </c>
      <c r="F4979">
        <v>5</v>
      </c>
      <c r="G4979">
        <v>17.88</v>
      </c>
      <c r="H4979">
        <v>4648.8</v>
      </c>
    </row>
    <row r="4980" spans="1:8" x14ac:dyDescent="0.35">
      <c r="A4980" t="s">
        <v>6</v>
      </c>
      <c r="B4980" t="s">
        <v>12</v>
      </c>
      <c r="C4980" t="s">
        <v>9</v>
      </c>
      <c r="D4980">
        <v>158</v>
      </c>
      <c r="E4980">
        <v>1</v>
      </c>
      <c r="F4980">
        <v>0.63</v>
      </c>
      <c r="G4980">
        <v>64.09</v>
      </c>
      <c r="H4980">
        <v>10126.219999999999</v>
      </c>
    </row>
    <row r="4981" spans="1:8" x14ac:dyDescent="0.35">
      <c r="A4981" t="s">
        <v>7</v>
      </c>
      <c r="B4981" t="s">
        <v>12</v>
      </c>
      <c r="C4981" t="s">
        <v>10</v>
      </c>
      <c r="D4981">
        <v>268</v>
      </c>
      <c r="E4981">
        <v>16</v>
      </c>
      <c r="F4981">
        <v>5.97</v>
      </c>
      <c r="G4981">
        <v>42.87</v>
      </c>
      <c r="H4981">
        <v>11489.16</v>
      </c>
    </row>
    <row r="4982" spans="1:8" x14ac:dyDescent="0.35">
      <c r="A4982" t="s">
        <v>7</v>
      </c>
      <c r="B4982" t="s">
        <v>12</v>
      </c>
      <c r="C4982" t="s">
        <v>10</v>
      </c>
      <c r="D4982">
        <v>186</v>
      </c>
      <c r="E4982">
        <v>7</v>
      </c>
      <c r="F4982">
        <v>3.76</v>
      </c>
      <c r="G4982">
        <v>69.739999999999995</v>
      </c>
      <c r="H4982">
        <v>12971.64</v>
      </c>
    </row>
    <row r="4983" spans="1:8" x14ac:dyDescent="0.35">
      <c r="A4983" t="s">
        <v>5</v>
      </c>
      <c r="B4983" t="s">
        <v>12</v>
      </c>
      <c r="C4983" t="s">
        <v>9</v>
      </c>
      <c r="D4983">
        <v>142</v>
      </c>
      <c r="E4983">
        <v>8</v>
      </c>
      <c r="F4983">
        <v>5.63</v>
      </c>
      <c r="G4983">
        <v>62.17</v>
      </c>
      <c r="H4983">
        <v>8828.14</v>
      </c>
    </row>
    <row r="4984" spans="1:8" x14ac:dyDescent="0.35">
      <c r="A4984" t="s">
        <v>8</v>
      </c>
      <c r="B4984" t="s">
        <v>12</v>
      </c>
      <c r="C4984" t="s">
        <v>9</v>
      </c>
      <c r="D4984">
        <v>95</v>
      </c>
      <c r="E4984">
        <v>4</v>
      </c>
      <c r="F4984">
        <v>4.21</v>
      </c>
      <c r="G4984">
        <v>67.41</v>
      </c>
      <c r="H4984">
        <v>6403.95</v>
      </c>
    </row>
    <row r="4985" spans="1:8" x14ac:dyDescent="0.35">
      <c r="A4985" t="s">
        <v>7</v>
      </c>
      <c r="B4985" t="s">
        <v>12</v>
      </c>
      <c r="C4985" t="s">
        <v>9</v>
      </c>
      <c r="D4985">
        <v>125</v>
      </c>
      <c r="E4985">
        <v>2</v>
      </c>
      <c r="F4985">
        <v>1.6</v>
      </c>
      <c r="G4985">
        <v>50.13</v>
      </c>
      <c r="H4985">
        <v>6266.25</v>
      </c>
    </row>
    <row r="4986" spans="1:8" x14ac:dyDescent="0.35">
      <c r="A4986" t="s">
        <v>8</v>
      </c>
      <c r="B4986" t="s">
        <v>12</v>
      </c>
      <c r="C4986" t="s">
        <v>9</v>
      </c>
      <c r="D4986">
        <v>165</v>
      </c>
      <c r="E4986">
        <v>13</v>
      </c>
      <c r="F4986">
        <v>7.88</v>
      </c>
      <c r="G4986">
        <v>21.32</v>
      </c>
      <c r="H4986">
        <v>3517.8</v>
      </c>
    </row>
    <row r="4987" spans="1:8" x14ac:dyDescent="0.35">
      <c r="A4987" t="s">
        <v>6</v>
      </c>
      <c r="B4987" t="s">
        <v>12</v>
      </c>
      <c r="C4987" t="s">
        <v>9</v>
      </c>
      <c r="D4987">
        <v>209</v>
      </c>
      <c r="E4987">
        <v>19</v>
      </c>
      <c r="F4987">
        <v>9.09</v>
      </c>
      <c r="G4987">
        <v>44</v>
      </c>
      <c r="H4987">
        <v>9196</v>
      </c>
    </row>
    <row r="4988" spans="1:8" x14ac:dyDescent="0.35">
      <c r="A4988" t="s">
        <v>7</v>
      </c>
      <c r="B4988" t="s">
        <v>12</v>
      </c>
      <c r="C4988" t="s">
        <v>9</v>
      </c>
      <c r="D4988">
        <v>147</v>
      </c>
      <c r="E4988">
        <v>6</v>
      </c>
      <c r="F4988">
        <v>4.08</v>
      </c>
      <c r="G4988">
        <v>19.73</v>
      </c>
      <c r="H4988">
        <v>2900.31</v>
      </c>
    </row>
    <row r="4989" spans="1:8" x14ac:dyDescent="0.35">
      <c r="A4989" t="s">
        <v>6</v>
      </c>
      <c r="B4989" t="s">
        <v>12</v>
      </c>
      <c r="C4989" t="s">
        <v>11</v>
      </c>
      <c r="D4989">
        <v>300</v>
      </c>
      <c r="E4989">
        <v>12</v>
      </c>
      <c r="F4989">
        <v>4</v>
      </c>
      <c r="G4989">
        <v>35.92</v>
      </c>
      <c r="H4989">
        <v>10776</v>
      </c>
    </row>
    <row r="4990" spans="1:8" x14ac:dyDescent="0.35">
      <c r="A4990" t="s">
        <v>6</v>
      </c>
      <c r="B4990" t="s">
        <v>12</v>
      </c>
      <c r="C4990" t="s">
        <v>11</v>
      </c>
      <c r="D4990">
        <v>151</v>
      </c>
      <c r="E4990">
        <v>3</v>
      </c>
      <c r="F4990">
        <v>1.99</v>
      </c>
      <c r="G4990">
        <v>15.25</v>
      </c>
      <c r="H4990">
        <v>2302.75</v>
      </c>
    </row>
    <row r="4991" spans="1:8" x14ac:dyDescent="0.35">
      <c r="A4991" t="s">
        <v>6</v>
      </c>
      <c r="B4991" t="s">
        <v>12</v>
      </c>
      <c r="C4991" t="s">
        <v>9</v>
      </c>
      <c r="D4991">
        <v>182</v>
      </c>
      <c r="E4991">
        <v>18</v>
      </c>
      <c r="F4991">
        <v>9.89</v>
      </c>
      <c r="G4991">
        <v>41.03</v>
      </c>
      <c r="H4991">
        <v>7467.46</v>
      </c>
    </row>
    <row r="4992" spans="1:8" x14ac:dyDescent="0.35">
      <c r="A4992" t="s">
        <v>8</v>
      </c>
      <c r="B4992" t="s">
        <v>12</v>
      </c>
      <c r="C4992" t="s">
        <v>9</v>
      </c>
      <c r="D4992">
        <v>201</v>
      </c>
      <c r="E4992">
        <v>8</v>
      </c>
      <c r="F4992">
        <v>3.98</v>
      </c>
      <c r="G4992">
        <v>42.4</v>
      </c>
      <c r="H4992">
        <v>8522.4</v>
      </c>
    </row>
    <row r="4993" spans="1:8" x14ac:dyDescent="0.35">
      <c r="A4993" t="s">
        <v>5</v>
      </c>
      <c r="B4993" t="s">
        <v>12</v>
      </c>
      <c r="C4993" t="s">
        <v>9</v>
      </c>
      <c r="D4993">
        <v>224</v>
      </c>
      <c r="E4993">
        <v>14</v>
      </c>
      <c r="F4993">
        <v>6.25</v>
      </c>
      <c r="G4993">
        <v>57.92</v>
      </c>
      <c r="H4993">
        <v>12974.08</v>
      </c>
    </row>
    <row r="4994" spans="1:8" x14ac:dyDescent="0.35">
      <c r="A4994" t="s">
        <v>8</v>
      </c>
      <c r="B4994" t="s">
        <v>12</v>
      </c>
      <c r="C4994" t="s">
        <v>9</v>
      </c>
      <c r="D4994">
        <v>204</v>
      </c>
      <c r="E4994">
        <v>18</v>
      </c>
      <c r="F4994">
        <v>8.82</v>
      </c>
      <c r="G4994">
        <v>26.09</v>
      </c>
      <c r="H4994">
        <v>5322.36</v>
      </c>
    </row>
    <row r="4995" spans="1:8" x14ac:dyDescent="0.35">
      <c r="A4995" t="s">
        <v>7</v>
      </c>
      <c r="B4995" t="s">
        <v>12</v>
      </c>
      <c r="C4995" t="s">
        <v>10</v>
      </c>
      <c r="D4995">
        <v>189</v>
      </c>
      <c r="E4995">
        <v>3</v>
      </c>
      <c r="F4995">
        <v>1.59</v>
      </c>
      <c r="G4995">
        <v>14.69</v>
      </c>
      <c r="H4995">
        <v>2776.41</v>
      </c>
    </row>
    <row r="4996" spans="1:8" x14ac:dyDescent="0.35">
      <c r="A4996" t="s">
        <v>7</v>
      </c>
      <c r="B4996" t="s">
        <v>12</v>
      </c>
      <c r="C4996" t="s">
        <v>9</v>
      </c>
      <c r="D4996">
        <v>193</v>
      </c>
      <c r="E4996">
        <v>11</v>
      </c>
      <c r="F4996">
        <v>5.7</v>
      </c>
      <c r="G4996">
        <v>65.08</v>
      </c>
      <c r="H4996">
        <v>12560.44</v>
      </c>
    </row>
    <row r="4997" spans="1:8" x14ac:dyDescent="0.35">
      <c r="A4997" t="s">
        <v>7</v>
      </c>
      <c r="B4997" t="s">
        <v>12</v>
      </c>
      <c r="C4997" t="s">
        <v>9</v>
      </c>
      <c r="D4997">
        <v>183</v>
      </c>
      <c r="E4997">
        <v>13</v>
      </c>
      <c r="F4997">
        <v>7.1</v>
      </c>
      <c r="G4997">
        <v>21.65</v>
      </c>
      <c r="H4997">
        <v>3961.95</v>
      </c>
    </row>
    <row r="4998" spans="1:8" x14ac:dyDescent="0.35">
      <c r="A4998" t="s">
        <v>6</v>
      </c>
      <c r="B4998" t="s">
        <v>12</v>
      </c>
      <c r="C4998" t="s">
        <v>11</v>
      </c>
      <c r="D4998">
        <v>181</v>
      </c>
      <c r="E4998">
        <v>8</v>
      </c>
      <c r="F4998">
        <v>4.42</v>
      </c>
      <c r="G4998">
        <v>59.8</v>
      </c>
      <c r="H4998">
        <v>10823.8</v>
      </c>
    </row>
    <row r="4999" spans="1:8" x14ac:dyDescent="0.35">
      <c r="A4999" t="s">
        <v>7</v>
      </c>
      <c r="B4999" t="s">
        <v>12</v>
      </c>
      <c r="C4999" t="s">
        <v>9</v>
      </c>
      <c r="D4999">
        <v>156</v>
      </c>
      <c r="E4999">
        <v>10</v>
      </c>
      <c r="F4999">
        <v>6.41</v>
      </c>
      <c r="G4999">
        <v>21.26</v>
      </c>
      <c r="H4999">
        <v>3316.56</v>
      </c>
    </row>
    <row r="5000" spans="1:8" x14ac:dyDescent="0.35">
      <c r="A5000" t="s">
        <v>7</v>
      </c>
      <c r="B5000" t="s">
        <v>12</v>
      </c>
      <c r="C5000" t="s">
        <v>10</v>
      </c>
      <c r="D5000">
        <v>260</v>
      </c>
      <c r="E5000">
        <v>17</v>
      </c>
      <c r="F5000">
        <v>6.54</v>
      </c>
      <c r="G5000">
        <v>35.49</v>
      </c>
      <c r="H5000">
        <v>9227.4</v>
      </c>
    </row>
    <row r="5001" spans="1:8" x14ac:dyDescent="0.35">
      <c r="A5001" t="s">
        <v>5</v>
      </c>
      <c r="B5001" t="s">
        <v>12</v>
      </c>
      <c r="C5001" t="s">
        <v>9</v>
      </c>
      <c r="D5001">
        <v>248</v>
      </c>
      <c r="E5001">
        <v>13</v>
      </c>
      <c r="F5001">
        <v>5.24</v>
      </c>
      <c r="G5001">
        <v>5.27</v>
      </c>
      <c r="H5001">
        <v>1306.96</v>
      </c>
    </row>
    <row r="5002" spans="1:8" x14ac:dyDescent="0.35">
      <c r="A5002" t="s">
        <v>6</v>
      </c>
      <c r="B5002" t="s">
        <v>12</v>
      </c>
      <c r="C5002" t="s">
        <v>9</v>
      </c>
      <c r="D5002">
        <v>103</v>
      </c>
      <c r="E5002">
        <v>7</v>
      </c>
      <c r="F5002">
        <v>6.8</v>
      </c>
      <c r="G5002">
        <v>25.09</v>
      </c>
      <c r="H5002">
        <v>2584.27</v>
      </c>
    </row>
    <row r="5003" spans="1:8" x14ac:dyDescent="0.35">
      <c r="A5003" t="s">
        <v>5</v>
      </c>
      <c r="B5003" t="s">
        <v>12</v>
      </c>
      <c r="C5003" t="s">
        <v>9</v>
      </c>
      <c r="D5003">
        <v>232</v>
      </c>
      <c r="E5003">
        <v>18</v>
      </c>
      <c r="F5003">
        <v>7.76</v>
      </c>
      <c r="G5003">
        <v>33.29</v>
      </c>
      <c r="H5003">
        <v>7723.28</v>
      </c>
    </row>
    <row r="5004" spans="1:8" x14ac:dyDescent="0.35">
      <c r="A5004" t="s">
        <v>8</v>
      </c>
      <c r="B5004" t="s">
        <v>12</v>
      </c>
      <c r="C5004" t="s">
        <v>9</v>
      </c>
      <c r="D5004">
        <v>281</v>
      </c>
      <c r="E5004">
        <v>22</v>
      </c>
      <c r="F5004">
        <v>7.83</v>
      </c>
      <c r="G5004">
        <v>46.66</v>
      </c>
      <c r="H5004">
        <v>13111.46</v>
      </c>
    </row>
    <row r="5005" spans="1:8" x14ac:dyDescent="0.35">
      <c r="A5005" t="s">
        <v>6</v>
      </c>
      <c r="B5005" t="s">
        <v>12</v>
      </c>
      <c r="C5005" t="s">
        <v>9</v>
      </c>
      <c r="D5005">
        <v>53</v>
      </c>
      <c r="E5005">
        <v>0</v>
      </c>
      <c r="F5005">
        <v>0</v>
      </c>
      <c r="G5005">
        <v>12.28</v>
      </c>
      <c r="H5005">
        <v>650.84</v>
      </c>
    </row>
    <row r="5006" spans="1:8" x14ac:dyDescent="0.35">
      <c r="A5006" t="s">
        <v>7</v>
      </c>
      <c r="B5006" t="s">
        <v>12</v>
      </c>
      <c r="C5006" t="s">
        <v>9</v>
      </c>
      <c r="D5006">
        <v>133</v>
      </c>
      <c r="E5006">
        <v>11</v>
      </c>
      <c r="F5006">
        <v>8.27</v>
      </c>
      <c r="G5006">
        <v>25.33</v>
      </c>
      <c r="H5006">
        <v>3368.89</v>
      </c>
    </row>
    <row r="5007" spans="1:8" x14ac:dyDescent="0.35">
      <c r="A5007" t="s">
        <v>8</v>
      </c>
      <c r="B5007" t="s">
        <v>12</v>
      </c>
      <c r="C5007" t="s">
        <v>9</v>
      </c>
      <c r="D5007">
        <v>59</v>
      </c>
      <c r="E5007">
        <v>2</v>
      </c>
      <c r="F5007">
        <v>3.39</v>
      </c>
      <c r="G5007">
        <v>50.13</v>
      </c>
      <c r="H5007">
        <v>2957.67</v>
      </c>
    </row>
    <row r="5008" spans="1:8" x14ac:dyDescent="0.35">
      <c r="A5008" t="s">
        <v>6</v>
      </c>
      <c r="B5008" t="s">
        <v>12</v>
      </c>
      <c r="C5008" t="s">
        <v>9</v>
      </c>
      <c r="D5008">
        <v>144</v>
      </c>
      <c r="E5008">
        <v>12</v>
      </c>
      <c r="F5008">
        <v>8.33</v>
      </c>
      <c r="G5008">
        <v>47.51</v>
      </c>
      <c r="H5008">
        <v>6841.44</v>
      </c>
    </row>
    <row r="5009" spans="1:8" x14ac:dyDescent="0.35">
      <c r="A5009" t="s">
        <v>8</v>
      </c>
      <c r="B5009" t="s">
        <v>12</v>
      </c>
      <c r="C5009" t="s">
        <v>9</v>
      </c>
      <c r="D5009">
        <v>191</v>
      </c>
      <c r="E5009">
        <v>3</v>
      </c>
      <c r="F5009">
        <v>1.57</v>
      </c>
      <c r="G5009">
        <v>10.29</v>
      </c>
      <c r="H5009">
        <v>1965.39</v>
      </c>
    </row>
    <row r="5010" spans="1:8" x14ac:dyDescent="0.35">
      <c r="A5010" t="s">
        <v>7</v>
      </c>
      <c r="B5010" t="s">
        <v>12</v>
      </c>
      <c r="C5010" t="s">
        <v>10</v>
      </c>
      <c r="D5010">
        <v>115</v>
      </c>
      <c r="E5010">
        <v>2</v>
      </c>
      <c r="F5010">
        <v>1.74</v>
      </c>
      <c r="G5010">
        <v>61.06</v>
      </c>
      <c r="H5010">
        <v>7021.9</v>
      </c>
    </row>
    <row r="5011" spans="1:8" x14ac:dyDescent="0.35">
      <c r="A5011" t="s">
        <v>7</v>
      </c>
      <c r="B5011" t="s">
        <v>12</v>
      </c>
      <c r="C5011" t="s">
        <v>10</v>
      </c>
      <c r="D5011">
        <v>55</v>
      </c>
      <c r="E5011">
        <v>3</v>
      </c>
      <c r="F5011">
        <v>5.45</v>
      </c>
      <c r="G5011">
        <v>25.1</v>
      </c>
      <c r="H5011">
        <v>1380.5</v>
      </c>
    </row>
    <row r="5012" spans="1:8" x14ac:dyDescent="0.35">
      <c r="A5012" t="s">
        <v>7</v>
      </c>
      <c r="B5012" t="s">
        <v>12</v>
      </c>
      <c r="C5012" t="s">
        <v>9</v>
      </c>
      <c r="D5012">
        <v>50</v>
      </c>
      <c r="E5012">
        <v>0</v>
      </c>
      <c r="F5012">
        <v>0</v>
      </c>
      <c r="G5012">
        <v>35.28</v>
      </c>
      <c r="H5012">
        <v>1764</v>
      </c>
    </row>
    <row r="5013" spans="1:8" x14ac:dyDescent="0.35">
      <c r="A5013" t="s">
        <v>6</v>
      </c>
      <c r="B5013" t="s">
        <v>12</v>
      </c>
      <c r="C5013" t="s">
        <v>11</v>
      </c>
      <c r="D5013">
        <v>257</v>
      </c>
      <c r="E5013">
        <v>10</v>
      </c>
      <c r="F5013">
        <v>3.89</v>
      </c>
      <c r="G5013">
        <v>20.260000000000002</v>
      </c>
      <c r="H5013">
        <v>5206.82</v>
      </c>
    </row>
    <row r="5014" spans="1:8" x14ac:dyDescent="0.35">
      <c r="A5014" t="s">
        <v>7</v>
      </c>
      <c r="B5014" t="s">
        <v>12</v>
      </c>
      <c r="C5014" t="s">
        <v>9</v>
      </c>
      <c r="D5014">
        <v>186</v>
      </c>
      <c r="E5014">
        <v>9</v>
      </c>
      <c r="F5014">
        <v>4.84</v>
      </c>
      <c r="G5014">
        <v>38.729999999999997</v>
      </c>
      <c r="H5014">
        <v>7203.78</v>
      </c>
    </row>
    <row r="5015" spans="1:8" x14ac:dyDescent="0.35">
      <c r="A5015" t="s">
        <v>7</v>
      </c>
      <c r="B5015" t="s">
        <v>12</v>
      </c>
      <c r="C5015" t="s">
        <v>9</v>
      </c>
      <c r="D5015">
        <v>148</v>
      </c>
      <c r="E5015">
        <v>14</v>
      </c>
      <c r="F5015">
        <v>9.4600000000000009</v>
      </c>
      <c r="G5015">
        <v>14.16</v>
      </c>
      <c r="H5015">
        <v>2095.6799999999998</v>
      </c>
    </row>
    <row r="5016" spans="1:8" x14ac:dyDescent="0.35">
      <c r="A5016" t="s">
        <v>6</v>
      </c>
      <c r="B5016" t="s">
        <v>12</v>
      </c>
      <c r="C5016" t="s">
        <v>9</v>
      </c>
      <c r="D5016">
        <v>164</v>
      </c>
      <c r="E5016">
        <v>6</v>
      </c>
      <c r="F5016">
        <v>3.66</v>
      </c>
      <c r="G5016">
        <v>11.17</v>
      </c>
      <c r="H5016">
        <v>1831.88</v>
      </c>
    </row>
    <row r="5017" spans="1:8" x14ac:dyDescent="0.35">
      <c r="A5017" t="s">
        <v>6</v>
      </c>
      <c r="B5017" t="s">
        <v>12</v>
      </c>
      <c r="C5017" t="s">
        <v>11</v>
      </c>
      <c r="D5017">
        <v>93</v>
      </c>
      <c r="E5017">
        <v>9</v>
      </c>
      <c r="F5017">
        <v>9.68</v>
      </c>
      <c r="G5017">
        <v>31.65</v>
      </c>
      <c r="H5017">
        <v>2943.45</v>
      </c>
    </row>
    <row r="5018" spans="1:8" x14ac:dyDescent="0.35">
      <c r="A5018" t="s">
        <v>5</v>
      </c>
      <c r="B5018" t="s">
        <v>12</v>
      </c>
      <c r="C5018" t="s">
        <v>9</v>
      </c>
      <c r="D5018">
        <v>77</v>
      </c>
      <c r="E5018">
        <v>6</v>
      </c>
      <c r="F5018">
        <v>7.79</v>
      </c>
      <c r="G5018">
        <v>54.06</v>
      </c>
      <c r="H5018">
        <v>4162.62</v>
      </c>
    </row>
    <row r="5019" spans="1:8" x14ac:dyDescent="0.35">
      <c r="A5019" t="s">
        <v>6</v>
      </c>
      <c r="B5019" t="s">
        <v>12</v>
      </c>
      <c r="C5019" t="s">
        <v>9</v>
      </c>
      <c r="D5019">
        <v>141</v>
      </c>
      <c r="E5019">
        <v>10</v>
      </c>
      <c r="F5019">
        <v>7.09</v>
      </c>
      <c r="G5019">
        <v>22.87</v>
      </c>
      <c r="H5019">
        <v>3224.67</v>
      </c>
    </row>
    <row r="5020" spans="1:8" x14ac:dyDescent="0.35">
      <c r="A5020" t="s">
        <v>6</v>
      </c>
      <c r="B5020" t="s">
        <v>12</v>
      </c>
      <c r="C5020" t="s">
        <v>9</v>
      </c>
      <c r="D5020">
        <v>195</v>
      </c>
      <c r="E5020">
        <v>13</v>
      </c>
      <c r="F5020">
        <v>6.67</v>
      </c>
      <c r="G5020">
        <v>46.61</v>
      </c>
      <c r="H5020">
        <v>9088.9500000000007</v>
      </c>
    </row>
    <row r="5021" spans="1:8" x14ac:dyDescent="0.35">
      <c r="A5021" t="s">
        <v>6</v>
      </c>
      <c r="B5021" t="s">
        <v>12</v>
      </c>
      <c r="C5021" t="s">
        <v>9</v>
      </c>
      <c r="D5021">
        <v>107</v>
      </c>
      <c r="E5021">
        <v>8</v>
      </c>
      <c r="F5021">
        <v>7.48</v>
      </c>
      <c r="G5021">
        <v>41.47</v>
      </c>
      <c r="H5021">
        <v>4437.29</v>
      </c>
    </row>
    <row r="5022" spans="1:8" x14ac:dyDescent="0.35">
      <c r="A5022" t="s">
        <v>7</v>
      </c>
      <c r="B5022" t="s">
        <v>12</v>
      </c>
      <c r="C5022" t="s">
        <v>10</v>
      </c>
      <c r="D5022">
        <v>156</v>
      </c>
      <c r="E5022">
        <v>4</v>
      </c>
      <c r="F5022">
        <v>2.56</v>
      </c>
      <c r="G5022">
        <v>40.51</v>
      </c>
      <c r="H5022">
        <v>6319.56</v>
      </c>
    </row>
    <row r="5023" spans="1:8" x14ac:dyDescent="0.35">
      <c r="A5023" t="s">
        <v>7</v>
      </c>
      <c r="B5023" t="s">
        <v>12</v>
      </c>
      <c r="C5023" t="s">
        <v>9</v>
      </c>
      <c r="D5023">
        <v>281</v>
      </c>
      <c r="E5023">
        <v>12</v>
      </c>
      <c r="F5023">
        <v>4.2699999999999996</v>
      </c>
      <c r="G5023">
        <v>26.49</v>
      </c>
      <c r="H5023">
        <v>7443.69</v>
      </c>
    </row>
    <row r="5024" spans="1:8" x14ac:dyDescent="0.35">
      <c r="A5024" t="s">
        <v>7</v>
      </c>
      <c r="B5024" t="s">
        <v>12</v>
      </c>
      <c r="C5024" t="s">
        <v>10</v>
      </c>
      <c r="D5024">
        <v>281</v>
      </c>
      <c r="E5024">
        <v>15</v>
      </c>
      <c r="F5024">
        <v>5.34</v>
      </c>
      <c r="G5024">
        <v>19.579999999999998</v>
      </c>
      <c r="H5024">
        <v>5501.98</v>
      </c>
    </row>
    <row r="5025" spans="1:8" x14ac:dyDescent="0.35">
      <c r="A5025" t="s">
        <v>5</v>
      </c>
      <c r="B5025" t="s">
        <v>12</v>
      </c>
      <c r="C5025" t="s">
        <v>9</v>
      </c>
      <c r="D5025">
        <v>237</v>
      </c>
      <c r="E5025">
        <v>5</v>
      </c>
      <c r="F5025">
        <v>2.11</v>
      </c>
      <c r="G5025">
        <v>47.57</v>
      </c>
      <c r="H5025">
        <v>11274.09</v>
      </c>
    </row>
    <row r="5026" spans="1:8" x14ac:dyDescent="0.35">
      <c r="A5026" t="s">
        <v>6</v>
      </c>
      <c r="B5026" t="s">
        <v>12</v>
      </c>
      <c r="C5026" t="s">
        <v>11</v>
      </c>
      <c r="D5026">
        <v>230</v>
      </c>
      <c r="E5026">
        <v>7</v>
      </c>
      <c r="F5026">
        <v>3.04</v>
      </c>
      <c r="G5026">
        <v>26.17</v>
      </c>
      <c r="H5026">
        <v>6019.1</v>
      </c>
    </row>
    <row r="5027" spans="1:8" x14ac:dyDescent="0.35">
      <c r="A5027" t="s">
        <v>6</v>
      </c>
      <c r="B5027" t="s">
        <v>12</v>
      </c>
      <c r="C5027" t="s">
        <v>11</v>
      </c>
      <c r="D5027">
        <v>115</v>
      </c>
      <c r="E5027">
        <v>5</v>
      </c>
      <c r="F5027">
        <v>4.3499999999999996</v>
      </c>
      <c r="G5027">
        <v>30.32</v>
      </c>
      <c r="H5027">
        <v>3486.8</v>
      </c>
    </row>
    <row r="5028" spans="1:8" x14ac:dyDescent="0.35">
      <c r="A5028" t="s">
        <v>6</v>
      </c>
      <c r="B5028" t="s">
        <v>12</v>
      </c>
      <c r="C5028" t="s">
        <v>11</v>
      </c>
      <c r="D5028">
        <v>277</v>
      </c>
      <c r="E5028">
        <v>14</v>
      </c>
      <c r="F5028">
        <v>5.05</v>
      </c>
      <c r="G5028">
        <v>62.45</v>
      </c>
      <c r="H5028">
        <v>17298.650000000001</v>
      </c>
    </row>
    <row r="5029" spans="1:8" x14ac:dyDescent="0.35">
      <c r="A5029" t="s">
        <v>5</v>
      </c>
      <c r="B5029" t="s">
        <v>12</v>
      </c>
      <c r="C5029" t="s">
        <v>9</v>
      </c>
      <c r="D5029">
        <v>162</v>
      </c>
      <c r="E5029">
        <v>11</v>
      </c>
      <c r="F5029">
        <v>6.79</v>
      </c>
      <c r="G5029">
        <v>14.6</v>
      </c>
      <c r="H5029">
        <v>2365.1999999999998</v>
      </c>
    </row>
    <row r="5030" spans="1:8" x14ac:dyDescent="0.35">
      <c r="A5030" t="s">
        <v>7</v>
      </c>
      <c r="B5030" t="s">
        <v>12</v>
      </c>
      <c r="C5030" t="s">
        <v>9</v>
      </c>
      <c r="D5030">
        <v>177</v>
      </c>
      <c r="E5030">
        <v>7</v>
      </c>
      <c r="F5030">
        <v>3.95</v>
      </c>
      <c r="G5030">
        <v>50.88</v>
      </c>
      <c r="H5030">
        <v>9005.76</v>
      </c>
    </row>
    <row r="5031" spans="1:8" x14ac:dyDescent="0.35">
      <c r="A5031" t="s">
        <v>5</v>
      </c>
      <c r="B5031" t="s">
        <v>12</v>
      </c>
      <c r="C5031" t="s">
        <v>9</v>
      </c>
      <c r="D5031">
        <v>72</v>
      </c>
      <c r="E5031">
        <v>6</v>
      </c>
      <c r="F5031">
        <v>8.33</v>
      </c>
      <c r="G5031">
        <v>20.65</v>
      </c>
      <c r="H5031">
        <v>1486.8</v>
      </c>
    </row>
    <row r="5032" spans="1:8" x14ac:dyDescent="0.35">
      <c r="A5032" t="s">
        <v>8</v>
      </c>
      <c r="B5032" t="s">
        <v>12</v>
      </c>
      <c r="C5032" t="s">
        <v>9</v>
      </c>
      <c r="D5032">
        <v>277</v>
      </c>
      <c r="E5032">
        <v>20</v>
      </c>
      <c r="F5032">
        <v>7.22</v>
      </c>
      <c r="G5032">
        <v>5.71</v>
      </c>
      <c r="H5032">
        <v>1581.67</v>
      </c>
    </row>
    <row r="5033" spans="1:8" x14ac:dyDescent="0.35">
      <c r="A5033" t="s">
        <v>8</v>
      </c>
      <c r="B5033" t="s">
        <v>12</v>
      </c>
      <c r="C5033" t="s">
        <v>9</v>
      </c>
      <c r="D5033">
        <v>188</v>
      </c>
      <c r="E5033">
        <v>7</v>
      </c>
      <c r="F5033">
        <v>3.72</v>
      </c>
      <c r="G5033">
        <v>39.9</v>
      </c>
      <c r="H5033">
        <v>7501.2</v>
      </c>
    </row>
    <row r="5034" spans="1:8" x14ac:dyDescent="0.35">
      <c r="A5034" t="s">
        <v>6</v>
      </c>
      <c r="B5034" t="s">
        <v>12</v>
      </c>
      <c r="C5034" t="s">
        <v>9</v>
      </c>
      <c r="D5034">
        <v>216</v>
      </c>
      <c r="E5034">
        <v>7</v>
      </c>
      <c r="F5034">
        <v>3.24</v>
      </c>
      <c r="G5034">
        <v>35.42</v>
      </c>
      <c r="H5034">
        <v>7650.72</v>
      </c>
    </row>
    <row r="5035" spans="1:8" x14ac:dyDescent="0.35">
      <c r="A5035" t="s">
        <v>6</v>
      </c>
      <c r="B5035" t="s">
        <v>12</v>
      </c>
      <c r="C5035" t="s">
        <v>11</v>
      </c>
      <c r="D5035">
        <v>201</v>
      </c>
      <c r="E5035">
        <v>8</v>
      </c>
      <c r="F5035">
        <v>3.98</v>
      </c>
      <c r="G5035">
        <v>24.01</v>
      </c>
      <c r="H5035">
        <v>4826.01</v>
      </c>
    </row>
    <row r="5036" spans="1:8" x14ac:dyDescent="0.35">
      <c r="A5036" t="s">
        <v>7</v>
      </c>
      <c r="B5036" t="s">
        <v>12</v>
      </c>
      <c r="C5036" t="s">
        <v>10</v>
      </c>
      <c r="D5036">
        <v>103</v>
      </c>
      <c r="E5036">
        <v>9</v>
      </c>
      <c r="F5036">
        <v>8.74</v>
      </c>
      <c r="G5036">
        <v>28.83</v>
      </c>
      <c r="H5036">
        <v>2969.49</v>
      </c>
    </row>
    <row r="5037" spans="1:8" x14ac:dyDescent="0.35">
      <c r="A5037" t="s">
        <v>8</v>
      </c>
      <c r="B5037" t="s">
        <v>12</v>
      </c>
      <c r="C5037" t="s">
        <v>9</v>
      </c>
      <c r="D5037">
        <v>226</v>
      </c>
      <c r="E5037">
        <v>9</v>
      </c>
      <c r="F5037">
        <v>3.98</v>
      </c>
      <c r="G5037">
        <v>22.8</v>
      </c>
      <c r="H5037">
        <v>5152.8</v>
      </c>
    </row>
    <row r="5038" spans="1:8" x14ac:dyDescent="0.35">
      <c r="A5038" t="s">
        <v>5</v>
      </c>
      <c r="B5038" t="s">
        <v>12</v>
      </c>
      <c r="C5038" t="s">
        <v>9</v>
      </c>
      <c r="D5038">
        <v>215</v>
      </c>
      <c r="E5038">
        <v>2</v>
      </c>
      <c r="F5038">
        <v>0.93</v>
      </c>
      <c r="G5038">
        <v>18.7</v>
      </c>
      <c r="H5038">
        <v>4020.5</v>
      </c>
    </row>
    <row r="5039" spans="1:8" x14ac:dyDescent="0.35">
      <c r="A5039" t="s">
        <v>7</v>
      </c>
      <c r="B5039" t="s">
        <v>12</v>
      </c>
      <c r="C5039" t="s">
        <v>9</v>
      </c>
      <c r="D5039">
        <v>189</v>
      </c>
      <c r="E5039">
        <v>4</v>
      </c>
      <c r="F5039">
        <v>2.12</v>
      </c>
      <c r="G5039">
        <v>51.95</v>
      </c>
      <c r="H5039">
        <v>9818.5499999999993</v>
      </c>
    </row>
    <row r="5040" spans="1:8" x14ac:dyDescent="0.35">
      <c r="A5040" t="s">
        <v>8</v>
      </c>
      <c r="B5040" t="s">
        <v>12</v>
      </c>
      <c r="C5040" t="s">
        <v>9</v>
      </c>
      <c r="D5040">
        <v>244</v>
      </c>
      <c r="E5040">
        <v>14</v>
      </c>
      <c r="F5040">
        <v>5.74</v>
      </c>
      <c r="G5040">
        <v>11.88</v>
      </c>
      <c r="H5040">
        <v>2898.72</v>
      </c>
    </row>
    <row r="5041" spans="1:8" x14ac:dyDescent="0.35">
      <c r="A5041" t="s">
        <v>6</v>
      </c>
      <c r="B5041" t="s">
        <v>12</v>
      </c>
      <c r="C5041" t="s">
        <v>11</v>
      </c>
      <c r="D5041">
        <v>105</v>
      </c>
      <c r="E5041">
        <v>1</v>
      </c>
      <c r="F5041">
        <v>0.95</v>
      </c>
      <c r="G5041">
        <v>64.930000000000007</v>
      </c>
      <c r="H5041">
        <v>6817.65</v>
      </c>
    </row>
    <row r="5042" spans="1:8" x14ac:dyDescent="0.35">
      <c r="A5042" t="s">
        <v>7</v>
      </c>
      <c r="B5042" t="s">
        <v>12</v>
      </c>
      <c r="C5042" t="s">
        <v>9</v>
      </c>
      <c r="D5042">
        <v>134</v>
      </c>
      <c r="E5042">
        <v>10</v>
      </c>
      <c r="F5042">
        <v>7.46</v>
      </c>
      <c r="G5042">
        <v>35.93</v>
      </c>
      <c r="H5042">
        <v>4814.62</v>
      </c>
    </row>
    <row r="5043" spans="1:8" x14ac:dyDescent="0.35">
      <c r="A5043" t="s">
        <v>7</v>
      </c>
      <c r="B5043" t="s">
        <v>12</v>
      </c>
      <c r="C5043" t="s">
        <v>10</v>
      </c>
      <c r="D5043">
        <v>227</v>
      </c>
      <c r="E5043">
        <v>3</v>
      </c>
      <c r="F5043">
        <v>1.32</v>
      </c>
      <c r="G5043">
        <v>23.84</v>
      </c>
      <c r="H5043">
        <v>5411.68</v>
      </c>
    </row>
    <row r="5044" spans="1:8" x14ac:dyDescent="0.35">
      <c r="A5044" t="s">
        <v>8</v>
      </c>
      <c r="B5044" t="s">
        <v>12</v>
      </c>
      <c r="C5044" t="s">
        <v>9</v>
      </c>
      <c r="D5044">
        <v>198</v>
      </c>
      <c r="E5044">
        <v>10</v>
      </c>
      <c r="F5044">
        <v>5.05</v>
      </c>
      <c r="G5044">
        <v>35.200000000000003</v>
      </c>
      <c r="H5044">
        <v>6969.6</v>
      </c>
    </row>
    <row r="5045" spans="1:8" x14ac:dyDescent="0.35">
      <c r="A5045" t="s">
        <v>6</v>
      </c>
      <c r="B5045" t="s">
        <v>12</v>
      </c>
      <c r="C5045" t="s">
        <v>9</v>
      </c>
      <c r="D5045">
        <v>169</v>
      </c>
      <c r="E5045">
        <v>13</v>
      </c>
      <c r="F5045">
        <v>7.69</v>
      </c>
      <c r="G5045">
        <v>19.16</v>
      </c>
      <c r="H5045">
        <v>3238.04</v>
      </c>
    </row>
    <row r="5046" spans="1:8" x14ac:dyDescent="0.35">
      <c r="A5046" t="s">
        <v>8</v>
      </c>
      <c r="B5046" t="s">
        <v>12</v>
      </c>
      <c r="C5046" t="s">
        <v>9</v>
      </c>
      <c r="D5046">
        <v>206</v>
      </c>
      <c r="E5046">
        <v>12</v>
      </c>
      <c r="F5046">
        <v>5.83</v>
      </c>
      <c r="G5046">
        <v>69.31</v>
      </c>
      <c r="H5046">
        <v>14277.86</v>
      </c>
    </row>
    <row r="5047" spans="1:8" x14ac:dyDescent="0.35">
      <c r="A5047" t="s">
        <v>6</v>
      </c>
      <c r="B5047" t="s">
        <v>12</v>
      </c>
      <c r="C5047" t="s">
        <v>9</v>
      </c>
      <c r="D5047">
        <v>234</v>
      </c>
      <c r="E5047">
        <v>17</v>
      </c>
      <c r="F5047">
        <v>7.26</v>
      </c>
      <c r="G5047">
        <v>49.19</v>
      </c>
      <c r="H5047">
        <v>11510.46</v>
      </c>
    </row>
    <row r="5048" spans="1:8" x14ac:dyDescent="0.35">
      <c r="A5048" t="s">
        <v>5</v>
      </c>
      <c r="B5048" t="s">
        <v>12</v>
      </c>
      <c r="C5048" t="s">
        <v>9</v>
      </c>
      <c r="D5048">
        <v>150</v>
      </c>
      <c r="E5048">
        <v>9</v>
      </c>
      <c r="F5048">
        <v>6</v>
      </c>
      <c r="G5048">
        <v>22.18</v>
      </c>
      <c r="H5048">
        <v>3327</v>
      </c>
    </row>
    <row r="5049" spans="1:8" x14ac:dyDescent="0.35">
      <c r="A5049" t="s">
        <v>6</v>
      </c>
      <c r="B5049" t="s">
        <v>12</v>
      </c>
      <c r="C5049" t="s">
        <v>11</v>
      </c>
      <c r="D5049">
        <v>86</v>
      </c>
      <c r="E5049">
        <v>8</v>
      </c>
      <c r="F5049">
        <v>9.3000000000000007</v>
      </c>
      <c r="G5049">
        <v>64.680000000000007</v>
      </c>
      <c r="H5049">
        <v>5562.48</v>
      </c>
    </row>
    <row r="5050" spans="1:8" x14ac:dyDescent="0.35">
      <c r="A5050" t="s">
        <v>6</v>
      </c>
      <c r="B5050" t="s">
        <v>12</v>
      </c>
      <c r="C5050" t="s">
        <v>11</v>
      </c>
      <c r="D5050">
        <v>198</v>
      </c>
      <c r="E5050">
        <v>14</v>
      </c>
      <c r="F5050">
        <v>7.07</v>
      </c>
      <c r="G5050">
        <v>38.79</v>
      </c>
      <c r="H5050">
        <v>7680.42</v>
      </c>
    </row>
    <row r="5051" spans="1:8" x14ac:dyDescent="0.35">
      <c r="A5051" t="s">
        <v>8</v>
      </c>
      <c r="B5051" t="s">
        <v>12</v>
      </c>
      <c r="C5051" t="s">
        <v>9</v>
      </c>
      <c r="D5051">
        <v>263</v>
      </c>
      <c r="E5051">
        <v>19</v>
      </c>
      <c r="F5051">
        <v>7.22</v>
      </c>
      <c r="G5051">
        <v>64.16</v>
      </c>
      <c r="H5051">
        <v>16874.080000000002</v>
      </c>
    </row>
    <row r="5052" spans="1:8" x14ac:dyDescent="0.35">
      <c r="A5052" t="s">
        <v>6</v>
      </c>
      <c r="B5052" t="s">
        <v>12</v>
      </c>
      <c r="C5052" t="s">
        <v>9</v>
      </c>
      <c r="D5052">
        <v>240</v>
      </c>
      <c r="E5052">
        <v>22</v>
      </c>
      <c r="F5052">
        <v>9.17</v>
      </c>
      <c r="G5052">
        <v>45.72</v>
      </c>
      <c r="H5052">
        <v>10972.8</v>
      </c>
    </row>
    <row r="5053" spans="1:8" x14ac:dyDescent="0.35">
      <c r="A5053" t="s">
        <v>7</v>
      </c>
      <c r="B5053" t="s">
        <v>12</v>
      </c>
      <c r="C5053" t="s">
        <v>9</v>
      </c>
      <c r="D5053">
        <v>199</v>
      </c>
      <c r="E5053">
        <v>18</v>
      </c>
      <c r="F5053">
        <v>9.0500000000000007</v>
      </c>
      <c r="G5053">
        <v>65.83</v>
      </c>
      <c r="H5053">
        <v>13100.17</v>
      </c>
    </row>
    <row r="5054" spans="1:8" x14ac:dyDescent="0.35">
      <c r="A5054" t="s">
        <v>6</v>
      </c>
      <c r="B5054" t="s">
        <v>12</v>
      </c>
      <c r="C5054" t="s">
        <v>9</v>
      </c>
      <c r="D5054">
        <v>232</v>
      </c>
      <c r="E5054">
        <v>1</v>
      </c>
      <c r="F5054">
        <v>0.43</v>
      </c>
      <c r="G5054">
        <v>65.41</v>
      </c>
      <c r="H5054">
        <v>15175.12</v>
      </c>
    </row>
    <row r="5055" spans="1:8" x14ac:dyDescent="0.35">
      <c r="A5055" t="s">
        <v>7</v>
      </c>
      <c r="B5055" t="s">
        <v>12</v>
      </c>
      <c r="C5055" t="s">
        <v>10</v>
      </c>
      <c r="D5055">
        <v>184</v>
      </c>
      <c r="E5055">
        <v>18</v>
      </c>
      <c r="F5055">
        <v>9.7799999999999994</v>
      </c>
      <c r="G5055">
        <v>67.13</v>
      </c>
      <c r="H5055">
        <v>12351.92</v>
      </c>
    </row>
    <row r="5056" spans="1:8" x14ac:dyDescent="0.35">
      <c r="A5056" t="s">
        <v>7</v>
      </c>
      <c r="B5056" t="s">
        <v>12</v>
      </c>
      <c r="C5056" t="s">
        <v>9</v>
      </c>
      <c r="D5056">
        <v>56</v>
      </c>
      <c r="E5056">
        <v>4</v>
      </c>
      <c r="F5056">
        <v>7.14</v>
      </c>
      <c r="G5056">
        <v>20.22</v>
      </c>
      <c r="H5056">
        <v>1132.32</v>
      </c>
    </row>
    <row r="5057" spans="1:8" x14ac:dyDescent="0.35">
      <c r="A5057" t="s">
        <v>8</v>
      </c>
      <c r="B5057" t="s">
        <v>12</v>
      </c>
      <c r="C5057" t="s">
        <v>9</v>
      </c>
      <c r="D5057">
        <v>275</v>
      </c>
      <c r="E5057">
        <v>11</v>
      </c>
      <c r="F5057">
        <v>4</v>
      </c>
      <c r="G5057">
        <v>6.58</v>
      </c>
      <c r="H5057">
        <v>1809.5</v>
      </c>
    </row>
    <row r="5058" spans="1:8" x14ac:dyDescent="0.35">
      <c r="A5058" t="s">
        <v>7</v>
      </c>
      <c r="B5058" t="s">
        <v>12</v>
      </c>
      <c r="C5058" t="s">
        <v>10</v>
      </c>
      <c r="D5058">
        <v>72</v>
      </c>
      <c r="E5058">
        <v>7</v>
      </c>
      <c r="F5058">
        <v>9.7200000000000006</v>
      </c>
      <c r="G5058">
        <v>21.47</v>
      </c>
      <c r="H5058">
        <v>1545.84</v>
      </c>
    </row>
    <row r="5059" spans="1:8" x14ac:dyDescent="0.35">
      <c r="A5059" t="s">
        <v>7</v>
      </c>
      <c r="B5059" t="s">
        <v>12</v>
      </c>
      <c r="C5059" t="s">
        <v>10</v>
      </c>
      <c r="D5059">
        <v>141</v>
      </c>
      <c r="E5059">
        <v>10</v>
      </c>
      <c r="F5059">
        <v>7.09</v>
      </c>
      <c r="G5059">
        <v>43.64</v>
      </c>
      <c r="H5059">
        <v>6153.24</v>
      </c>
    </row>
    <row r="5060" spans="1:8" x14ac:dyDescent="0.35">
      <c r="A5060" t="s">
        <v>5</v>
      </c>
      <c r="B5060" t="s">
        <v>12</v>
      </c>
      <c r="C5060" t="s">
        <v>9</v>
      </c>
      <c r="D5060">
        <v>210</v>
      </c>
      <c r="E5060">
        <v>13</v>
      </c>
      <c r="F5060">
        <v>6.19</v>
      </c>
      <c r="G5060">
        <v>30.03</v>
      </c>
      <c r="H5060">
        <v>6306.3</v>
      </c>
    </row>
    <row r="5061" spans="1:8" x14ac:dyDescent="0.35">
      <c r="A5061" t="s">
        <v>7</v>
      </c>
      <c r="B5061" t="s">
        <v>12</v>
      </c>
      <c r="C5061" t="s">
        <v>9</v>
      </c>
      <c r="D5061">
        <v>296</v>
      </c>
      <c r="E5061">
        <v>28</v>
      </c>
      <c r="F5061">
        <v>9.4600000000000009</v>
      </c>
      <c r="G5061">
        <v>17.82</v>
      </c>
      <c r="H5061">
        <v>5274.72</v>
      </c>
    </row>
    <row r="5062" spans="1:8" x14ac:dyDescent="0.35">
      <c r="A5062" t="s">
        <v>8</v>
      </c>
      <c r="B5062" t="s">
        <v>12</v>
      </c>
      <c r="C5062" t="s">
        <v>9</v>
      </c>
      <c r="D5062">
        <v>168</v>
      </c>
      <c r="E5062">
        <v>9</v>
      </c>
      <c r="F5062">
        <v>5.36</v>
      </c>
      <c r="G5062">
        <v>53.67</v>
      </c>
      <c r="H5062">
        <v>9016.56</v>
      </c>
    </row>
    <row r="5063" spans="1:8" x14ac:dyDescent="0.35">
      <c r="A5063" t="s">
        <v>6</v>
      </c>
      <c r="B5063" t="s">
        <v>12</v>
      </c>
      <c r="C5063" t="s">
        <v>11</v>
      </c>
      <c r="D5063">
        <v>169</v>
      </c>
      <c r="E5063">
        <v>0</v>
      </c>
      <c r="F5063">
        <v>0</v>
      </c>
      <c r="G5063">
        <v>50.9</v>
      </c>
      <c r="H5063">
        <v>8602.1</v>
      </c>
    </row>
    <row r="5064" spans="1:8" x14ac:dyDescent="0.35">
      <c r="A5064" t="s">
        <v>6</v>
      </c>
      <c r="B5064" t="s">
        <v>12</v>
      </c>
      <c r="C5064" t="s">
        <v>11</v>
      </c>
      <c r="D5064">
        <v>164</v>
      </c>
      <c r="E5064">
        <v>13</v>
      </c>
      <c r="F5064">
        <v>7.93</v>
      </c>
      <c r="G5064">
        <v>69.8</v>
      </c>
      <c r="H5064">
        <v>11447.2</v>
      </c>
    </row>
    <row r="5065" spans="1:8" x14ac:dyDescent="0.35">
      <c r="A5065" t="s">
        <v>8</v>
      </c>
      <c r="B5065" t="s">
        <v>12</v>
      </c>
      <c r="C5065" t="s">
        <v>9</v>
      </c>
      <c r="D5065">
        <v>172</v>
      </c>
      <c r="E5065">
        <v>11</v>
      </c>
      <c r="F5065">
        <v>6.4</v>
      </c>
      <c r="G5065">
        <v>25.13</v>
      </c>
      <c r="H5065">
        <v>4322.3599999999997</v>
      </c>
    </row>
    <row r="5066" spans="1:8" x14ac:dyDescent="0.35">
      <c r="A5066" t="s">
        <v>5</v>
      </c>
      <c r="B5066" t="s">
        <v>12</v>
      </c>
      <c r="C5066" t="s">
        <v>9</v>
      </c>
      <c r="D5066">
        <v>107</v>
      </c>
      <c r="E5066">
        <v>7</v>
      </c>
      <c r="F5066">
        <v>6.54</v>
      </c>
      <c r="G5066">
        <v>12.6</v>
      </c>
      <c r="H5066">
        <v>1348.2</v>
      </c>
    </row>
    <row r="5067" spans="1:8" x14ac:dyDescent="0.35">
      <c r="A5067" t="s">
        <v>7</v>
      </c>
      <c r="B5067" t="s">
        <v>12</v>
      </c>
      <c r="C5067" t="s">
        <v>9</v>
      </c>
      <c r="D5067">
        <v>129</v>
      </c>
      <c r="E5067">
        <v>10</v>
      </c>
      <c r="F5067">
        <v>7.75</v>
      </c>
      <c r="G5067">
        <v>41.2</v>
      </c>
      <c r="H5067">
        <v>5314.8</v>
      </c>
    </row>
    <row r="5068" spans="1:8" x14ac:dyDescent="0.35">
      <c r="A5068" t="s">
        <v>6</v>
      </c>
      <c r="B5068" t="s">
        <v>12</v>
      </c>
      <c r="C5068" t="s">
        <v>9</v>
      </c>
      <c r="D5068">
        <v>203</v>
      </c>
      <c r="E5068">
        <v>2</v>
      </c>
      <c r="F5068">
        <v>0.99</v>
      </c>
      <c r="G5068">
        <v>66.73</v>
      </c>
      <c r="H5068">
        <v>13546.19</v>
      </c>
    </row>
    <row r="5069" spans="1:8" x14ac:dyDescent="0.35">
      <c r="A5069" t="s">
        <v>5</v>
      </c>
      <c r="B5069" t="s">
        <v>12</v>
      </c>
      <c r="C5069" t="s">
        <v>9</v>
      </c>
      <c r="D5069">
        <v>110</v>
      </c>
      <c r="E5069">
        <v>11</v>
      </c>
      <c r="F5069">
        <v>10</v>
      </c>
      <c r="G5069">
        <v>58.58</v>
      </c>
      <c r="H5069">
        <v>6443.8</v>
      </c>
    </row>
    <row r="5070" spans="1:8" x14ac:dyDescent="0.35">
      <c r="A5070" t="s">
        <v>8</v>
      </c>
      <c r="B5070" t="s">
        <v>12</v>
      </c>
      <c r="C5070" t="s">
        <v>9</v>
      </c>
      <c r="D5070">
        <v>204</v>
      </c>
      <c r="E5070">
        <v>3</v>
      </c>
      <c r="F5070">
        <v>1.47</v>
      </c>
      <c r="G5070">
        <v>16.13</v>
      </c>
      <c r="H5070">
        <v>3290.52</v>
      </c>
    </row>
    <row r="5071" spans="1:8" x14ac:dyDescent="0.35">
      <c r="A5071" t="s">
        <v>5</v>
      </c>
      <c r="B5071" t="s">
        <v>12</v>
      </c>
      <c r="C5071" t="s">
        <v>9</v>
      </c>
      <c r="D5071">
        <v>91</v>
      </c>
      <c r="E5071">
        <v>8</v>
      </c>
      <c r="F5071">
        <v>8.7899999999999991</v>
      </c>
      <c r="G5071">
        <v>47.81</v>
      </c>
      <c r="H5071">
        <v>4350.71</v>
      </c>
    </row>
    <row r="5072" spans="1:8" x14ac:dyDescent="0.35">
      <c r="A5072" t="s">
        <v>7</v>
      </c>
      <c r="B5072" t="s">
        <v>12</v>
      </c>
      <c r="C5072" t="s">
        <v>10</v>
      </c>
      <c r="D5072">
        <v>113</v>
      </c>
      <c r="E5072">
        <v>9</v>
      </c>
      <c r="F5072">
        <v>7.96</v>
      </c>
      <c r="G5072">
        <v>67.78</v>
      </c>
      <c r="H5072">
        <v>7659.14</v>
      </c>
    </row>
    <row r="5073" spans="1:8" x14ac:dyDescent="0.35">
      <c r="A5073" t="s">
        <v>6</v>
      </c>
      <c r="B5073" t="s">
        <v>12</v>
      </c>
      <c r="C5073" t="s">
        <v>11</v>
      </c>
      <c r="D5073">
        <v>109</v>
      </c>
      <c r="E5073">
        <v>10</v>
      </c>
      <c r="F5073">
        <v>9.17</v>
      </c>
      <c r="G5073">
        <v>13.83</v>
      </c>
      <c r="H5073">
        <v>1507.47</v>
      </c>
    </row>
    <row r="5074" spans="1:8" x14ac:dyDescent="0.35">
      <c r="A5074" t="s">
        <v>8</v>
      </c>
      <c r="B5074" t="s">
        <v>12</v>
      </c>
      <c r="C5074" t="s">
        <v>9</v>
      </c>
      <c r="D5074">
        <v>93</v>
      </c>
      <c r="E5074">
        <v>3</v>
      </c>
      <c r="F5074">
        <v>3.23</v>
      </c>
      <c r="G5074">
        <v>55.74</v>
      </c>
      <c r="H5074">
        <v>5183.82</v>
      </c>
    </row>
    <row r="5075" spans="1:8" x14ac:dyDescent="0.35">
      <c r="A5075" t="s">
        <v>6</v>
      </c>
      <c r="B5075" t="s">
        <v>12</v>
      </c>
      <c r="C5075" t="s">
        <v>9</v>
      </c>
      <c r="D5075">
        <v>55</v>
      </c>
      <c r="E5075">
        <v>3</v>
      </c>
      <c r="F5075">
        <v>5.45</v>
      </c>
      <c r="G5075">
        <v>60.04</v>
      </c>
      <c r="H5075">
        <v>3302.2</v>
      </c>
    </row>
    <row r="5076" spans="1:8" x14ac:dyDescent="0.35">
      <c r="A5076" t="s">
        <v>6</v>
      </c>
      <c r="B5076" t="s">
        <v>12</v>
      </c>
      <c r="C5076" t="s">
        <v>11</v>
      </c>
      <c r="D5076">
        <v>108</v>
      </c>
      <c r="E5076">
        <v>4</v>
      </c>
      <c r="F5076">
        <v>3.7</v>
      </c>
      <c r="G5076">
        <v>29.96</v>
      </c>
      <c r="H5076">
        <v>3235.68</v>
      </c>
    </row>
    <row r="5077" spans="1:8" x14ac:dyDescent="0.35">
      <c r="A5077" t="s">
        <v>5</v>
      </c>
      <c r="B5077" t="s">
        <v>12</v>
      </c>
      <c r="C5077" t="s">
        <v>9</v>
      </c>
      <c r="D5077">
        <v>227</v>
      </c>
      <c r="E5077">
        <v>12</v>
      </c>
      <c r="F5077">
        <v>5.29</v>
      </c>
      <c r="G5077">
        <v>33.46</v>
      </c>
      <c r="H5077">
        <v>7595.42</v>
      </c>
    </row>
    <row r="5078" spans="1:8" x14ac:dyDescent="0.35">
      <c r="A5078" t="s">
        <v>7</v>
      </c>
      <c r="B5078" t="s">
        <v>12</v>
      </c>
      <c r="C5078" t="s">
        <v>9</v>
      </c>
      <c r="D5078">
        <v>277</v>
      </c>
      <c r="E5078">
        <v>18</v>
      </c>
      <c r="F5078">
        <v>6.5</v>
      </c>
      <c r="G5078">
        <v>10.43</v>
      </c>
      <c r="H5078">
        <v>2889.11</v>
      </c>
    </row>
    <row r="5079" spans="1:8" x14ac:dyDescent="0.35">
      <c r="A5079" t="s">
        <v>8</v>
      </c>
      <c r="B5079" t="s">
        <v>12</v>
      </c>
      <c r="C5079" t="s">
        <v>9</v>
      </c>
      <c r="D5079">
        <v>125</v>
      </c>
      <c r="E5079">
        <v>6</v>
      </c>
      <c r="F5079">
        <v>4.8</v>
      </c>
      <c r="G5079">
        <v>46.25</v>
      </c>
      <c r="H5079">
        <v>5781.25</v>
      </c>
    </row>
    <row r="5080" spans="1:8" x14ac:dyDescent="0.35">
      <c r="A5080" t="s">
        <v>5</v>
      </c>
      <c r="B5080" t="s">
        <v>12</v>
      </c>
      <c r="C5080" t="s">
        <v>9</v>
      </c>
      <c r="D5080">
        <v>247</v>
      </c>
      <c r="E5080">
        <v>5</v>
      </c>
      <c r="F5080">
        <v>2.02</v>
      </c>
      <c r="G5080">
        <v>27.55</v>
      </c>
      <c r="H5080">
        <v>6804.85</v>
      </c>
    </row>
    <row r="5081" spans="1:8" x14ac:dyDescent="0.35">
      <c r="A5081" t="s">
        <v>6</v>
      </c>
      <c r="B5081" t="s">
        <v>12</v>
      </c>
      <c r="C5081" t="s">
        <v>9</v>
      </c>
      <c r="D5081">
        <v>120</v>
      </c>
      <c r="E5081">
        <v>7</v>
      </c>
      <c r="F5081">
        <v>5.83</v>
      </c>
      <c r="G5081">
        <v>23.5</v>
      </c>
      <c r="H5081">
        <v>2820</v>
      </c>
    </row>
    <row r="5082" spans="1:8" x14ac:dyDescent="0.35">
      <c r="A5082" t="s">
        <v>6</v>
      </c>
      <c r="B5082" t="s">
        <v>12</v>
      </c>
      <c r="C5082" t="s">
        <v>11</v>
      </c>
      <c r="D5082">
        <v>152</v>
      </c>
      <c r="E5082">
        <v>11</v>
      </c>
      <c r="F5082">
        <v>7.24</v>
      </c>
      <c r="G5082">
        <v>55.54</v>
      </c>
      <c r="H5082">
        <v>8442.08</v>
      </c>
    </row>
    <row r="5083" spans="1:8" x14ac:dyDescent="0.35">
      <c r="A5083" t="s">
        <v>6</v>
      </c>
      <c r="B5083" t="s">
        <v>12</v>
      </c>
      <c r="C5083" t="s">
        <v>11</v>
      </c>
      <c r="D5083">
        <v>259</v>
      </c>
      <c r="E5083">
        <v>4</v>
      </c>
      <c r="F5083">
        <v>1.54</v>
      </c>
      <c r="G5083">
        <v>36.57</v>
      </c>
      <c r="H5083">
        <v>9471.6299999999992</v>
      </c>
    </row>
    <row r="5084" spans="1:8" x14ac:dyDescent="0.35">
      <c r="A5084" t="s">
        <v>6</v>
      </c>
      <c r="B5084" t="s">
        <v>12</v>
      </c>
      <c r="C5084" t="s">
        <v>11</v>
      </c>
      <c r="D5084">
        <v>250</v>
      </c>
      <c r="E5084">
        <v>15</v>
      </c>
      <c r="F5084">
        <v>6</v>
      </c>
      <c r="G5084">
        <v>39.64</v>
      </c>
      <c r="H5084">
        <v>9910</v>
      </c>
    </row>
    <row r="5085" spans="1:8" x14ac:dyDescent="0.35">
      <c r="A5085" t="s">
        <v>8</v>
      </c>
      <c r="B5085" t="s">
        <v>12</v>
      </c>
      <c r="C5085" t="s">
        <v>9</v>
      </c>
      <c r="D5085">
        <v>227</v>
      </c>
      <c r="E5085">
        <v>15</v>
      </c>
      <c r="F5085">
        <v>6.61</v>
      </c>
      <c r="G5085">
        <v>39.5</v>
      </c>
      <c r="H5085">
        <v>8966.5</v>
      </c>
    </row>
    <row r="5086" spans="1:8" x14ac:dyDescent="0.35">
      <c r="A5086" t="s">
        <v>7</v>
      </c>
      <c r="B5086" t="s">
        <v>12</v>
      </c>
      <c r="C5086" t="s">
        <v>9</v>
      </c>
      <c r="D5086">
        <v>184</v>
      </c>
      <c r="E5086">
        <v>2</v>
      </c>
      <c r="F5086">
        <v>1.0900000000000001</v>
      </c>
      <c r="G5086">
        <v>66.06</v>
      </c>
      <c r="H5086">
        <v>12155.04</v>
      </c>
    </row>
    <row r="5087" spans="1:8" x14ac:dyDescent="0.35">
      <c r="A5087" t="s">
        <v>7</v>
      </c>
      <c r="B5087" t="s">
        <v>12</v>
      </c>
      <c r="C5087" t="s">
        <v>9</v>
      </c>
      <c r="D5087">
        <v>207</v>
      </c>
      <c r="E5087">
        <v>14</v>
      </c>
      <c r="F5087">
        <v>6.76</v>
      </c>
      <c r="G5087">
        <v>52.94</v>
      </c>
      <c r="H5087">
        <v>10958.58</v>
      </c>
    </row>
    <row r="5088" spans="1:8" x14ac:dyDescent="0.35">
      <c r="A5088" t="s">
        <v>6</v>
      </c>
      <c r="B5088" t="s">
        <v>12</v>
      </c>
      <c r="C5088" t="s">
        <v>11</v>
      </c>
      <c r="D5088">
        <v>175</v>
      </c>
      <c r="E5088">
        <v>7</v>
      </c>
      <c r="F5088">
        <v>4</v>
      </c>
      <c r="G5088">
        <v>43.14</v>
      </c>
      <c r="H5088">
        <v>7549.5</v>
      </c>
    </row>
    <row r="5089" spans="1:8" x14ac:dyDescent="0.35">
      <c r="A5089" t="s">
        <v>7</v>
      </c>
      <c r="B5089" t="s">
        <v>12</v>
      </c>
      <c r="C5089" t="s">
        <v>10</v>
      </c>
      <c r="D5089">
        <v>273</v>
      </c>
      <c r="E5089">
        <v>25</v>
      </c>
      <c r="F5089">
        <v>9.16</v>
      </c>
      <c r="G5089">
        <v>9.67</v>
      </c>
      <c r="H5089">
        <v>2639.91</v>
      </c>
    </row>
    <row r="5090" spans="1:8" x14ac:dyDescent="0.35">
      <c r="A5090" t="s">
        <v>6</v>
      </c>
      <c r="B5090" t="s">
        <v>12</v>
      </c>
      <c r="C5090" t="s">
        <v>11</v>
      </c>
      <c r="D5090">
        <v>254</v>
      </c>
      <c r="E5090">
        <v>0</v>
      </c>
      <c r="F5090">
        <v>0</v>
      </c>
      <c r="G5090">
        <v>42.44</v>
      </c>
      <c r="H5090">
        <v>10779.76</v>
      </c>
    </row>
    <row r="5091" spans="1:8" x14ac:dyDescent="0.35">
      <c r="A5091" t="s">
        <v>6</v>
      </c>
      <c r="B5091" t="s">
        <v>12</v>
      </c>
      <c r="C5091" t="s">
        <v>9</v>
      </c>
      <c r="D5091">
        <v>98</v>
      </c>
      <c r="E5091">
        <v>9</v>
      </c>
      <c r="F5091">
        <v>9.18</v>
      </c>
      <c r="G5091">
        <v>36.26</v>
      </c>
      <c r="H5091">
        <v>3553.48</v>
      </c>
    </row>
    <row r="5092" spans="1:8" x14ac:dyDescent="0.35">
      <c r="A5092" t="s">
        <v>7</v>
      </c>
      <c r="B5092" t="s">
        <v>12</v>
      </c>
      <c r="C5092" t="s">
        <v>10</v>
      </c>
      <c r="D5092">
        <v>289</v>
      </c>
      <c r="E5092">
        <v>16</v>
      </c>
      <c r="F5092">
        <v>5.54</v>
      </c>
      <c r="G5092">
        <v>65.86</v>
      </c>
      <c r="H5092">
        <v>19033.54</v>
      </c>
    </row>
    <row r="5093" spans="1:8" x14ac:dyDescent="0.35">
      <c r="A5093" t="s">
        <v>7</v>
      </c>
      <c r="B5093" t="s">
        <v>12</v>
      </c>
      <c r="C5093" t="s">
        <v>9</v>
      </c>
      <c r="D5093">
        <v>128</v>
      </c>
      <c r="E5093">
        <v>5</v>
      </c>
      <c r="F5093">
        <v>3.91</v>
      </c>
      <c r="G5093">
        <v>11.78</v>
      </c>
      <c r="H5093">
        <v>1507.84</v>
      </c>
    </row>
    <row r="5094" spans="1:8" x14ac:dyDescent="0.35">
      <c r="A5094" t="s">
        <v>7</v>
      </c>
      <c r="B5094" t="s">
        <v>12</v>
      </c>
      <c r="C5094" t="s">
        <v>10</v>
      </c>
      <c r="D5094">
        <v>182</v>
      </c>
      <c r="E5094">
        <v>3</v>
      </c>
      <c r="F5094">
        <v>1.65</v>
      </c>
      <c r="G5094">
        <v>68.25</v>
      </c>
      <c r="H5094">
        <v>12421.5</v>
      </c>
    </row>
    <row r="5095" spans="1:8" x14ac:dyDescent="0.35">
      <c r="A5095" t="s">
        <v>7</v>
      </c>
      <c r="B5095" t="s">
        <v>12</v>
      </c>
      <c r="C5095" t="s">
        <v>10</v>
      </c>
      <c r="D5095">
        <v>150</v>
      </c>
      <c r="E5095">
        <v>0</v>
      </c>
      <c r="F5095">
        <v>0</v>
      </c>
      <c r="G5095">
        <v>66.88</v>
      </c>
      <c r="H5095">
        <v>10032</v>
      </c>
    </row>
    <row r="5096" spans="1:8" x14ac:dyDescent="0.35">
      <c r="A5096" t="s">
        <v>6</v>
      </c>
      <c r="B5096" t="s">
        <v>12</v>
      </c>
      <c r="C5096" t="s">
        <v>9</v>
      </c>
      <c r="D5096">
        <v>297</v>
      </c>
      <c r="E5096">
        <v>4</v>
      </c>
      <c r="F5096">
        <v>1.35</v>
      </c>
      <c r="G5096">
        <v>25.82</v>
      </c>
      <c r="H5096">
        <v>7668.54</v>
      </c>
    </row>
    <row r="5097" spans="1:8" x14ac:dyDescent="0.35">
      <c r="A5097" t="s">
        <v>7</v>
      </c>
      <c r="B5097" t="s">
        <v>12</v>
      </c>
      <c r="C5097" t="s">
        <v>9</v>
      </c>
      <c r="D5097">
        <v>87</v>
      </c>
      <c r="E5097">
        <v>4</v>
      </c>
      <c r="F5097">
        <v>4.5999999999999996</v>
      </c>
      <c r="G5097">
        <v>31.03</v>
      </c>
      <c r="H5097">
        <v>2699.61</v>
      </c>
    </row>
    <row r="5098" spans="1:8" x14ac:dyDescent="0.35">
      <c r="A5098" t="s">
        <v>7</v>
      </c>
      <c r="B5098" t="s">
        <v>12</v>
      </c>
      <c r="C5098" t="s">
        <v>10</v>
      </c>
      <c r="D5098">
        <v>195</v>
      </c>
      <c r="E5098">
        <v>11</v>
      </c>
      <c r="F5098">
        <v>5.64</v>
      </c>
      <c r="G5098">
        <v>32.909999999999997</v>
      </c>
      <c r="H5098">
        <v>6417.45</v>
      </c>
    </row>
    <row r="5099" spans="1:8" x14ac:dyDescent="0.35">
      <c r="A5099" t="s">
        <v>6</v>
      </c>
      <c r="B5099" t="s">
        <v>12</v>
      </c>
      <c r="C5099" t="s">
        <v>11</v>
      </c>
      <c r="D5099">
        <v>68</v>
      </c>
      <c r="E5099">
        <v>2</v>
      </c>
      <c r="F5099">
        <v>2.94</v>
      </c>
      <c r="G5099">
        <v>42.02</v>
      </c>
      <c r="H5099">
        <v>2857.36</v>
      </c>
    </row>
    <row r="5100" spans="1:8" x14ac:dyDescent="0.35">
      <c r="A5100" t="s">
        <v>6</v>
      </c>
      <c r="B5100" t="s">
        <v>12</v>
      </c>
      <c r="C5100" t="s">
        <v>11</v>
      </c>
      <c r="D5100">
        <v>267</v>
      </c>
      <c r="E5100">
        <v>16</v>
      </c>
      <c r="F5100">
        <v>5.99</v>
      </c>
      <c r="G5100">
        <v>12.07</v>
      </c>
      <c r="H5100">
        <v>3222.69</v>
      </c>
    </row>
    <row r="5101" spans="1:8" x14ac:dyDescent="0.35">
      <c r="A5101" t="s">
        <v>7</v>
      </c>
      <c r="B5101" t="s">
        <v>12</v>
      </c>
      <c r="C5101" t="s">
        <v>10</v>
      </c>
      <c r="D5101">
        <v>254</v>
      </c>
      <c r="E5101">
        <v>2</v>
      </c>
      <c r="F5101">
        <v>0.79</v>
      </c>
      <c r="G5101">
        <v>61.69</v>
      </c>
      <c r="H5101">
        <v>15669.26</v>
      </c>
    </row>
    <row r="5102" spans="1:8" x14ac:dyDescent="0.35">
      <c r="A5102" t="s">
        <v>7</v>
      </c>
      <c r="B5102" t="s">
        <v>12</v>
      </c>
      <c r="C5102" t="s">
        <v>9</v>
      </c>
      <c r="D5102">
        <v>170</v>
      </c>
      <c r="E5102">
        <v>13</v>
      </c>
      <c r="F5102">
        <v>7.65</v>
      </c>
      <c r="G5102">
        <v>11.56</v>
      </c>
      <c r="H5102">
        <v>1965.2</v>
      </c>
    </row>
    <row r="5103" spans="1:8" x14ac:dyDescent="0.35">
      <c r="A5103" t="s">
        <v>7</v>
      </c>
      <c r="B5103" t="s">
        <v>12</v>
      </c>
      <c r="C5103" t="s">
        <v>10</v>
      </c>
      <c r="D5103">
        <v>170</v>
      </c>
      <c r="E5103">
        <v>3</v>
      </c>
      <c r="F5103">
        <v>1.76</v>
      </c>
      <c r="G5103">
        <v>14.19</v>
      </c>
      <c r="H5103">
        <v>2412.3000000000002</v>
      </c>
    </row>
    <row r="5104" spans="1:8" x14ac:dyDescent="0.35">
      <c r="A5104" t="s">
        <v>5</v>
      </c>
      <c r="B5104" t="s">
        <v>12</v>
      </c>
      <c r="C5104" t="s">
        <v>9</v>
      </c>
      <c r="D5104">
        <v>259</v>
      </c>
      <c r="E5104">
        <v>10</v>
      </c>
      <c r="F5104">
        <v>3.86</v>
      </c>
      <c r="G5104">
        <v>69.19</v>
      </c>
      <c r="H5104">
        <v>17920.21</v>
      </c>
    </row>
    <row r="5105" spans="1:8" x14ac:dyDescent="0.35">
      <c r="A5105" t="s">
        <v>7</v>
      </c>
      <c r="B5105" t="s">
        <v>12</v>
      </c>
      <c r="C5105" t="s">
        <v>9</v>
      </c>
      <c r="D5105">
        <v>201</v>
      </c>
      <c r="E5105">
        <v>2</v>
      </c>
      <c r="F5105">
        <v>1</v>
      </c>
      <c r="G5105">
        <v>26.02</v>
      </c>
      <c r="H5105">
        <v>5230.0200000000004</v>
      </c>
    </row>
    <row r="5106" spans="1:8" x14ac:dyDescent="0.35">
      <c r="A5106" t="s">
        <v>5</v>
      </c>
      <c r="B5106" t="s">
        <v>12</v>
      </c>
      <c r="C5106" t="s">
        <v>9</v>
      </c>
      <c r="D5106">
        <v>103</v>
      </c>
      <c r="E5106">
        <v>10</v>
      </c>
      <c r="F5106">
        <v>9.7100000000000009</v>
      </c>
      <c r="G5106">
        <v>55.32</v>
      </c>
      <c r="H5106">
        <v>5697.96</v>
      </c>
    </row>
    <row r="5107" spans="1:8" x14ac:dyDescent="0.35">
      <c r="A5107" t="s">
        <v>6</v>
      </c>
      <c r="B5107" t="s">
        <v>12</v>
      </c>
      <c r="C5107" t="s">
        <v>11</v>
      </c>
      <c r="D5107">
        <v>263</v>
      </c>
      <c r="E5107">
        <v>16</v>
      </c>
      <c r="F5107">
        <v>6.08</v>
      </c>
      <c r="G5107">
        <v>20.76</v>
      </c>
      <c r="H5107">
        <v>5459.88</v>
      </c>
    </row>
    <row r="5108" spans="1:8" x14ac:dyDescent="0.35">
      <c r="A5108" t="s">
        <v>6</v>
      </c>
      <c r="B5108" t="s">
        <v>12</v>
      </c>
      <c r="C5108" t="s">
        <v>11</v>
      </c>
      <c r="D5108">
        <v>280</v>
      </c>
      <c r="E5108">
        <v>14</v>
      </c>
      <c r="F5108">
        <v>5</v>
      </c>
      <c r="G5108">
        <v>10.38</v>
      </c>
      <c r="H5108">
        <v>2906.4</v>
      </c>
    </row>
    <row r="5109" spans="1:8" x14ac:dyDescent="0.35">
      <c r="A5109" t="s">
        <v>6</v>
      </c>
      <c r="B5109" t="s">
        <v>12</v>
      </c>
      <c r="C5109" t="s">
        <v>11</v>
      </c>
      <c r="D5109">
        <v>197</v>
      </c>
      <c r="E5109">
        <v>19</v>
      </c>
      <c r="F5109">
        <v>9.64</v>
      </c>
      <c r="G5109">
        <v>19.510000000000002</v>
      </c>
      <c r="H5109">
        <v>3843.47</v>
      </c>
    </row>
    <row r="5110" spans="1:8" x14ac:dyDescent="0.35">
      <c r="A5110" t="s">
        <v>7</v>
      </c>
      <c r="B5110" t="s">
        <v>12</v>
      </c>
      <c r="C5110" t="s">
        <v>10</v>
      </c>
      <c r="D5110">
        <v>84</v>
      </c>
      <c r="E5110">
        <v>0</v>
      </c>
      <c r="F5110">
        <v>0</v>
      </c>
      <c r="G5110">
        <v>60.9</v>
      </c>
      <c r="H5110">
        <v>5115.6000000000004</v>
      </c>
    </row>
    <row r="5111" spans="1:8" x14ac:dyDescent="0.35">
      <c r="A5111" t="s">
        <v>7</v>
      </c>
      <c r="B5111" t="s">
        <v>12</v>
      </c>
      <c r="C5111" t="s">
        <v>10</v>
      </c>
      <c r="D5111">
        <v>273</v>
      </c>
      <c r="E5111">
        <v>17</v>
      </c>
      <c r="F5111">
        <v>6.23</v>
      </c>
      <c r="G5111">
        <v>18.18</v>
      </c>
      <c r="H5111">
        <v>4963.1400000000003</v>
      </c>
    </row>
    <row r="5112" spans="1:8" x14ac:dyDescent="0.35">
      <c r="A5112" t="s">
        <v>6</v>
      </c>
      <c r="B5112" t="s">
        <v>12</v>
      </c>
      <c r="C5112" t="s">
        <v>9</v>
      </c>
      <c r="D5112">
        <v>149</v>
      </c>
      <c r="E5112">
        <v>6</v>
      </c>
      <c r="F5112">
        <v>4.03</v>
      </c>
      <c r="G5112">
        <v>11.14</v>
      </c>
      <c r="H5112">
        <v>1659.86</v>
      </c>
    </row>
    <row r="5113" spans="1:8" x14ac:dyDescent="0.35">
      <c r="A5113" t="s">
        <v>5</v>
      </c>
      <c r="B5113" t="s">
        <v>12</v>
      </c>
      <c r="C5113" t="s">
        <v>9</v>
      </c>
      <c r="D5113">
        <v>205</v>
      </c>
      <c r="E5113">
        <v>5</v>
      </c>
      <c r="F5113">
        <v>2.44</v>
      </c>
      <c r="G5113">
        <v>59.15</v>
      </c>
      <c r="H5113">
        <v>12125.75</v>
      </c>
    </row>
    <row r="5114" spans="1:8" x14ac:dyDescent="0.35">
      <c r="A5114" t="s">
        <v>5</v>
      </c>
      <c r="B5114" t="s">
        <v>12</v>
      </c>
      <c r="C5114" t="s">
        <v>9</v>
      </c>
      <c r="D5114">
        <v>104</v>
      </c>
      <c r="E5114">
        <v>7</v>
      </c>
      <c r="F5114">
        <v>6.73</v>
      </c>
      <c r="G5114">
        <v>59.67</v>
      </c>
      <c r="H5114">
        <v>6205.68</v>
      </c>
    </row>
    <row r="5115" spans="1:8" x14ac:dyDescent="0.35">
      <c r="A5115" t="s">
        <v>6</v>
      </c>
      <c r="B5115" t="s">
        <v>12</v>
      </c>
      <c r="C5115" t="s">
        <v>11</v>
      </c>
      <c r="D5115">
        <v>190</v>
      </c>
      <c r="E5115">
        <v>12</v>
      </c>
      <c r="F5115">
        <v>6.32</v>
      </c>
      <c r="G5115">
        <v>18.149999999999999</v>
      </c>
      <c r="H5115">
        <v>3448.5</v>
      </c>
    </row>
    <row r="5116" spans="1:8" x14ac:dyDescent="0.35">
      <c r="A5116" t="s">
        <v>8</v>
      </c>
      <c r="B5116" t="s">
        <v>12</v>
      </c>
      <c r="C5116" t="s">
        <v>9</v>
      </c>
      <c r="D5116">
        <v>180</v>
      </c>
      <c r="E5116">
        <v>3</v>
      </c>
      <c r="F5116">
        <v>1.67</v>
      </c>
      <c r="G5116">
        <v>34.99</v>
      </c>
      <c r="H5116">
        <v>6298.2</v>
      </c>
    </row>
    <row r="5117" spans="1:8" x14ac:dyDescent="0.35">
      <c r="A5117" t="s">
        <v>7</v>
      </c>
      <c r="B5117" t="s">
        <v>12</v>
      </c>
      <c r="C5117" t="s">
        <v>9</v>
      </c>
      <c r="D5117">
        <v>183</v>
      </c>
      <c r="E5117">
        <v>9</v>
      </c>
      <c r="F5117">
        <v>4.92</v>
      </c>
      <c r="G5117">
        <v>5.63</v>
      </c>
      <c r="H5117">
        <v>1030.29</v>
      </c>
    </row>
    <row r="5118" spans="1:8" x14ac:dyDescent="0.35">
      <c r="A5118" t="s">
        <v>7</v>
      </c>
      <c r="B5118" t="s">
        <v>12</v>
      </c>
      <c r="C5118" t="s">
        <v>10</v>
      </c>
      <c r="D5118">
        <v>181</v>
      </c>
      <c r="E5118">
        <v>8</v>
      </c>
      <c r="F5118">
        <v>4.42</v>
      </c>
      <c r="G5118">
        <v>69.41</v>
      </c>
      <c r="H5118">
        <v>12563.21</v>
      </c>
    </row>
    <row r="5119" spans="1:8" x14ac:dyDescent="0.35">
      <c r="A5119" t="s">
        <v>7</v>
      </c>
      <c r="B5119" t="s">
        <v>12</v>
      </c>
      <c r="C5119" t="s">
        <v>9</v>
      </c>
      <c r="D5119">
        <v>51</v>
      </c>
      <c r="E5119">
        <v>4</v>
      </c>
      <c r="F5119">
        <v>7.84</v>
      </c>
      <c r="G5119">
        <v>59.69</v>
      </c>
      <c r="H5119">
        <v>3044.19</v>
      </c>
    </row>
    <row r="5120" spans="1:8" x14ac:dyDescent="0.35">
      <c r="A5120" t="s">
        <v>6</v>
      </c>
      <c r="B5120" t="s">
        <v>12</v>
      </c>
      <c r="C5120" t="s">
        <v>11</v>
      </c>
      <c r="D5120">
        <v>101</v>
      </c>
      <c r="E5120">
        <v>9</v>
      </c>
      <c r="F5120">
        <v>8.91</v>
      </c>
      <c r="G5120">
        <v>22.95</v>
      </c>
      <c r="H5120">
        <v>2317.9499999999998</v>
      </c>
    </row>
    <row r="5121" spans="1:8" x14ac:dyDescent="0.35">
      <c r="A5121" t="s">
        <v>7</v>
      </c>
      <c r="B5121" t="s">
        <v>12</v>
      </c>
      <c r="C5121" t="s">
        <v>9</v>
      </c>
      <c r="D5121">
        <v>120</v>
      </c>
      <c r="E5121">
        <v>6</v>
      </c>
      <c r="F5121">
        <v>5</v>
      </c>
      <c r="G5121">
        <v>50.08</v>
      </c>
      <c r="H5121">
        <v>6009.6</v>
      </c>
    </row>
    <row r="5122" spans="1:8" x14ac:dyDescent="0.35">
      <c r="A5122" t="s">
        <v>6</v>
      </c>
      <c r="B5122" t="s">
        <v>12</v>
      </c>
      <c r="C5122" t="s">
        <v>11</v>
      </c>
      <c r="D5122">
        <v>296</v>
      </c>
      <c r="E5122">
        <v>5</v>
      </c>
      <c r="F5122">
        <v>1.69</v>
      </c>
      <c r="G5122">
        <v>55.85</v>
      </c>
      <c r="H5122">
        <v>16531.599999999999</v>
      </c>
    </row>
    <row r="5123" spans="1:8" x14ac:dyDescent="0.35">
      <c r="A5123" t="s">
        <v>5</v>
      </c>
      <c r="B5123" t="s">
        <v>12</v>
      </c>
      <c r="C5123" t="s">
        <v>9</v>
      </c>
      <c r="D5123">
        <v>150</v>
      </c>
      <c r="E5123">
        <v>2</v>
      </c>
      <c r="F5123">
        <v>1.33</v>
      </c>
      <c r="G5123">
        <v>45.11</v>
      </c>
      <c r="H5123">
        <v>6766.5</v>
      </c>
    </row>
    <row r="5124" spans="1:8" x14ac:dyDescent="0.35">
      <c r="A5124" t="s">
        <v>8</v>
      </c>
      <c r="B5124" t="s">
        <v>12</v>
      </c>
      <c r="C5124" t="s">
        <v>9</v>
      </c>
      <c r="D5124">
        <v>193</v>
      </c>
      <c r="E5124">
        <v>19</v>
      </c>
      <c r="F5124">
        <v>9.84</v>
      </c>
      <c r="G5124">
        <v>34.31</v>
      </c>
      <c r="H5124">
        <v>6621.83</v>
      </c>
    </row>
    <row r="5125" spans="1:8" x14ac:dyDescent="0.35">
      <c r="A5125" t="s">
        <v>8</v>
      </c>
      <c r="B5125" t="s">
        <v>12</v>
      </c>
      <c r="C5125" t="s">
        <v>9</v>
      </c>
      <c r="D5125">
        <v>250</v>
      </c>
      <c r="E5125">
        <v>8</v>
      </c>
      <c r="F5125">
        <v>3.2</v>
      </c>
      <c r="G5125">
        <v>60.53</v>
      </c>
      <c r="H5125">
        <v>15132.5</v>
      </c>
    </row>
    <row r="5126" spans="1:8" x14ac:dyDescent="0.35">
      <c r="A5126" t="s">
        <v>5</v>
      </c>
      <c r="B5126" t="s">
        <v>12</v>
      </c>
      <c r="C5126" t="s">
        <v>9</v>
      </c>
      <c r="D5126">
        <v>86</v>
      </c>
      <c r="E5126">
        <v>1</v>
      </c>
      <c r="F5126">
        <v>1.1599999999999999</v>
      </c>
      <c r="G5126">
        <v>62.35</v>
      </c>
      <c r="H5126">
        <v>5362.1</v>
      </c>
    </row>
    <row r="5127" spans="1:8" x14ac:dyDescent="0.35">
      <c r="A5127" t="s">
        <v>5</v>
      </c>
      <c r="B5127" t="s">
        <v>12</v>
      </c>
      <c r="C5127" t="s">
        <v>9</v>
      </c>
      <c r="D5127">
        <v>282</v>
      </c>
      <c r="E5127">
        <v>7</v>
      </c>
      <c r="F5127">
        <v>2.48</v>
      </c>
      <c r="G5127">
        <v>62.71</v>
      </c>
      <c r="H5127">
        <v>17684.22</v>
      </c>
    </row>
    <row r="5128" spans="1:8" x14ac:dyDescent="0.35">
      <c r="A5128" t="s">
        <v>7</v>
      </c>
      <c r="B5128" t="s">
        <v>12</v>
      </c>
      <c r="C5128" t="s">
        <v>10</v>
      </c>
      <c r="D5128">
        <v>218</v>
      </c>
      <c r="E5128">
        <v>12</v>
      </c>
      <c r="F5128">
        <v>5.5</v>
      </c>
      <c r="G5128">
        <v>57.65</v>
      </c>
      <c r="H5128">
        <v>12567.7</v>
      </c>
    </row>
    <row r="5129" spans="1:8" x14ac:dyDescent="0.35">
      <c r="A5129" t="s">
        <v>7</v>
      </c>
      <c r="B5129" t="s">
        <v>12</v>
      </c>
      <c r="C5129" t="s">
        <v>10</v>
      </c>
      <c r="D5129">
        <v>114</v>
      </c>
      <c r="E5129">
        <v>11</v>
      </c>
      <c r="F5129">
        <v>9.65</v>
      </c>
      <c r="G5129">
        <v>22.03</v>
      </c>
      <c r="H5129">
        <v>2511.42</v>
      </c>
    </row>
    <row r="5130" spans="1:8" x14ac:dyDescent="0.35">
      <c r="A5130" t="s">
        <v>6</v>
      </c>
      <c r="B5130" t="s">
        <v>12</v>
      </c>
      <c r="C5130" t="s">
        <v>11</v>
      </c>
      <c r="D5130">
        <v>202</v>
      </c>
      <c r="E5130">
        <v>5</v>
      </c>
      <c r="F5130">
        <v>2.48</v>
      </c>
      <c r="G5130">
        <v>63.24</v>
      </c>
      <c r="H5130">
        <v>12774.48</v>
      </c>
    </row>
    <row r="5131" spans="1:8" x14ac:dyDescent="0.35">
      <c r="A5131" t="s">
        <v>5</v>
      </c>
      <c r="B5131" t="s">
        <v>12</v>
      </c>
      <c r="C5131" t="s">
        <v>9</v>
      </c>
      <c r="D5131">
        <v>106</v>
      </c>
      <c r="E5131">
        <v>4</v>
      </c>
      <c r="F5131">
        <v>3.77</v>
      </c>
      <c r="G5131">
        <v>61.89</v>
      </c>
      <c r="H5131">
        <v>6560.34</v>
      </c>
    </row>
    <row r="5132" spans="1:8" x14ac:dyDescent="0.35">
      <c r="A5132" t="s">
        <v>6</v>
      </c>
      <c r="B5132" t="s">
        <v>12</v>
      </c>
      <c r="C5132" t="s">
        <v>9</v>
      </c>
      <c r="D5132">
        <v>96</v>
      </c>
      <c r="E5132">
        <v>3</v>
      </c>
      <c r="F5132">
        <v>3.12</v>
      </c>
      <c r="G5132">
        <v>8.68</v>
      </c>
      <c r="H5132">
        <v>833.28</v>
      </c>
    </row>
    <row r="5133" spans="1:8" x14ac:dyDescent="0.35">
      <c r="A5133" t="s">
        <v>7</v>
      </c>
      <c r="B5133" t="s">
        <v>12</v>
      </c>
      <c r="C5133" t="s">
        <v>9</v>
      </c>
      <c r="D5133">
        <v>221</v>
      </c>
      <c r="E5133">
        <v>0</v>
      </c>
      <c r="F5133">
        <v>0</v>
      </c>
      <c r="G5133">
        <v>50.36</v>
      </c>
      <c r="H5133">
        <v>11129.56</v>
      </c>
    </row>
    <row r="5134" spans="1:8" x14ac:dyDescent="0.35">
      <c r="A5134" t="s">
        <v>7</v>
      </c>
      <c r="B5134" t="s">
        <v>12</v>
      </c>
      <c r="C5134" t="s">
        <v>9</v>
      </c>
      <c r="D5134">
        <v>61</v>
      </c>
      <c r="E5134">
        <v>4</v>
      </c>
      <c r="F5134">
        <v>6.56</v>
      </c>
      <c r="G5134">
        <v>66.47</v>
      </c>
      <c r="H5134">
        <v>4054.67</v>
      </c>
    </row>
    <row r="5135" spans="1:8" x14ac:dyDescent="0.35">
      <c r="A5135" t="s">
        <v>6</v>
      </c>
      <c r="B5135" t="s">
        <v>12</v>
      </c>
      <c r="C5135" t="s">
        <v>11</v>
      </c>
      <c r="D5135">
        <v>243</v>
      </c>
      <c r="E5135">
        <v>11</v>
      </c>
      <c r="F5135">
        <v>4.53</v>
      </c>
      <c r="G5135">
        <v>10.29</v>
      </c>
      <c r="H5135">
        <v>2500.4699999999998</v>
      </c>
    </row>
    <row r="5136" spans="1:8" x14ac:dyDescent="0.35">
      <c r="A5136" t="s">
        <v>6</v>
      </c>
      <c r="B5136" t="s">
        <v>12</v>
      </c>
      <c r="C5136" t="s">
        <v>9</v>
      </c>
      <c r="D5136">
        <v>245</v>
      </c>
      <c r="E5136">
        <v>3</v>
      </c>
      <c r="F5136">
        <v>1.22</v>
      </c>
      <c r="G5136">
        <v>60.02</v>
      </c>
      <c r="H5136">
        <v>14704.9</v>
      </c>
    </row>
    <row r="5137" spans="1:8" x14ac:dyDescent="0.35">
      <c r="A5137" t="s">
        <v>6</v>
      </c>
      <c r="B5137" t="s">
        <v>12</v>
      </c>
      <c r="C5137" t="s">
        <v>11</v>
      </c>
      <c r="D5137">
        <v>261</v>
      </c>
      <c r="E5137">
        <v>6</v>
      </c>
      <c r="F5137">
        <v>2.2999999999999998</v>
      </c>
      <c r="G5137">
        <v>10.61</v>
      </c>
      <c r="H5137">
        <v>2769.21</v>
      </c>
    </row>
    <row r="5138" spans="1:8" x14ac:dyDescent="0.35">
      <c r="A5138" t="s">
        <v>7</v>
      </c>
      <c r="B5138" t="s">
        <v>12</v>
      </c>
      <c r="C5138" t="s">
        <v>9</v>
      </c>
      <c r="D5138">
        <v>250</v>
      </c>
      <c r="E5138">
        <v>9</v>
      </c>
      <c r="F5138">
        <v>3.6</v>
      </c>
      <c r="G5138">
        <v>43.43</v>
      </c>
      <c r="H5138">
        <v>10857.5</v>
      </c>
    </row>
    <row r="5139" spans="1:8" x14ac:dyDescent="0.35">
      <c r="A5139" t="s">
        <v>5</v>
      </c>
      <c r="B5139" t="s">
        <v>12</v>
      </c>
      <c r="C5139" t="s">
        <v>9</v>
      </c>
      <c r="D5139">
        <v>88</v>
      </c>
      <c r="E5139">
        <v>3</v>
      </c>
      <c r="F5139">
        <v>3.41</v>
      </c>
      <c r="G5139">
        <v>38.51</v>
      </c>
      <c r="H5139">
        <v>3388.88</v>
      </c>
    </row>
    <row r="5140" spans="1:8" x14ac:dyDescent="0.35">
      <c r="A5140" t="s">
        <v>7</v>
      </c>
      <c r="B5140" t="s">
        <v>12</v>
      </c>
      <c r="C5140" t="s">
        <v>9</v>
      </c>
      <c r="D5140">
        <v>265</v>
      </c>
      <c r="E5140">
        <v>8</v>
      </c>
      <c r="F5140">
        <v>3.02</v>
      </c>
      <c r="G5140">
        <v>27.66</v>
      </c>
      <c r="H5140">
        <v>7329.9</v>
      </c>
    </row>
    <row r="5141" spans="1:8" x14ac:dyDescent="0.35">
      <c r="A5141" t="s">
        <v>7</v>
      </c>
      <c r="B5141" t="s">
        <v>12</v>
      </c>
      <c r="C5141" t="s">
        <v>10</v>
      </c>
      <c r="D5141">
        <v>73</v>
      </c>
      <c r="E5141">
        <v>0</v>
      </c>
      <c r="F5141">
        <v>0</v>
      </c>
      <c r="G5141">
        <v>54.71</v>
      </c>
      <c r="H5141">
        <v>3993.83</v>
      </c>
    </row>
    <row r="5142" spans="1:8" x14ac:dyDescent="0.35">
      <c r="A5142" t="s">
        <v>6</v>
      </c>
      <c r="B5142" t="s">
        <v>12</v>
      </c>
      <c r="C5142" t="s">
        <v>11</v>
      </c>
      <c r="D5142">
        <v>251</v>
      </c>
      <c r="E5142">
        <v>13</v>
      </c>
      <c r="F5142">
        <v>5.18</v>
      </c>
      <c r="G5142">
        <v>40.26</v>
      </c>
      <c r="H5142">
        <v>10105.26</v>
      </c>
    </row>
    <row r="5143" spans="1:8" x14ac:dyDescent="0.35">
      <c r="A5143" t="s">
        <v>6</v>
      </c>
      <c r="B5143" t="s">
        <v>12</v>
      </c>
      <c r="C5143" t="s">
        <v>9</v>
      </c>
      <c r="D5143">
        <v>292</v>
      </c>
      <c r="E5143">
        <v>11</v>
      </c>
      <c r="F5143">
        <v>3.77</v>
      </c>
      <c r="G5143">
        <v>29.64</v>
      </c>
      <c r="H5143">
        <v>8654.8799999999992</v>
      </c>
    </row>
    <row r="5144" spans="1:8" x14ac:dyDescent="0.35">
      <c r="A5144" t="s">
        <v>7</v>
      </c>
      <c r="B5144" t="s">
        <v>12</v>
      </c>
      <c r="C5144" t="s">
        <v>10</v>
      </c>
      <c r="D5144">
        <v>287</v>
      </c>
      <c r="E5144">
        <v>26</v>
      </c>
      <c r="F5144">
        <v>9.06</v>
      </c>
      <c r="G5144">
        <v>52.47</v>
      </c>
      <c r="H5144">
        <v>15058.89</v>
      </c>
    </row>
    <row r="5145" spans="1:8" x14ac:dyDescent="0.35">
      <c r="A5145" t="s">
        <v>8</v>
      </c>
      <c r="B5145" t="s">
        <v>12</v>
      </c>
      <c r="C5145" t="s">
        <v>9</v>
      </c>
      <c r="D5145">
        <v>82</v>
      </c>
      <c r="E5145">
        <v>4</v>
      </c>
      <c r="F5145">
        <v>4.88</v>
      </c>
      <c r="G5145">
        <v>66.98</v>
      </c>
      <c r="H5145">
        <v>5492.36</v>
      </c>
    </row>
    <row r="5146" spans="1:8" x14ac:dyDescent="0.35">
      <c r="A5146" t="s">
        <v>8</v>
      </c>
      <c r="B5146" t="s">
        <v>12</v>
      </c>
      <c r="C5146" t="s">
        <v>9</v>
      </c>
      <c r="D5146">
        <v>185</v>
      </c>
      <c r="E5146">
        <v>13</v>
      </c>
      <c r="F5146">
        <v>7.03</v>
      </c>
      <c r="G5146">
        <v>29.67</v>
      </c>
      <c r="H5146">
        <v>5488.95</v>
      </c>
    </row>
    <row r="5147" spans="1:8" x14ac:dyDescent="0.35">
      <c r="A5147" t="s">
        <v>6</v>
      </c>
      <c r="B5147" t="s">
        <v>12</v>
      </c>
      <c r="C5147" t="s">
        <v>11</v>
      </c>
      <c r="D5147">
        <v>287</v>
      </c>
      <c r="E5147">
        <v>19</v>
      </c>
      <c r="F5147">
        <v>6.62</v>
      </c>
      <c r="G5147">
        <v>12.93</v>
      </c>
      <c r="H5147">
        <v>3710.91</v>
      </c>
    </row>
    <row r="5148" spans="1:8" x14ac:dyDescent="0.35">
      <c r="A5148" t="s">
        <v>7</v>
      </c>
      <c r="B5148" t="s">
        <v>12</v>
      </c>
      <c r="C5148" t="s">
        <v>9</v>
      </c>
      <c r="D5148">
        <v>57</v>
      </c>
      <c r="E5148">
        <v>0</v>
      </c>
      <c r="F5148">
        <v>0</v>
      </c>
      <c r="G5148">
        <v>58.81</v>
      </c>
      <c r="H5148">
        <v>3352.17</v>
      </c>
    </row>
    <row r="5149" spans="1:8" x14ac:dyDescent="0.35">
      <c r="A5149" t="s">
        <v>6</v>
      </c>
      <c r="B5149" t="s">
        <v>12</v>
      </c>
      <c r="C5149" t="s">
        <v>9</v>
      </c>
      <c r="D5149">
        <v>146</v>
      </c>
      <c r="E5149">
        <v>13</v>
      </c>
      <c r="F5149">
        <v>8.9</v>
      </c>
      <c r="G5149">
        <v>60.11</v>
      </c>
      <c r="H5149">
        <v>8776.06</v>
      </c>
    </row>
    <row r="5150" spans="1:8" x14ac:dyDescent="0.35">
      <c r="A5150" t="s">
        <v>7</v>
      </c>
      <c r="B5150" t="s">
        <v>12</v>
      </c>
      <c r="C5150" t="s">
        <v>9</v>
      </c>
      <c r="D5150">
        <v>136</v>
      </c>
      <c r="E5150">
        <v>2</v>
      </c>
      <c r="F5150">
        <v>1.47</v>
      </c>
      <c r="G5150">
        <v>43.02</v>
      </c>
      <c r="H5150">
        <v>5850.72</v>
      </c>
    </row>
    <row r="5151" spans="1:8" x14ac:dyDescent="0.35">
      <c r="A5151" t="s">
        <v>7</v>
      </c>
      <c r="B5151" t="s">
        <v>12</v>
      </c>
      <c r="C5151" t="s">
        <v>9</v>
      </c>
      <c r="D5151">
        <v>116</v>
      </c>
      <c r="E5151">
        <v>4</v>
      </c>
      <c r="F5151">
        <v>3.45</v>
      </c>
      <c r="G5151">
        <v>28.95</v>
      </c>
      <c r="H5151">
        <v>3358.2</v>
      </c>
    </row>
    <row r="5152" spans="1:8" x14ac:dyDescent="0.35">
      <c r="A5152" t="s">
        <v>7</v>
      </c>
      <c r="B5152" t="s">
        <v>12</v>
      </c>
      <c r="C5152" t="s">
        <v>9</v>
      </c>
      <c r="D5152">
        <v>96</v>
      </c>
      <c r="E5152">
        <v>5</v>
      </c>
      <c r="F5152">
        <v>5.21</v>
      </c>
      <c r="G5152">
        <v>41.93</v>
      </c>
      <c r="H5152">
        <v>4025.28</v>
      </c>
    </row>
    <row r="5153" spans="1:8" x14ac:dyDescent="0.35">
      <c r="A5153" t="s">
        <v>7</v>
      </c>
      <c r="B5153" t="s">
        <v>12</v>
      </c>
      <c r="C5153" t="s">
        <v>10</v>
      </c>
      <c r="D5153">
        <v>206</v>
      </c>
      <c r="E5153">
        <v>0</v>
      </c>
      <c r="F5153">
        <v>0</v>
      </c>
      <c r="G5153">
        <v>5.82</v>
      </c>
      <c r="H5153">
        <v>1198.92</v>
      </c>
    </row>
    <row r="5154" spans="1:8" x14ac:dyDescent="0.35">
      <c r="A5154" t="s">
        <v>6</v>
      </c>
      <c r="B5154" t="s">
        <v>12</v>
      </c>
      <c r="C5154" t="s">
        <v>9</v>
      </c>
      <c r="D5154">
        <v>169</v>
      </c>
      <c r="E5154">
        <v>3</v>
      </c>
      <c r="F5154">
        <v>1.78</v>
      </c>
      <c r="G5154">
        <v>59.31</v>
      </c>
      <c r="H5154">
        <v>10023.39</v>
      </c>
    </row>
    <row r="5155" spans="1:8" x14ac:dyDescent="0.35">
      <c r="A5155" t="s">
        <v>8</v>
      </c>
      <c r="B5155" t="s">
        <v>12</v>
      </c>
      <c r="C5155" t="s">
        <v>9</v>
      </c>
      <c r="D5155">
        <v>175</v>
      </c>
      <c r="E5155">
        <v>9</v>
      </c>
      <c r="F5155">
        <v>5.14</v>
      </c>
      <c r="G5155">
        <v>10.37</v>
      </c>
      <c r="H5155">
        <v>1814.75</v>
      </c>
    </row>
    <row r="5156" spans="1:8" x14ac:dyDescent="0.35">
      <c r="A5156" t="s">
        <v>6</v>
      </c>
      <c r="B5156" t="s">
        <v>12</v>
      </c>
      <c r="C5156" t="s">
        <v>9</v>
      </c>
      <c r="D5156">
        <v>218</v>
      </c>
      <c r="E5156">
        <v>5</v>
      </c>
      <c r="F5156">
        <v>2.29</v>
      </c>
      <c r="G5156">
        <v>13.42</v>
      </c>
      <c r="H5156">
        <v>2925.56</v>
      </c>
    </row>
    <row r="5157" spans="1:8" x14ac:dyDescent="0.35">
      <c r="A5157" t="s">
        <v>5</v>
      </c>
      <c r="B5157" t="s">
        <v>12</v>
      </c>
      <c r="C5157" t="s">
        <v>9</v>
      </c>
      <c r="D5157">
        <v>215</v>
      </c>
      <c r="E5157">
        <v>19</v>
      </c>
      <c r="F5157">
        <v>8.84</v>
      </c>
      <c r="G5157">
        <v>7.9</v>
      </c>
      <c r="H5157">
        <v>1698.5</v>
      </c>
    </row>
    <row r="5158" spans="1:8" x14ac:dyDescent="0.35">
      <c r="A5158" t="s">
        <v>6</v>
      </c>
      <c r="B5158" t="s">
        <v>12</v>
      </c>
      <c r="C5158" t="s">
        <v>9</v>
      </c>
      <c r="D5158">
        <v>266</v>
      </c>
      <c r="E5158">
        <v>16</v>
      </c>
      <c r="F5158">
        <v>6.02</v>
      </c>
      <c r="G5158">
        <v>30.27</v>
      </c>
      <c r="H5158">
        <v>8051.82</v>
      </c>
    </row>
    <row r="5159" spans="1:8" x14ac:dyDescent="0.35">
      <c r="A5159" t="s">
        <v>5</v>
      </c>
      <c r="B5159" t="s">
        <v>12</v>
      </c>
      <c r="C5159" t="s">
        <v>9</v>
      </c>
      <c r="D5159">
        <v>290</v>
      </c>
      <c r="E5159">
        <v>0</v>
      </c>
      <c r="F5159">
        <v>0</v>
      </c>
      <c r="G5159">
        <v>9.83</v>
      </c>
      <c r="H5159">
        <v>2850.7</v>
      </c>
    </row>
    <row r="5160" spans="1:8" x14ac:dyDescent="0.35">
      <c r="A5160" t="s">
        <v>6</v>
      </c>
      <c r="B5160" t="s">
        <v>12</v>
      </c>
      <c r="C5160" t="s">
        <v>11</v>
      </c>
      <c r="D5160">
        <v>188</v>
      </c>
      <c r="E5160">
        <v>18</v>
      </c>
      <c r="F5160">
        <v>9.57</v>
      </c>
      <c r="G5160">
        <v>9.11</v>
      </c>
      <c r="H5160">
        <v>1712.68</v>
      </c>
    </row>
    <row r="5161" spans="1:8" x14ac:dyDescent="0.35">
      <c r="A5161" t="s">
        <v>5</v>
      </c>
      <c r="B5161" t="s">
        <v>12</v>
      </c>
      <c r="C5161" t="s">
        <v>9</v>
      </c>
      <c r="D5161">
        <v>213</v>
      </c>
      <c r="E5161">
        <v>21</v>
      </c>
      <c r="F5161">
        <v>9.86</v>
      </c>
      <c r="G5161">
        <v>51.47</v>
      </c>
      <c r="H5161">
        <v>10963.11</v>
      </c>
    </row>
    <row r="5162" spans="1:8" x14ac:dyDescent="0.35">
      <c r="A5162" t="s">
        <v>7</v>
      </c>
      <c r="B5162" t="s">
        <v>12</v>
      </c>
      <c r="C5162" t="s">
        <v>9</v>
      </c>
      <c r="D5162">
        <v>267</v>
      </c>
      <c r="E5162">
        <v>8</v>
      </c>
      <c r="F5162">
        <v>3</v>
      </c>
      <c r="G5162">
        <v>67.59</v>
      </c>
      <c r="H5162">
        <v>18046.53</v>
      </c>
    </row>
    <row r="5163" spans="1:8" x14ac:dyDescent="0.35">
      <c r="A5163" t="s">
        <v>7</v>
      </c>
      <c r="B5163" t="s">
        <v>12</v>
      </c>
      <c r="C5163" t="s">
        <v>9</v>
      </c>
      <c r="D5163">
        <v>164</v>
      </c>
      <c r="E5163">
        <v>5</v>
      </c>
      <c r="F5163">
        <v>3.05</v>
      </c>
      <c r="G5163">
        <v>7.67</v>
      </c>
      <c r="H5163">
        <v>1257.8800000000001</v>
      </c>
    </row>
    <row r="5164" spans="1:8" x14ac:dyDescent="0.35">
      <c r="A5164" t="s">
        <v>6</v>
      </c>
      <c r="B5164" t="s">
        <v>12</v>
      </c>
      <c r="C5164" t="s">
        <v>11</v>
      </c>
      <c r="D5164">
        <v>180</v>
      </c>
      <c r="E5164">
        <v>12</v>
      </c>
      <c r="F5164">
        <v>6.67</v>
      </c>
      <c r="G5164">
        <v>19.07</v>
      </c>
      <c r="H5164">
        <v>3432.6</v>
      </c>
    </row>
    <row r="5165" spans="1:8" x14ac:dyDescent="0.35">
      <c r="A5165" t="s">
        <v>6</v>
      </c>
      <c r="B5165" t="s">
        <v>12</v>
      </c>
      <c r="C5165" t="s">
        <v>9</v>
      </c>
      <c r="D5165">
        <v>122</v>
      </c>
      <c r="E5165">
        <v>3</v>
      </c>
      <c r="F5165">
        <v>2.46</v>
      </c>
      <c r="G5165">
        <v>7.05</v>
      </c>
      <c r="H5165">
        <v>860.1</v>
      </c>
    </row>
    <row r="5166" spans="1:8" x14ac:dyDescent="0.35">
      <c r="A5166" t="s">
        <v>6</v>
      </c>
      <c r="B5166" t="s">
        <v>12</v>
      </c>
      <c r="C5166" t="s">
        <v>9</v>
      </c>
      <c r="D5166">
        <v>224</v>
      </c>
      <c r="E5166">
        <v>16</v>
      </c>
      <c r="F5166">
        <v>7.14</v>
      </c>
      <c r="G5166">
        <v>61.05</v>
      </c>
      <c r="H5166">
        <v>13675.2</v>
      </c>
    </row>
    <row r="5167" spans="1:8" x14ac:dyDescent="0.35">
      <c r="A5167" t="s">
        <v>7</v>
      </c>
      <c r="B5167" t="s">
        <v>12</v>
      </c>
      <c r="C5167" t="s">
        <v>10</v>
      </c>
      <c r="D5167">
        <v>81</v>
      </c>
      <c r="E5167">
        <v>3</v>
      </c>
      <c r="F5167">
        <v>3.7</v>
      </c>
      <c r="G5167">
        <v>55.64</v>
      </c>
      <c r="H5167">
        <v>4506.84</v>
      </c>
    </row>
    <row r="5168" spans="1:8" x14ac:dyDescent="0.35">
      <c r="A5168" t="s">
        <v>6</v>
      </c>
      <c r="B5168" t="s">
        <v>12</v>
      </c>
      <c r="C5168" t="s">
        <v>9</v>
      </c>
      <c r="D5168">
        <v>85</v>
      </c>
      <c r="E5168">
        <v>8</v>
      </c>
      <c r="F5168">
        <v>9.41</v>
      </c>
      <c r="G5168">
        <v>14.96</v>
      </c>
      <c r="H5168">
        <v>1271.5999999999999</v>
      </c>
    </row>
    <row r="5169" spans="1:8" x14ac:dyDescent="0.35">
      <c r="A5169" t="s">
        <v>7</v>
      </c>
      <c r="B5169" t="s">
        <v>12</v>
      </c>
      <c r="C5169" t="s">
        <v>10</v>
      </c>
      <c r="D5169">
        <v>98</v>
      </c>
      <c r="E5169">
        <v>4</v>
      </c>
      <c r="F5169">
        <v>4.08</v>
      </c>
      <c r="G5169">
        <v>5.07</v>
      </c>
      <c r="H5169">
        <v>496.86</v>
      </c>
    </row>
    <row r="5170" spans="1:8" x14ac:dyDescent="0.35">
      <c r="A5170" t="s">
        <v>7</v>
      </c>
      <c r="B5170" t="s">
        <v>12</v>
      </c>
      <c r="C5170" t="s">
        <v>10</v>
      </c>
      <c r="D5170">
        <v>126</v>
      </c>
      <c r="E5170">
        <v>2</v>
      </c>
      <c r="F5170">
        <v>1.59</v>
      </c>
      <c r="G5170">
        <v>7.89</v>
      </c>
      <c r="H5170">
        <v>994.14</v>
      </c>
    </row>
    <row r="5171" spans="1:8" x14ac:dyDescent="0.35">
      <c r="A5171" t="s">
        <v>8</v>
      </c>
      <c r="B5171" t="s">
        <v>12</v>
      </c>
      <c r="C5171" t="s">
        <v>9</v>
      </c>
      <c r="D5171">
        <v>277</v>
      </c>
      <c r="E5171">
        <v>2</v>
      </c>
      <c r="F5171">
        <v>0.72</v>
      </c>
      <c r="G5171">
        <v>11.61</v>
      </c>
      <c r="H5171">
        <v>3215.97</v>
      </c>
    </row>
    <row r="5172" spans="1:8" x14ac:dyDescent="0.35">
      <c r="A5172" t="s">
        <v>6</v>
      </c>
      <c r="B5172" t="s">
        <v>12</v>
      </c>
      <c r="C5172" t="s">
        <v>9</v>
      </c>
      <c r="D5172">
        <v>283</v>
      </c>
      <c r="E5172">
        <v>21</v>
      </c>
      <c r="F5172">
        <v>7.42</v>
      </c>
      <c r="G5172">
        <v>46.98</v>
      </c>
      <c r="H5172">
        <v>13295.34</v>
      </c>
    </row>
    <row r="5173" spans="1:8" x14ac:dyDescent="0.35">
      <c r="A5173" t="s">
        <v>8</v>
      </c>
      <c r="B5173" t="s">
        <v>12</v>
      </c>
      <c r="C5173" t="s">
        <v>9</v>
      </c>
      <c r="D5173">
        <v>259</v>
      </c>
      <c r="E5173">
        <v>7</v>
      </c>
      <c r="F5173">
        <v>2.7</v>
      </c>
      <c r="G5173">
        <v>68.989999999999995</v>
      </c>
      <c r="H5173">
        <v>17868.41</v>
      </c>
    </row>
    <row r="5174" spans="1:8" x14ac:dyDescent="0.35">
      <c r="A5174" t="s">
        <v>7</v>
      </c>
      <c r="B5174" t="s">
        <v>12</v>
      </c>
      <c r="C5174" t="s">
        <v>9</v>
      </c>
      <c r="D5174">
        <v>57</v>
      </c>
      <c r="E5174">
        <v>3</v>
      </c>
      <c r="F5174">
        <v>5.26</v>
      </c>
      <c r="G5174">
        <v>65.739999999999995</v>
      </c>
      <c r="H5174">
        <v>3747.18</v>
      </c>
    </row>
    <row r="5175" spans="1:8" x14ac:dyDescent="0.35">
      <c r="A5175" t="s">
        <v>7</v>
      </c>
      <c r="B5175" t="s">
        <v>12</v>
      </c>
      <c r="C5175" t="s">
        <v>10</v>
      </c>
      <c r="D5175">
        <v>242</v>
      </c>
      <c r="E5175">
        <v>15</v>
      </c>
      <c r="F5175">
        <v>6.2</v>
      </c>
      <c r="G5175">
        <v>65.650000000000006</v>
      </c>
      <c r="H5175">
        <v>15887.3</v>
      </c>
    </row>
    <row r="5176" spans="1:8" x14ac:dyDescent="0.35">
      <c r="A5176" t="s">
        <v>6</v>
      </c>
      <c r="B5176" t="s">
        <v>12</v>
      </c>
      <c r="C5176" t="s">
        <v>9</v>
      </c>
      <c r="D5176">
        <v>236</v>
      </c>
      <c r="E5176">
        <v>16</v>
      </c>
      <c r="F5176">
        <v>6.78</v>
      </c>
      <c r="G5176">
        <v>47.25</v>
      </c>
      <c r="H5176">
        <v>11151</v>
      </c>
    </row>
    <row r="5177" spans="1:8" x14ac:dyDescent="0.35">
      <c r="A5177" t="s">
        <v>7</v>
      </c>
      <c r="B5177" t="s">
        <v>12</v>
      </c>
      <c r="C5177" t="s">
        <v>9</v>
      </c>
      <c r="D5177">
        <v>197</v>
      </c>
      <c r="E5177">
        <v>12</v>
      </c>
      <c r="F5177">
        <v>6.09</v>
      </c>
      <c r="G5177">
        <v>67.84</v>
      </c>
      <c r="H5177">
        <v>13364.48</v>
      </c>
    </row>
    <row r="5178" spans="1:8" x14ac:dyDescent="0.35">
      <c r="A5178" t="s">
        <v>8</v>
      </c>
      <c r="B5178" t="s">
        <v>12</v>
      </c>
      <c r="C5178" t="s">
        <v>9</v>
      </c>
      <c r="D5178">
        <v>251</v>
      </c>
      <c r="E5178">
        <v>8</v>
      </c>
      <c r="F5178">
        <v>3.19</v>
      </c>
      <c r="G5178">
        <v>38.24</v>
      </c>
      <c r="H5178">
        <v>9598.24</v>
      </c>
    </row>
    <row r="5179" spans="1:8" x14ac:dyDescent="0.35">
      <c r="A5179" t="s">
        <v>5</v>
      </c>
      <c r="B5179" t="s">
        <v>12</v>
      </c>
      <c r="C5179" t="s">
        <v>9</v>
      </c>
      <c r="D5179">
        <v>242</v>
      </c>
      <c r="E5179">
        <v>13</v>
      </c>
      <c r="F5179">
        <v>5.37</v>
      </c>
      <c r="G5179">
        <v>22.29</v>
      </c>
      <c r="H5179">
        <v>5394.18</v>
      </c>
    </row>
    <row r="5180" spans="1:8" x14ac:dyDescent="0.35">
      <c r="A5180" t="s">
        <v>6</v>
      </c>
      <c r="B5180" t="s">
        <v>12</v>
      </c>
      <c r="C5180" t="s">
        <v>9</v>
      </c>
      <c r="D5180">
        <v>106</v>
      </c>
      <c r="E5180">
        <v>0</v>
      </c>
      <c r="F5180">
        <v>0</v>
      </c>
      <c r="G5180">
        <v>30.16</v>
      </c>
      <c r="H5180">
        <v>3196.96</v>
      </c>
    </row>
    <row r="5181" spans="1:8" x14ac:dyDescent="0.35">
      <c r="A5181" t="s">
        <v>6</v>
      </c>
      <c r="B5181" t="s">
        <v>12</v>
      </c>
      <c r="C5181" t="s">
        <v>11</v>
      </c>
      <c r="D5181">
        <v>158</v>
      </c>
      <c r="E5181">
        <v>11</v>
      </c>
      <c r="F5181">
        <v>6.96</v>
      </c>
      <c r="G5181">
        <v>60.11</v>
      </c>
      <c r="H5181">
        <v>9497.3799999999992</v>
      </c>
    </row>
    <row r="5182" spans="1:8" x14ac:dyDescent="0.35">
      <c r="A5182" t="s">
        <v>7</v>
      </c>
      <c r="B5182" t="s">
        <v>12</v>
      </c>
      <c r="C5182" t="s">
        <v>10</v>
      </c>
      <c r="D5182">
        <v>98</v>
      </c>
      <c r="E5182">
        <v>7</v>
      </c>
      <c r="F5182">
        <v>7.14</v>
      </c>
      <c r="G5182">
        <v>32.9</v>
      </c>
      <c r="H5182">
        <v>3224.2</v>
      </c>
    </row>
    <row r="5183" spans="1:8" x14ac:dyDescent="0.35">
      <c r="A5183" t="s">
        <v>5</v>
      </c>
      <c r="B5183" t="s">
        <v>12</v>
      </c>
      <c r="C5183" t="s">
        <v>9</v>
      </c>
      <c r="D5183">
        <v>93</v>
      </c>
      <c r="E5183">
        <v>6</v>
      </c>
      <c r="F5183">
        <v>6.45</v>
      </c>
      <c r="G5183">
        <v>44.52</v>
      </c>
      <c r="H5183">
        <v>4140.3599999999997</v>
      </c>
    </row>
    <row r="5184" spans="1:8" x14ac:dyDescent="0.35">
      <c r="A5184" t="s">
        <v>7</v>
      </c>
      <c r="B5184" t="s">
        <v>12</v>
      </c>
      <c r="C5184" t="s">
        <v>9</v>
      </c>
      <c r="D5184">
        <v>191</v>
      </c>
      <c r="E5184">
        <v>18</v>
      </c>
      <c r="F5184">
        <v>9.42</v>
      </c>
      <c r="G5184">
        <v>26.74</v>
      </c>
      <c r="H5184">
        <v>5107.34</v>
      </c>
    </row>
    <row r="5185" spans="1:8" x14ac:dyDescent="0.35">
      <c r="A5185" t="s">
        <v>7</v>
      </c>
      <c r="B5185" t="s">
        <v>12</v>
      </c>
      <c r="C5185" t="s">
        <v>10</v>
      </c>
      <c r="D5185">
        <v>66</v>
      </c>
      <c r="E5185">
        <v>4</v>
      </c>
      <c r="F5185">
        <v>6.06</v>
      </c>
      <c r="G5185">
        <v>43.58</v>
      </c>
      <c r="H5185">
        <v>2876.28</v>
      </c>
    </row>
    <row r="5186" spans="1:8" x14ac:dyDescent="0.35">
      <c r="A5186" t="s">
        <v>5</v>
      </c>
      <c r="B5186" t="s">
        <v>12</v>
      </c>
      <c r="C5186" t="s">
        <v>9</v>
      </c>
      <c r="D5186">
        <v>256</v>
      </c>
      <c r="E5186">
        <v>25</v>
      </c>
      <c r="F5186">
        <v>9.77</v>
      </c>
      <c r="G5186">
        <v>43.27</v>
      </c>
      <c r="H5186">
        <v>11077.12</v>
      </c>
    </row>
    <row r="5187" spans="1:8" x14ac:dyDescent="0.35">
      <c r="A5187" t="s">
        <v>6</v>
      </c>
      <c r="B5187" t="s">
        <v>12</v>
      </c>
      <c r="C5187" t="s">
        <v>11</v>
      </c>
      <c r="D5187">
        <v>278</v>
      </c>
      <c r="E5187">
        <v>24</v>
      </c>
      <c r="F5187">
        <v>8.6300000000000008</v>
      </c>
      <c r="G5187">
        <v>58.42</v>
      </c>
      <c r="H5187">
        <v>16240.76</v>
      </c>
    </row>
    <row r="5188" spans="1:8" x14ac:dyDescent="0.35">
      <c r="A5188" t="s">
        <v>7</v>
      </c>
      <c r="B5188" t="s">
        <v>12</v>
      </c>
      <c r="C5188" t="s">
        <v>9</v>
      </c>
      <c r="D5188">
        <v>88</v>
      </c>
      <c r="E5188">
        <v>7</v>
      </c>
      <c r="F5188">
        <v>7.95</v>
      </c>
      <c r="G5188">
        <v>45.54</v>
      </c>
      <c r="H5188">
        <v>4007.52</v>
      </c>
    </row>
    <row r="5189" spans="1:8" x14ac:dyDescent="0.35">
      <c r="A5189" t="s">
        <v>6</v>
      </c>
      <c r="B5189" t="s">
        <v>12</v>
      </c>
      <c r="C5189" t="s">
        <v>9</v>
      </c>
      <c r="D5189">
        <v>193</v>
      </c>
      <c r="E5189">
        <v>16</v>
      </c>
      <c r="F5189">
        <v>8.2899999999999991</v>
      </c>
      <c r="G5189">
        <v>36.75</v>
      </c>
      <c r="H5189">
        <v>7092.75</v>
      </c>
    </row>
    <row r="5190" spans="1:8" x14ac:dyDescent="0.35">
      <c r="A5190" t="s">
        <v>5</v>
      </c>
      <c r="B5190" t="s">
        <v>12</v>
      </c>
      <c r="C5190" t="s">
        <v>9</v>
      </c>
      <c r="D5190">
        <v>69</v>
      </c>
      <c r="E5190">
        <v>6</v>
      </c>
      <c r="F5190">
        <v>8.6999999999999993</v>
      </c>
      <c r="G5190">
        <v>9.0299999999999994</v>
      </c>
      <c r="H5190">
        <v>623.07000000000005</v>
      </c>
    </row>
    <row r="5191" spans="1:8" x14ac:dyDescent="0.35">
      <c r="A5191" t="s">
        <v>6</v>
      </c>
      <c r="B5191" t="s">
        <v>12</v>
      </c>
      <c r="C5191" t="s">
        <v>9</v>
      </c>
      <c r="D5191">
        <v>174</v>
      </c>
      <c r="E5191">
        <v>12</v>
      </c>
      <c r="F5191">
        <v>6.9</v>
      </c>
      <c r="G5191">
        <v>18.11</v>
      </c>
      <c r="H5191">
        <v>3151.14</v>
      </c>
    </row>
    <row r="5192" spans="1:8" x14ac:dyDescent="0.35">
      <c r="A5192" t="s">
        <v>8</v>
      </c>
      <c r="B5192" t="s">
        <v>12</v>
      </c>
      <c r="C5192" t="s">
        <v>9</v>
      </c>
      <c r="D5192">
        <v>224</v>
      </c>
      <c r="E5192">
        <v>8</v>
      </c>
      <c r="F5192">
        <v>3.57</v>
      </c>
      <c r="G5192">
        <v>39.799999999999997</v>
      </c>
      <c r="H5192">
        <v>8915.2000000000007</v>
      </c>
    </row>
    <row r="5193" spans="1:8" x14ac:dyDescent="0.35">
      <c r="A5193" t="s">
        <v>6</v>
      </c>
      <c r="B5193" t="s">
        <v>12</v>
      </c>
      <c r="C5193" t="s">
        <v>9</v>
      </c>
      <c r="D5193">
        <v>185</v>
      </c>
      <c r="E5193">
        <v>17</v>
      </c>
      <c r="F5193">
        <v>9.19</v>
      </c>
      <c r="G5193">
        <v>5.05</v>
      </c>
      <c r="H5193">
        <v>934.25</v>
      </c>
    </row>
    <row r="5194" spans="1:8" x14ac:dyDescent="0.35">
      <c r="A5194" t="s">
        <v>6</v>
      </c>
      <c r="B5194" t="s">
        <v>12</v>
      </c>
      <c r="C5194" t="s">
        <v>11</v>
      </c>
      <c r="D5194">
        <v>192</v>
      </c>
      <c r="E5194">
        <v>8</v>
      </c>
      <c r="F5194">
        <v>4.17</v>
      </c>
      <c r="G5194">
        <v>53.27</v>
      </c>
      <c r="H5194">
        <v>10227.84</v>
      </c>
    </row>
    <row r="5195" spans="1:8" x14ac:dyDescent="0.35">
      <c r="A5195" t="s">
        <v>7</v>
      </c>
      <c r="B5195" t="s">
        <v>12</v>
      </c>
      <c r="C5195" t="s">
        <v>9</v>
      </c>
      <c r="D5195">
        <v>63</v>
      </c>
      <c r="E5195">
        <v>0</v>
      </c>
      <c r="F5195">
        <v>0</v>
      </c>
      <c r="G5195">
        <v>50.22</v>
      </c>
      <c r="H5195">
        <v>3163.86</v>
      </c>
    </row>
    <row r="5196" spans="1:8" x14ac:dyDescent="0.35">
      <c r="A5196" t="s">
        <v>6</v>
      </c>
      <c r="B5196" t="s">
        <v>12</v>
      </c>
      <c r="C5196" t="s">
        <v>11</v>
      </c>
      <c r="D5196">
        <v>203</v>
      </c>
      <c r="E5196">
        <v>7</v>
      </c>
      <c r="F5196">
        <v>3.45</v>
      </c>
      <c r="G5196">
        <v>9.89</v>
      </c>
      <c r="H5196">
        <v>2007.67</v>
      </c>
    </row>
    <row r="5197" spans="1:8" x14ac:dyDescent="0.35">
      <c r="A5197" t="s">
        <v>7</v>
      </c>
      <c r="B5197" t="s">
        <v>12</v>
      </c>
      <c r="C5197" t="s">
        <v>9</v>
      </c>
      <c r="D5197">
        <v>89</v>
      </c>
      <c r="E5197">
        <v>0</v>
      </c>
      <c r="F5197">
        <v>0</v>
      </c>
      <c r="G5197">
        <v>24.48</v>
      </c>
      <c r="H5197">
        <v>2178.7199999999998</v>
      </c>
    </row>
    <row r="5198" spans="1:8" x14ac:dyDescent="0.35">
      <c r="A5198" t="s">
        <v>7</v>
      </c>
      <c r="B5198" t="s">
        <v>12</v>
      </c>
      <c r="C5198" t="s">
        <v>9</v>
      </c>
      <c r="D5198">
        <v>232</v>
      </c>
      <c r="E5198">
        <v>19</v>
      </c>
      <c r="F5198">
        <v>8.19</v>
      </c>
      <c r="G5198">
        <v>35.47</v>
      </c>
      <c r="H5198">
        <v>8229.0400000000009</v>
      </c>
    </row>
    <row r="5199" spans="1:8" x14ac:dyDescent="0.35">
      <c r="A5199" t="s">
        <v>7</v>
      </c>
      <c r="B5199" t="s">
        <v>12</v>
      </c>
      <c r="C5199" t="s">
        <v>9</v>
      </c>
      <c r="D5199">
        <v>224</v>
      </c>
      <c r="E5199">
        <v>9</v>
      </c>
      <c r="F5199">
        <v>4.0199999999999996</v>
      </c>
      <c r="G5199">
        <v>16.079999999999998</v>
      </c>
      <c r="H5199">
        <v>3601.92</v>
      </c>
    </row>
    <row r="5200" spans="1:8" x14ac:dyDescent="0.35">
      <c r="A5200" t="s">
        <v>8</v>
      </c>
      <c r="B5200" t="s">
        <v>12</v>
      </c>
      <c r="C5200" t="s">
        <v>9</v>
      </c>
      <c r="D5200">
        <v>185</v>
      </c>
      <c r="E5200">
        <v>1</v>
      </c>
      <c r="F5200">
        <v>0.54</v>
      </c>
      <c r="G5200">
        <v>41.33</v>
      </c>
      <c r="H5200">
        <v>7646.05</v>
      </c>
    </row>
    <row r="5201" spans="1:8" x14ac:dyDescent="0.35">
      <c r="A5201" t="s">
        <v>7</v>
      </c>
      <c r="B5201" t="s">
        <v>12</v>
      </c>
      <c r="C5201" t="s">
        <v>9</v>
      </c>
      <c r="D5201">
        <v>98</v>
      </c>
      <c r="E5201">
        <v>3</v>
      </c>
      <c r="F5201">
        <v>3.06</v>
      </c>
      <c r="G5201">
        <v>65.8</v>
      </c>
      <c r="H5201">
        <v>6448.4</v>
      </c>
    </row>
    <row r="5202" spans="1:8" x14ac:dyDescent="0.35">
      <c r="A5202" t="s">
        <v>7</v>
      </c>
      <c r="B5202" t="s">
        <v>12</v>
      </c>
      <c r="C5202" t="s">
        <v>9</v>
      </c>
      <c r="D5202">
        <v>165</v>
      </c>
      <c r="E5202">
        <v>5</v>
      </c>
      <c r="F5202">
        <v>3.03</v>
      </c>
      <c r="G5202">
        <v>67.59</v>
      </c>
      <c r="H5202">
        <v>11152.35</v>
      </c>
    </row>
    <row r="5203" spans="1:8" x14ac:dyDescent="0.35">
      <c r="A5203" t="s">
        <v>8</v>
      </c>
      <c r="B5203" t="s">
        <v>12</v>
      </c>
      <c r="C5203" t="s">
        <v>9</v>
      </c>
      <c r="D5203">
        <v>226</v>
      </c>
      <c r="E5203">
        <v>0</v>
      </c>
      <c r="F5203">
        <v>0</v>
      </c>
      <c r="G5203">
        <v>55.71</v>
      </c>
      <c r="H5203">
        <v>12590.46</v>
      </c>
    </row>
    <row r="5204" spans="1:8" x14ac:dyDescent="0.35">
      <c r="A5204" t="s">
        <v>7</v>
      </c>
      <c r="B5204" t="s">
        <v>12</v>
      </c>
      <c r="C5204" t="s">
        <v>10</v>
      </c>
      <c r="D5204">
        <v>213</v>
      </c>
      <c r="E5204">
        <v>12</v>
      </c>
      <c r="F5204">
        <v>5.63</v>
      </c>
      <c r="G5204">
        <v>58.25</v>
      </c>
      <c r="H5204">
        <v>12407.25</v>
      </c>
    </row>
    <row r="5205" spans="1:8" x14ac:dyDescent="0.35">
      <c r="A5205" t="s">
        <v>7</v>
      </c>
      <c r="B5205" t="s">
        <v>12</v>
      </c>
      <c r="C5205" t="s">
        <v>10</v>
      </c>
      <c r="D5205">
        <v>141</v>
      </c>
      <c r="E5205">
        <v>13</v>
      </c>
      <c r="F5205">
        <v>9.2200000000000006</v>
      </c>
      <c r="G5205">
        <v>47.39</v>
      </c>
      <c r="H5205">
        <v>6681.99</v>
      </c>
    </row>
    <row r="5206" spans="1:8" x14ac:dyDescent="0.35">
      <c r="A5206" t="s">
        <v>7</v>
      </c>
      <c r="B5206" t="s">
        <v>12</v>
      </c>
      <c r="C5206" t="s">
        <v>9</v>
      </c>
      <c r="D5206">
        <v>187</v>
      </c>
      <c r="E5206">
        <v>18</v>
      </c>
      <c r="F5206">
        <v>9.6300000000000008</v>
      </c>
      <c r="G5206">
        <v>33.159999999999997</v>
      </c>
      <c r="H5206">
        <v>6200.92</v>
      </c>
    </row>
    <row r="5207" spans="1:8" x14ac:dyDescent="0.35">
      <c r="A5207" t="s">
        <v>5</v>
      </c>
      <c r="B5207" t="s">
        <v>12</v>
      </c>
      <c r="C5207" t="s">
        <v>9</v>
      </c>
      <c r="D5207">
        <v>273</v>
      </c>
      <c r="E5207">
        <v>9</v>
      </c>
      <c r="F5207">
        <v>3.3</v>
      </c>
      <c r="G5207">
        <v>58.55</v>
      </c>
      <c r="H5207">
        <v>15984.15</v>
      </c>
    </row>
    <row r="5208" spans="1:8" x14ac:dyDescent="0.35">
      <c r="A5208" t="s">
        <v>6</v>
      </c>
      <c r="B5208" t="s">
        <v>12</v>
      </c>
      <c r="C5208" t="s">
        <v>11</v>
      </c>
      <c r="D5208">
        <v>142</v>
      </c>
      <c r="E5208">
        <v>2</v>
      </c>
      <c r="F5208">
        <v>1.41</v>
      </c>
      <c r="G5208">
        <v>67.569999999999993</v>
      </c>
      <c r="H5208">
        <v>9594.94</v>
      </c>
    </row>
    <row r="5209" spans="1:8" x14ac:dyDescent="0.35">
      <c r="A5209" t="s">
        <v>8</v>
      </c>
      <c r="B5209" t="s">
        <v>12</v>
      </c>
      <c r="C5209" t="s">
        <v>9</v>
      </c>
      <c r="D5209">
        <v>136</v>
      </c>
      <c r="E5209">
        <v>10</v>
      </c>
      <c r="F5209">
        <v>7.35</v>
      </c>
      <c r="G5209">
        <v>58.29</v>
      </c>
      <c r="H5209">
        <v>7927.44</v>
      </c>
    </row>
    <row r="5210" spans="1:8" x14ac:dyDescent="0.35">
      <c r="A5210" t="s">
        <v>7</v>
      </c>
      <c r="B5210" t="s">
        <v>12</v>
      </c>
      <c r="C5210" t="s">
        <v>10</v>
      </c>
      <c r="D5210">
        <v>263</v>
      </c>
      <c r="E5210">
        <v>11</v>
      </c>
      <c r="F5210">
        <v>4.18</v>
      </c>
      <c r="G5210">
        <v>62.01</v>
      </c>
      <c r="H5210">
        <v>16308.63</v>
      </c>
    </row>
    <row r="5211" spans="1:8" x14ac:dyDescent="0.35">
      <c r="A5211" t="s">
        <v>6</v>
      </c>
      <c r="B5211" t="s">
        <v>12</v>
      </c>
      <c r="C5211" t="s">
        <v>11</v>
      </c>
      <c r="D5211">
        <v>205</v>
      </c>
      <c r="E5211">
        <v>20</v>
      </c>
      <c r="F5211">
        <v>9.76</v>
      </c>
      <c r="G5211">
        <v>41.79</v>
      </c>
      <c r="H5211">
        <v>8566.9500000000007</v>
      </c>
    </row>
    <row r="5212" spans="1:8" x14ac:dyDescent="0.35">
      <c r="A5212" t="s">
        <v>5</v>
      </c>
      <c r="B5212" t="s">
        <v>12</v>
      </c>
      <c r="C5212" t="s">
        <v>9</v>
      </c>
      <c r="D5212">
        <v>295</v>
      </c>
      <c r="E5212">
        <v>6</v>
      </c>
      <c r="F5212">
        <v>2.0299999999999998</v>
      </c>
      <c r="G5212">
        <v>10.81</v>
      </c>
      <c r="H5212">
        <v>3188.95</v>
      </c>
    </row>
    <row r="5213" spans="1:8" x14ac:dyDescent="0.35">
      <c r="A5213" t="s">
        <v>7</v>
      </c>
      <c r="B5213" t="s">
        <v>12</v>
      </c>
      <c r="C5213" t="s">
        <v>10</v>
      </c>
      <c r="D5213">
        <v>192</v>
      </c>
      <c r="E5213">
        <v>14</v>
      </c>
      <c r="F5213">
        <v>7.29</v>
      </c>
      <c r="G5213">
        <v>28.99</v>
      </c>
      <c r="H5213">
        <v>5566.08</v>
      </c>
    </row>
    <row r="5214" spans="1:8" x14ac:dyDescent="0.35">
      <c r="A5214" t="s">
        <v>5</v>
      </c>
      <c r="B5214" t="s">
        <v>12</v>
      </c>
      <c r="C5214" t="s">
        <v>9</v>
      </c>
      <c r="D5214">
        <v>68</v>
      </c>
      <c r="E5214">
        <v>3</v>
      </c>
      <c r="F5214">
        <v>4.41</v>
      </c>
      <c r="G5214">
        <v>19.010000000000002</v>
      </c>
      <c r="H5214">
        <v>1292.68</v>
      </c>
    </row>
    <row r="5215" spans="1:8" x14ac:dyDescent="0.35">
      <c r="A5215" t="s">
        <v>6</v>
      </c>
      <c r="B5215" t="s">
        <v>12</v>
      </c>
      <c r="C5215" t="s">
        <v>9</v>
      </c>
      <c r="D5215">
        <v>298</v>
      </c>
      <c r="E5215">
        <v>8</v>
      </c>
      <c r="F5215">
        <v>2.68</v>
      </c>
      <c r="G5215">
        <v>24.62</v>
      </c>
      <c r="H5215">
        <v>7336.76</v>
      </c>
    </row>
    <row r="5216" spans="1:8" x14ac:dyDescent="0.35">
      <c r="A5216" t="s">
        <v>6</v>
      </c>
      <c r="B5216" t="s">
        <v>12</v>
      </c>
      <c r="C5216" t="s">
        <v>11</v>
      </c>
      <c r="D5216">
        <v>276</v>
      </c>
      <c r="E5216">
        <v>14</v>
      </c>
      <c r="F5216">
        <v>5.07</v>
      </c>
      <c r="G5216">
        <v>69.02</v>
      </c>
      <c r="H5216">
        <v>19049.52</v>
      </c>
    </row>
    <row r="5217" spans="1:8" x14ac:dyDescent="0.35">
      <c r="A5217" t="s">
        <v>6</v>
      </c>
      <c r="B5217" t="s">
        <v>12</v>
      </c>
      <c r="C5217" t="s">
        <v>11</v>
      </c>
      <c r="D5217">
        <v>241</v>
      </c>
      <c r="E5217">
        <v>21</v>
      </c>
      <c r="F5217">
        <v>8.7100000000000009</v>
      </c>
      <c r="G5217">
        <v>40.31</v>
      </c>
      <c r="H5217">
        <v>9714.7099999999991</v>
      </c>
    </row>
    <row r="5218" spans="1:8" x14ac:dyDescent="0.35">
      <c r="A5218" t="s">
        <v>6</v>
      </c>
      <c r="B5218" t="s">
        <v>12</v>
      </c>
      <c r="C5218" t="s">
        <v>9</v>
      </c>
      <c r="D5218">
        <v>218</v>
      </c>
      <c r="E5218">
        <v>10</v>
      </c>
      <c r="F5218">
        <v>4.59</v>
      </c>
      <c r="G5218">
        <v>9.23</v>
      </c>
      <c r="H5218">
        <v>2012.14</v>
      </c>
    </row>
    <row r="5219" spans="1:8" x14ac:dyDescent="0.35">
      <c r="A5219" t="s">
        <v>8</v>
      </c>
      <c r="B5219" t="s">
        <v>12</v>
      </c>
      <c r="C5219" t="s">
        <v>9</v>
      </c>
      <c r="D5219">
        <v>258</v>
      </c>
      <c r="E5219">
        <v>12</v>
      </c>
      <c r="F5219">
        <v>4.6500000000000004</v>
      </c>
      <c r="G5219">
        <v>36.049999999999997</v>
      </c>
      <c r="H5219">
        <v>9300.9</v>
      </c>
    </row>
    <row r="5220" spans="1:8" x14ac:dyDescent="0.35">
      <c r="A5220" t="s">
        <v>8</v>
      </c>
      <c r="B5220" t="s">
        <v>12</v>
      </c>
      <c r="C5220" t="s">
        <v>9</v>
      </c>
      <c r="D5220">
        <v>102</v>
      </c>
      <c r="E5220">
        <v>0</v>
      </c>
      <c r="F5220">
        <v>0</v>
      </c>
      <c r="G5220">
        <v>16.43</v>
      </c>
      <c r="H5220">
        <v>1675.86</v>
      </c>
    </row>
    <row r="5221" spans="1:8" x14ac:dyDescent="0.35">
      <c r="A5221" t="s">
        <v>7</v>
      </c>
      <c r="B5221" t="s">
        <v>12</v>
      </c>
      <c r="C5221" t="s">
        <v>10</v>
      </c>
      <c r="D5221">
        <v>179</v>
      </c>
      <c r="E5221">
        <v>9</v>
      </c>
      <c r="F5221">
        <v>5.03</v>
      </c>
      <c r="G5221">
        <v>37.06</v>
      </c>
      <c r="H5221">
        <v>6633.74</v>
      </c>
    </row>
    <row r="5222" spans="1:8" x14ac:dyDescent="0.35">
      <c r="A5222" t="s">
        <v>6</v>
      </c>
      <c r="B5222" t="s">
        <v>12</v>
      </c>
      <c r="C5222" t="s">
        <v>9</v>
      </c>
      <c r="D5222">
        <v>117</v>
      </c>
      <c r="E5222">
        <v>8</v>
      </c>
      <c r="F5222">
        <v>6.84</v>
      </c>
      <c r="G5222">
        <v>20.22</v>
      </c>
      <c r="H5222">
        <v>2365.7399999999998</v>
      </c>
    </row>
    <row r="5223" spans="1:8" x14ac:dyDescent="0.35">
      <c r="A5223" t="s">
        <v>6</v>
      </c>
      <c r="B5223" t="s">
        <v>12</v>
      </c>
      <c r="C5223" t="s">
        <v>9</v>
      </c>
      <c r="D5223">
        <v>165</v>
      </c>
      <c r="E5223">
        <v>15</v>
      </c>
      <c r="F5223">
        <v>9.09</v>
      </c>
      <c r="G5223">
        <v>62.4</v>
      </c>
      <c r="H5223">
        <v>10296</v>
      </c>
    </row>
    <row r="5224" spans="1:8" x14ac:dyDescent="0.35">
      <c r="A5224" t="s">
        <v>7</v>
      </c>
      <c r="B5224" t="s">
        <v>12</v>
      </c>
      <c r="C5224" t="s">
        <v>10</v>
      </c>
      <c r="D5224">
        <v>87</v>
      </c>
      <c r="E5224">
        <v>3</v>
      </c>
      <c r="F5224">
        <v>3.45</v>
      </c>
      <c r="G5224">
        <v>5.7</v>
      </c>
      <c r="H5224">
        <v>495.9</v>
      </c>
    </row>
    <row r="5225" spans="1:8" x14ac:dyDescent="0.35">
      <c r="A5225" t="s">
        <v>6</v>
      </c>
      <c r="B5225" t="s">
        <v>12</v>
      </c>
      <c r="C5225" t="s">
        <v>9</v>
      </c>
      <c r="D5225">
        <v>207</v>
      </c>
      <c r="E5225">
        <v>13</v>
      </c>
      <c r="F5225">
        <v>6.28</v>
      </c>
      <c r="G5225">
        <v>19.48</v>
      </c>
      <c r="H5225">
        <v>4032.36</v>
      </c>
    </row>
    <row r="5226" spans="1:8" x14ac:dyDescent="0.35">
      <c r="A5226" t="s">
        <v>6</v>
      </c>
      <c r="B5226" t="s">
        <v>12</v>
      </c>
      <c r="C5226" t="s">
        <v>9</v>
      </c>
      <c r="D5226">
        <v>123</v>
      </c>
      <c r="E5226">
        <v>0</v>
      </c>
      <c r="F5226">
        <v>0</v>
      </c>
      <c r="G5226">
        <v>16.149999999999999</v>
      </c>
      <c r="H5226">
        <v>1986.45</v>
      </c>
    </row>
    <row r="5227" spans="1:8" x14ac:dyDescent="0.35">
      <c r="A5227" t="s">
        <v>6</v>
      </c>
      <c r="B5227" t="s">
        <v>12</v>
      </c>
      <c r="C5227" t="s">
        <v>11</v>
      </c>
      <c r="D5227">
        <v>164</v>
      </c>
      <c r="E5227">
        <v>6</v>
      </c>
      <c r="F5227">
        <v>3.66</v>
      </c>
      <c r="G5227">
        <v>65.31</v>
      </c>
      <c r="H5227">
        <v>10710.84</v>
      </c>
    </row>
    <row r="5228" spans="1:8" x14ac:dyDescent="0.35">
      <c r="A5228" t="s">
        <v>8</v>
      </c>
      <c r="B5228" t="s">
        <v>12</v>
      </c>
      <c r="C5228" t="s">
        <v>9</v>
      </c>
      <c r="D5228">
        <v>181</v>
      </c>
      <c r="E5228">
        <v>1</v>
      </c>
      <c r="F5228">
        <v>0.55000000000000004</v>
      </c>
      <c r="G5228">
        <v>25.39</v>
      </c>
      <c r="H5228">
        <v>4595.59</v>
      </c>
    </row>
    <row r="5229" spans="1:8" x14ac:dyDescent="0.35">
      <c r="A5229" t="s">
        <v>5</v>
      </c>
      <c r="B5229" t="s">
        <v>12</v>
      </c>
      <c r="C5229" t="s">
        <v>9</v>
      </c>
      <c r="D5229">
        <v>194</v>
      </c>
      <c r="E5229">
        <v>10</v>
      </c>
      <c r="F5229">
        <v>5.15</v>
      </c>
      <c r="G5229">
        <v>53.39</v>
      </c>
      <c r="H5229">
        <v>10357.66</v>
      </c>
    </row>
    <row r="5230" spans="1:8" x14ac:dyDescent="0.35">
      <c r="A5230" t="s">
        <v>7</v>
      </c>
      <c r="B5230" t="s">
        <v>12</v>
      </c>
      <c r="C5230" t="s">
        <v>10</v>
      </c>
      <c r="D5230">
        <v>292</v>
      </c>
      <c r="E5230">
        <v>26</v>
      </c>
      <c r="F5230">
        <v>8.9</v>
      </c>
      <c r="G5230">
        <v>18.489999999999998</v>
      </c>
      <c r="H5230">
        <v>5399.08</v>
      </c>
    </row>
    <row r="5231" spans="1:8" x14ac:dyDescent="0.35">
      <c r="A5231" t="s">
        <v>7</v>
      </c>
      <c r="B5231" t="s">
        <v>12</v>
      </c>
      <c r="C5231" t="s">
        <v>10</v>
      </c>
      <c r="D5231">
        <v>237</v>
      </c>
      <c r="E5231">
        <v>14</v>
      </c>
      <c r="F5231">
        <v>5.91</v>
      </c>
      <c r="G5231">
        <v>44.03</v>
      </c>
      <c r="H5231">
        <v>10435.11</v>
      </c>
    </row>
    <row r="5232" spans="1:8" x14ac:dyDescent="0.35">
      <c r="A5232" t="s">
        <v>5</v>
      </c>
      <c r="B5232" t="s">
        <v>12</v>
      </c>
      <c r="C5232" t="s">
        <v>9</v>
      </c>
      <c r="D5232">
        <v>66</v>
      </c>
      <c r="E5232">
        <v>4</v>
      </c>
      <c r="F5232">
        <v>6.06</v>
      </c>
      <c r="G5232">
        <v>32.18</v>
      </c>
      <c r="H5232">
        <v>2123.88</v>
      </c>
    </row>
    <row r="5233" spans="1:8" x14ac:dyDescent="0.35">
      <c r="A5233" t="s">
        <v>8</v>
      </c>
      <c r="B5233" t="s">
        <v>12</v>
      </c>
      <c r="C5233" t="s">
        <v>9</v>
      </c>
      <c r="D5233">
        <v>102</v>
      </c>
      <c r="E5233">
        <v>6</v>
      </c>
      <c r="F5233">
        <v>5.88</v>
      </c>
      <c r="G5233">
        <v>58.22</v>
      </c>
      <c r="H5233">
        <v>5938.44</v>
      </c>
    </row>
    <row r="5234" spans="1:8" x14ac:dyDescent="0.35">
      <c r="A5234" t="s">
        <v>7</v>
      </c>
      <c r="B5234" t="s">
        <v>12</v>
      </c>
      <c r="C5234" t="s">
        <v>9</v>
      </c>
      <c r="D5234">
        <v>128</v>
      </c>
      <c r="E5234">
        <v>3</v>
      </c>
      <c r="F5234">
        <v>2.34</v>
      </c>
      <c r="G5234">
        <v>17.04</v>
      </c>
      <c r="H5234">
        <v>2181.12</v>
      </c>
    </row>
    <row r="5235" spans="1:8" x14ac:dyDescent="0.35">
      <c r="A5235" t="s">
        <v>7</v>
      </c>
      <c r="B5235" t="s">
        <v>12</v>
      </c>
      <c r="C5235" t="s">
        <v>10</v>
      </c>
      <c r="D5235">
        <v>116</v>
      </c>
      <c r="E5235">
        <v>10</v>
      </c>
      <c r="F5235">
        <v>8.6199999999999992</v>
      </c>
      <c r="G5235">
        <v>31.02</v>
      </c>
      <c r="H5235">
        <v>3598.32</v>
      </c>
    </row>
    <row r="5236" spans="1:8" x14ac:dyDescent="0.35">
      <c r="A5236" t="s">
        <v>7</v>
      </c>
      <c r="B5236" t="s">
        <v>12</v>
      </c>
      <c r="C5236" t="s">
        <v>9</v>
      </c>
      <c r="D5236">
        <v>257</v>
      </c>
      <c r="E5236">
        <v>12</v>
      </c>
      <c r="F5236">
        <v>4.67</v>
      </c>
      <c r="G5236">
        <v>64.06</v>
      </c>
      <c r="H5236">
        <v>16463.419999999998</v>
      </c>
    </row>
    <row r="5237" spans="1:8" x14ac:dyDescent="0.35">
      <c r="A5237" t="s">
        <v>7</v>
      </c>
      <c r="B5237" t="s">
        <v>12</v>
      </c>
      <c r="C5237" t="s">
        <v>10</v>
      </c>
      <c r="D5237">
        <v>179</v>
      </c>
      <c r="E5237">
        <v>2</v>
      </c>
      <c r="F5237">
        <v>1.1200000000000001</v>
      </c>
      <c r="G5237">
        <v>60.2</v>
      </c>
      <c r="H5237">
        <v>10775.8</v>
      </c>
    </row>
    <row r="5238" spans="1:8" x14ac:dyDescent="0.35">
      <c r="A5238" t="s">
        <v>5</v>
      </c>
      <c r="B5238" t="s">
        <v>12</v>
      </c>
      <c r="C5238" t="s">
        <v>9</v>
      </c>
      <c r="D5238">
        <v>121</v>
      </c>
      <c r="E5238">
        <v>4</v>
      </c>
      <c r="F5238">
        <v>3.31</v>
      </c>
      <c r="G5238">
        <v>43.4</v>
      </c>
      <c r="H5238">
        <v>5251.4</v>
      </c>
    </row>
    <row r="5239" spans="1:8" x14ac:dyDescent="0.35">
      <c r="A5239" t="s">
        <v>8</v>
      </c>
      <c r="B5239" t="s">
        <v>12</v>
      </c>
      <c r="C5239" t="s">
        <v>9</v>
      </c>
      <c r="D5239">
        <v>68</v>
      </c>
      <c r="E5239">
        <v>5</v>
      </c>
      <c r="F5239">
        <v>7.35</v>
      </c>
      <c r="G5239">
        <v>55.42</v>
      </c>
      <c r="H5239">
        <v>3768.56</v>
      </c>
    </row>
    <row r="5240" spans="1:8" x14ac:dyDescent="0.35">
      <c r="A5240" t="s">
        <v>7</v>
      </c>
      <c r="B5240" t="s">
        <v>12</v>
      </c>
      <c r="C5240" t="s">
        <v>10</v>
      </c>
      <c r="D5240">
        <v>295</v>
      </c>
      <c r="E5240">
        <v>3</v>
      </c>
      <c r="F5240">
        <v>1.02</v>
      </c>
      <c r="G5240">
        <v>21.09</v>
      </c>
      <c r="H5240">
        <v>6221.55</v>
      </c>
    </row>
    <row r="5241" spans="1:8" x14ac:dyDescent="0.35">
      <c r="A5241" t="s">
        <v>5</v>
      </c>
      <c r="B5241" t="s">
        <v>12</v>
      </c>
      <c r="C5241" t="s">
        <v>9</v>
      </c>
      <c r="D5241">
        <v>255</v>
      </c>
      <c r="E5241">
        <v>14</v>
      </c>
      <c r="F5241">
        <v>5.49</v>
      </c>
      <c r="G5241">
        <v>35.15</v>
      </c>
      <c r="H5241">
        <v>8963.25</v>
      </c>
    </row>
    <row r="5242" spans="1:8" x14ac:dyDescent="0.35">
      <c r="A5242" t="s">
        <v>6</v>
      </c>
      <c r="B5242" t="s">
        <v>12</v>
      </c>
      <c r="C5242" t="s">
        <v>9</v>
      </c>
      <c r="D5242">
        <v>60</v>
      </c>
      <c r="E5242">
        <v>5</v>
      </c>
      <c r="F5242">
        <v>8.33</v>
      </c>
      <c r="G5242">
        <v>11.14</v>
      </c>
      <c r="H5242">
        <v>668.4</v>
      </c>
    </row>
    <row r="5243" spans="1:8" x14ac:dyDescent="0.35">
      <c r="A5243" t="s">
        <v>5</v>
      </c>
      <c r="B5243" t="s">
        <v>12</v>
      </c>
      <c r="C5243" t="s">
        <v>9</v>
      </c>
      <c r="D5243">
        <v>285</v>
      </c>
      <c r="E5243">
        <v>8</v>
      </c>
      <c r="F5243">
        <v>2.81</v>
      </c>
      <c r="G5243">
        <v>52.31</v>
      </c>
      <c r="H5243">
        <v>14908.35</v>
      </c>
    </row>
    <row r="5244" spans="1:8" x14ac:dyDescent="0.35">
      <c r="A5244" t="s">
        <v>5</v>
      </c>
      <c r="B5244" t="s">
        <v>12</v>
      </c>
      <c r="C5244" t="s">
        <v>9</v>
      </c>
      <c r="D5244">
        <v>206</v>
      </c>
      <c r="E5244">
        <v>12</v>
      </c>
      <c r="F5244">
        <v>5.83</v>
      </c>
      <c r="G5244">
        <v>6.13</v>
      </c>
      <c r="H5244">
        <v>1262.78</v>
      </c>
    </row>
    <row r="5245" spans="1:8" x14ac:dyDescent="0.35">
      <c r="A5245" t="s">
        <v>6</v>
      </c>
      <c r="B5245" t="s">
        <v>12</v>
      </c>
      <c r="C5245" t="s">
        <v>11</v>
      </c>
      <c r="D5245">
        <v>88</v>
      </c>
      <c r="E5245">
        <v>6</v>
      </c>
      <c r="F5245">
        <v>6.82</v>
      </c>
      <c r="G5245">
        <v>18.03</v>
      </c>
      <c r="H5245">
        <v>1586.64</v>
      </c>
    </row>
    <row r="5246" spans="1:8" x14ac:dyDescent="0.35">
      <c r="A5246" t="s">
        <v>5</v>
      </c>
      <c r="B5246" t="s">
        <v>12</v>
      </c>
      <c r="C5246" t="s">
        <v>9</v>
      </c>
      <c r="D5246">
        <v>171</v>
      </c>
      <c r="E5246">
        <v>14</v>
      </c>
      <c r="F5246">
        <v>8.19</v>
      </c>
      <c r="G5246">
        <v>26.29</v>
      </c>
      <c r="H5246">
        <v>4495.59</v>
      </c>
    </row>
    <row r="5247" spans="1:8" x14ac:dyDescent="0.35">
      <c r="A5247" t="s">
        <v>7</v>
      </c>
      <c r="B5247" t="s">
        <v>12</v>
      </c>
      <c r="C5247" t="s">
        <v>9</v>
      </c>
      <c r="D5247">
        <v>228</v>
      </c>
      <c r="E5247">
        <v>19</v>
      </c>
      <c r="F5247">
        <v>8.33</v>
      </c>
      <c r="G5247">
        <v>22.92</v>
      </c>
      <c r="H5247">
        <v>5225.76</v>
      </c>
    </row>
    <row r="5248" spans="1:8" x14ac:dyDescent="0.35">
      <c r="A5248" t="s">
        <v>7</v>
      </c>
      <c r="B5248" t="s">
        <v>12</v>
      </c>
      <c r="C5248" t="s">
        <v>9</v>
      </c>
      <c r="D5248">
        <v>255</v>
      </c>
      <c r="E5248">
        <v>7</v>
      </c>
      <c r="F5248">
        <v>2.75</v>
      </c>
      <c r="G5248">
        <v>18.78</v>
      </c>
      <c r="H5248">
        <v>4788.8999999999996</v>
      </c>
    </row>
    <row r="5249" spans="1:8" x14ac:dyDescent="0.35">
      <c r="A5249" t="s">
        <v>6</v>
      </c>
      <c r="B5249" t="s">
        <v>12</v>
      </c>
      <c r="C5249" t="s">
        <v>11</v>
      </c>
      <c r="D5249">
        <v>93</v>
      </c>
      <c r="E5249">
        <v>4</v>
      </c>
      <c r="F5249">
        <v>4.3</v>
      </c>
      <c r="G5249">
        <v>41.2</v>
      </c>
      <c r="H5249">
        <v>3831.6</v>
      </c>
    </row>
    <row r="5250" spans="1:8" x14ac:dyDescent="0.35">
      <c r="A5250" t="s">
        <v>5</v>
      </c>
      <c r="B5250" t="s">
        <v>12</v>
      </c>
      <c r="C5250" t="s">
        <v>9</v>
      </c>
      <c r="D5250">
        <v>237</v>
      </c>
      <c r="E5250">
        <v>7</v>
      </c>
      <c r="F5250">
        <v>2.95</v>
      </c>
      <c r="G5250">
        <v>63.55</v>
      </c>
      <c r="H5250">
        <v>15061.35</v>
      </c>
    </row>
    <row r="5251" spans="1:8" x14ac:dyDescent="0.35">
      <c r="A5251" t="s">
        <v>7</v>
      </c>
      <c r="B5251" t="s">
        <v>12</v>
      </c>
      <c r="C5251" t="s">
        <v>9</v>
      </c>
      <c r="D5251">
        <v>235</v>
      </c>
      <c r="E5251">
        <v>3</v>
      </c>
      <c r="F5251">
        <v>1.28</v>
      </c>
      <c r="G5251">
        <v>69.62</v>
      </c>
      <c r="H5251">
        <v>16360.7</v>
      </c>
    </row>
    <row r="5252" spans="1:8" x14ac:dyDescent="0.35">
      <c r="A5252" t="s">
        <v>5</v>
      </c>
      <c r="B5252" t="s">
        <v>12</v>
      </c>
      <c r="C5252" t="s">
        <v>9</v>
      </c>
      <c r="D5252">
        <v>107</v>
      </c>
      <c r="E5252">
        <v>9</v>
      </c>
      <c r="F5252">
        <v>8.41</v>
      </c>
      <c r="G5252">
        <v>16.100000000000001</v>
      </c>
      <c r="H5252">
        <v>1722.7</v>
      </c>
    </row>
    <row r="5253" spans="1:8" x14ac:dyDescent="0.35">
      <c r="A5253" t="s">
        <v>7</v>
      </c>
      <c r="B5253" t="s">
        <v>12</v>
      </c>
      <c r="C5253" t="s">
        <v>10</v>
      </c>
      <c r="D5253">
        <v>207</v>
      </c>
      <c r="E5253">
        <v>5</v>
      </c>
      <c r="F5253">
        <v>2.42</v>
      </c>
      <c r="G5253">
        <v>59.32</v>
      </c>
      <c r="H5253">
        <v>12279.24</v>
      </c>
    </row>
    <row r="5254" spans="1:8" x14ac:dyDescent="0.35">
      <c r="A5254" t="s">
        <v>6</v>
      </c>
      <c r="B5254" t="s">
        <v>12</v>
      </c>
      <c r="C5254" t="s">
        <v>11</v>
      </c>
      <c r="D5254">
        <v>70</v>
      </c>
      <c r="E5254">
        <v>5</v>
      </c>
      <c r="F5254">
        <v>7.14</v>
      </c>
      <c r="G5254">
        <v>9.1199999999999992</v>
      </c>
      <c r="H5254">
        <v>638.4</v>
      </c>
    </row>
    <row r="5255" spans="1:8" x14ac:dyDescent="0.35">
      <c r="A5255" t="s">
        <v>6</v>
      </c>
      <c r="B5255" t="s">
        <v>12</v>
      </c>
      <c r="C5255" t="s">
        <v>9</v>
      </c>
      <c r="D5255">
        <v>139</v>
      </c>
      <c r="E5255">
        <v>3</v>
      </c>
      <c r="F5255">
        <v>2.16</v>
      </c>
      <c r="G5255">
        <v>45.93</v>
      </c>
      <c r="H5255">
        <v>6384.27</v>
      </c>
    </row>
    <row r="5256" spans="1:8" x14ac:dyDescent="0.35">
      <c r="A5256" t="s">
        <v>6</v>
      </c>
      <c r="B5256" t="s">
        <v>12</v>
      </c>
      <c r="C5256" t="s">
        <v>11</v>
      </c>
      <c r="D5256">
        <v>208</v>
      </c>
      <c r="E5256">
        <v>2</v>
      </c>
      <c r="F5256">
        <v>0.96</v>
      </c>
      <c r="G5256">
        <v>33.76</v>
      </c>
      <c r="H5256">
        <v>7022.08</v>
      </c>
    </row>
    <row r="5257" spans="1:8" x14ac:dyDescent="0.35">
      <c r="A5257" t="s">
        <v>5</v>
      </c>
      <c r="B5257" t="s">
        <v>12</v>
      </c>
      <c r="C5257" t="s">
        <v>9</v>
      </c>
      <c r="D5257">
        <v>204</v>
      </c>
      <c r="E5257">
        <v>3</v>
      </c>
      <c r="F5257">
        <v>1.47</v>
      </c>
      <c r="G5257">
        <v>68.23</v>
      </c>
      <c r="H5257">
        <v>13918.92</v>
      </c>
    </row>
    <row r="5258" spans="1:8" x14ac:dyDescent="0.35">
      <c r="A5258" t="s">
        <v>6</v>
      </c>
      <c r="B5258" t="s">
        <v>12</v>
      </c>
      <c r="C5258" t="s">
        <v>9</v>
      </c>
      <c r="D5258">
        <v>108</v>
      </c>
      <c r="E5258">
        <v>10</v>
      </c>
      <c r="F5258">
        <v>9.26</v>
      </c>
      <c r="G5258">
        <v>40.96</v>
      </c>
      <c r="H5258">
        <v>4423.68</v>
      </c>
    </row>
    <row r="5259" spans="1:8" x14ac:dyDescent="0.35">
      <c r="A5259" t="s">
        <v>7</v>
      </c>
      <c r="B5259" t="s">
        <v>12</v>
      </c>
      <c r="C5259" t="s">
        <v>9</v>
      </c>
      <c r="D5259">
        <v>231</v>
      </c>
      <c r="E5259">
        <v>13</v>
      </c>
      <c r="F5259">
        <v>5.63</v>
      </c>
      <c r="G5259">
        <v>62.04</v>
      </c>
      <c r="H5259">
        <v>14331.24</v>
      </c>
    </row>
    <row r="5260" spans="1:8" x14ac:dyDescent="0.35">
      <c r="A5260" t="s">
        <v>7</v>
      </c>
      <c r="B5260" t="s">
        <v>12</v>
      </c>
      <c r="C5260" t="s">
        <v>10</v>
      </c>
      <c r="D5260">
        <v>139</v>
      </c>
      <c r="E5260">
        <v>4</v>
      </c>
      <c r="F5260">
        <v>2.88</v>
      </c>
      <c r="G5260">
        <v>34.090000000000003</v>
      </c>
      <c r="H5260">
        <v>4738.51</v>
      </c>
    </row>
    <row r="5261" spans="1:8" x14ac:dyDescent="0.35">
      <c r="A5261" t="s">
        <v>6</v>
      </c>
      <c r="B5261" t="s">
        <v>12</v>
      </c>
      <c r="C5261" t="s">
        <v>11</v>
      </c>
      <c r="D5261">
        <v>78</v>
      </c>
      <c r="E5261">
        <v>5</v>
      </c>
      <c r="F5261">
        <v>6.41</v>
      </c>
      <c r="G5261">
        <v>47.19</v>
      </c>
      <c r="H5261">
        <v>3680.82</v>
      </c>
    </row>
    <row r="5262" spans="1:8" x14ac:dyDescent="0.35">
      <c r="A5262" t="s">
        <v>6</v>
      </c>
      <c r="B5262" t="s">
        <v>12</v>
      </c>
      <c r="C5262" t="s">
        <v>9</v>
      </c>
      <c r="D5262">
        <v>179</v>
      </c>
      <c r="E5262">
        <v>11</v>
      </c>
      <c r="F5262">
        <v>6.15</v>
      </c>
      <c r="G5262">
        <v>19.260000000000002</v>
      </c>
      <c r="H5262">
        <v>3447.54</v>
      </c>
    </row>
    <row r="5263" spans="1:8" x14ac:dyDescent="0.35">
      <c r="A5263" t="s">
        <v>5</v>
      </c>
      <c r="B5263" t="s">
        <v>12</v>
      </c>
      <c r="C5263" t="s">
        <v>9</v>
      </c>
      <c r="D5263">
        <v>150</v>
      </c>
      <c r="E5263">
        <v>1</v>
      </c>
      <c r="F5263">
        <v>0.67</v>
      </c>
      <c r="G5263">
        <v>26.32</v>
      </c>
      <c r="H5263">
        <v>3948</v>
      </c>
    </row>
    <row r="5264" spans="1:8" x14ac:dyDescent="0.35">
      <c r="A5264" t="s">
        <v>8</v>
      </c>
      <c r="B5264" t="s">
        <v>12</v>
      </c>
      <c r="C5264" t="s">
        <v>9</v>
      </c>
      <c r="D5264">
        <v>127</v>
      </c>
      <c r="E5264">
        <v>0</v>
      </c>
      <c r="F5264">
        <v>0</v>
      </c>
      <c r="G5264">
        <v>29.47</v>
      </c>
      <c r="H5264">
        <v>3742.69</v>
      </c>
    </row>
    <row r="5265" spans="1:8" x14ac:dyDescent="0.35">
      <c r="A5265" t="s">
        <v>7</v>
      </c>
      <c r="B5265" t="s">
        <v>12</v>
      </c>
      <c r="C5265" t="s">
        <v>10</v>
      </c>
      <c r="D5265">
        <v>80</v>
      </c>
      <c r="E5265">
        <v>8</v>
      </c>
      <c r="F5265">
        <v>10</v>
      </c>
      <c r="G5265">
        <v>60.18</v>
      </c>
      <c r="H5265">
        <v>4814.3999999999996</v>
      </c>
    </row>
    <row r="5266" spans="1:8" x14ac:dyDescent="0.35">
      <c r="A5266" t="s">
        <v>6</v>
      </c>
      <c r="B5266" t="s">
        <v>12</v>
      </c>
      <c r="C5266" t="s">
        <v>9</v>
      </c>
      <c r="D5266">
        <v>101</v>
      </c>
      <c r="E5266">
        <v>4</v>
      </c>
      <c r="F5266">
        <v>3.96</v>
      </c>
      <c r="G5266">
        <v>67.05</v>
      </c>
      <c r="H5266">
        <v>6772.05</v>
      </c>
    </row>
    <row r="5267" spans="1:8" x14ac:dyDescent="0.35">
      <c r="A5267" t="s">
        <v>7</v>
      </c>
      <c r="B5267" t="s">
        <v>12</v>
      </c>
      <c r="C5267" t="s">
        <v>9</v>
      </c>
      <c r="D5267">
        <v>86</v>
      </c>
      <c r="E5267">
        <v>3</v>
      </c>
      <c r="F5267">
        <v>3.49</v>
      </c>
      <c r="G5267">
        <v>58.41</v>
      </c>
      <c r="H5267">
        <v>5023.26</v>
      </c>
    </row>
    <row r="5268" spans="1:8" x14ac:dyDescent="0.35">
      <c r="A5268" t="s">
        <v>7</v>
      </c>
      <c r="B5268" t="s">
        <v>12</v>
      </c>
      <c r="C5268" t="s">
        <v>9</v>
      </c>
      <c r="D5268">
        <v>113</v>
      </c>
      <c r="E5268">
        <v>2</v>
      </c>
      <c r="F5268">
        <v>1.77</v>
      </c>
      <c r="G5268">
        <v>43.4</v>
      </c>
      <c r="H5268">
        <v>4904.2</v>
      </c>
    </row>
    <row r="5269" spans="1:8" x14ac:dyDescent="0.35">
      <c r="A5269" t="s">
        <v>7</v>
      </c>
      <c r="B5269" t="s">
        <v>12</v>
      </c>
      <c r="C5269" t="s">
        <v>10</v>
      </c>
      <c r="D5269">
        <v>300</v>
      </c>
      <c r="E5269">
        <v>22</v>
      </c>
      <c r="F5269">
        <v>7.33</v>
      </c>
      <c r="G5269">
        <v>54.72</v>
      </c>
      <c r="H5269">
        <v>16416</v>
      </c>
    </row>
    <row r="5270" spans="1:8" x14ac:dyDescent="0.35">
      <c r="A5270" t="s">
        <v>5</v>
      </c>
      <c r="B5270" t="s">
        <v>12</v>
      </c>
      <c r="C5270" t="s">
        <v>9</v>
      </c>
      <c r="D5270">
        <v>55</v>
      </c>
      <c r="E5270">
        <v>2</v>
      </c>
      <c r="F5270">
        <v>3.64</v>
      </c>
      <c r="G5270">
        <v>11.3</v>
      </c>
      <c r="H5270">
        <v>621.5</v>
      </c>
    </row>
    <row r="5271" spans="1:8" x14ac:dyDescent="0.35">
      <c r="A5271" t="s">
        <v>8</v>
      </c>
      <c r="B5271" t="s">
        <v>12</v>
      </c>
      <c r="C5271" t="s">
        <v>9</v>
      </c>
      <c r="D5271">
        <v>279</v>
      </c>
      <c r="E5271">
        <v>3</v>
      </c>
      <c r="F5271">
        <v>1.08</v>
      </c>
      <c r="G5271">
        <v>32.25</v>
      </c>
      <c r="H5271">
        <v>8997.75</v>
      </c>
    </row>
    <row r="5272" spans="1:8" x14ac:dyDescent="0.35">
      <c r="A5272" t="s">
        <v>6</v>
      </c>
      <c r="B5272" t="s">
        <v>12</v>
      </c>
      <c r="C5272" t="s">
        <v>9</v>
      </c>
      <c r="D5272">
        <v>209</v>
      </c>
      <c r="E5272">
        <v>13</v>
      </c>
      <c r="F5272">
        <v>6.22</v>
      </c>
      <c r="G5272">
        <v>56.52</v>
      </c>
      <c r="H5272">
        <v>11812.68</v>
      </c>
    </row>
    <row r="5273" spans="1:8" x14ac:dyDescent="0.35">
      <c r="A5273" t="s">
        <v>5</v>
      </c>
      <c r="B5273" t="s">
        <v>12</v>
      </c>
      <c r="C5273" t="s">
        <v>9</v>
      </c>
      <c r="D5273">
        <v>73</v>
      </c>
      <c r="E5273">
        <v>6</v>
      </c>
      <c r="F5273">
        <v>8.2200000000000006</v>
      </c>
      <c r="G5273">
        <v>17.809999999999999</v>
      </c>
      <c r="H5273">
        <v>1300.1300000000001</v>
      </c>
    </row>
    <row r="5274" spans="1:8" x14ac:dyDescent="0.35">
      <c r="A5274" t="s">
        <v>7</v>
      </c>
      <c r="B5274" t="s">
        <v>12</v>
      </c>
      <c r="C5274" t="s">
        <v>10</v>
      </c>
      <c r="D5274">
        <v>269</v>
      </c>
      <c r="E5274">
        <v>2</v>
      </c>
      <c r="F5274">
        <v>0.74</v>
      </c>
      <c r="G5274">
        <v>17.21</v>
      </c>
      <c r="H5274">
        <v>4629.49</v>
      </c>
    </row>
    <row r="5275" spans="1:8" x14ac:dyDescent="0.35">
      <c r="A5275" t="s">
        <v>5</v>
      </c>
      <c r="B5275" t="s">
        <v>12</v>
      </c>
      <c r="C5275" t="s">
        <v>9</v>
      </c>
      <c r="D5275">
        <v>111</v>
      </c>
      <c r="E5275">
        <v>3</v>
      </c>
      <c r="F5275">
        <v>2.7</v>
      </c>
      <c r="G5275">
        <v>36.340000000000003</v>
      </c>
      <c r="H5275">
        <v>4033.74</v>
      </c>
    </row>
    <row r="5276" spans="1:8" x14ac:dyDescent="0.35">
      <c r="A5276" t="s">
        <v>7</v>
      </c>
      <c r="B5276" t="s">
        <v>12</v>
      </c>
      <c r="C5276" t="s">
        <v>10</v>
      </c>
      <c r="D5276">
        <v>218</v>
      </c>
      <c r="E5276">
        <v>18</v>
      </c>
      <c r="F5276">
        <v>8.26</v>
      </c>
      <c r="G5276">
        <v>23.5</v>
      </c>
      <c r="H5276">
        <v>5123</v>
      </c>
    </row>
    <row r="5277" spans="1:8" x14ac:dyDescent="0.35">
      <c r="A5277" t="s">
        <v>7</v>
      </c>
      <c r="B5277" t="s">
        <v>12</v>
      </c>
      <c r="C5277" t="s">
        <v>10</v>
      </c>
      <c r="D5277">
        <v>85</v>
      </c>
      <c r="E5277">
        <v>0</v>
      </c>
      <c r="F5277">
        <v>0</v>
      </c>
      <c r="G5277">
        <v>26.24</v>
      </c>
      <c r="H5277">
        <v>2230.4</v>
      </c>
    </row>
    <row r="5278" spans="1:8" x14ac:dyDescent="0.35">
      <c r="A5278" t="s">
        <v>6</v>
      </c>
      <c r="B5278" t="s">
        <v>12</v>
      </c>
      <c r="C5278" t="s">
        <v>9</v>
      </c>
      <c r="D5278">
        <v>112</v>
      </c>
      <c r="E5278">
        <v>1</v>
      </c>
      <c r="F5278">
        <v>0.89</v>
      </c>
      <c r="G5278">
        <v>9.52</v>
      </c>
      <c r="H5278">
        <v>1066.24</v>
      </c>
    </row>
    <row r="5279" spans="1:8" x14ac:dyDescent="0.35">
      <c r="A5279" t="s">
        <v>7</v>
      </c>
      <c r="B5279" t="s">
        <v>12</v>
      </c>
      <c r="C5279" t="s">
        <v>9</v>
      </c>
      <c r="D5279">
        <v>90</v>
      </c>
      <c r="E5279">
        <v>8</v>
      </c>
      <c r="F5279">
        <v>8.89</v>
      </c>
      <c r="G5279">
        <v>65.709999999999994</v>
      </c>
      <c r="H5279">
        <v>5913.9</v>
      </c>
    </row>
    <row r="5280" spans="1:8" x14ac:dyDescent="0.35">
      <c r="A5280" t="s">
        <v>5</v>
      </c>
      <c r="B5280" t="s">
        <v>12</v>
      </c>
      <c r="C5280" t="s">
        <v>9</v>
      </c>
      <c r="D5280">
        <v>161</v>
      </c>
      <c r="E5280">
        <v>5</v>
      </c>
      <c r="F5280">
        <v>3.11</v>
      </c>
      <c r="G5280">
        <v>55.84</v>
      </c>
      <c r="H5280">
        <v>8990.24</v>
      </c>
    </row>
    <row r="5281" spans="1:8" x14ac:dyDescent="0.35">
      <c r="A5281" t="s">
        <v>7</v>
      </c>
      <c r="B5281" t="s">
        <v>12</v>
      </c>
      <c r="C5281" t="s">
        <v>10</v>
      </c>
      <c r="D5281">
        <v>295</v>
      </c>
      <c r="E5281">
        <v>1</v>
      </c>
      <c r="F5281">
        <v>0.34</v>
      </c>
      <c r="G5281">
        <v>64.010000000000005</v>
      </c>
      <c r="H5281">
        <v>18882.95</v>
      </c>
    </row>
    <row r="5282" spans="1:8" x14ac:dyDescent="0.35">
      <c r="A5282" t="s">
        <v>6</v>
      </c>
      <c r="B5282" t="s">
        <v>12</v>
      </c>
      <c r="C5282" t="s">
        <v>11</v>
      </c>
      <c r="D5282">
        <v>236</v>
      </c>
      <c r="E5282">
        <v>17</v>
      </c>
      <c r="F5282">
        <v>7.2</v>
      </c>
      <c r="G5282">
        <v>11.09</v>
      </c>
      <c r="H5282">
        <v>2617.2399999999998</v>
      </c>
    </row>
    <row r="5283" spans="1:8" x14ac:dyDescent="0.35">
      <c r="A5283" t="s">
        <v>7</v>
      </c>
      <c r="B5283" t="s">
        <v>12</v>
      </c>
      <c r="C5283" t="s">
        <v>9</v>
      </c>
      <c r="D5283">
        <v>298</v>
      </c>
      <c r="E5283">
        <v>11</v>
      </c>
      <c r="F5283">
        <v>3.69</v>
      </c>
      <c r="G5283">
        <v>46.62</v>
      </c>
      <c r="H5283">
        <v>13892.76</v>
      </c>
    </row>
    <row r="5284" spans="1:8" x14ac:dyDescent="0.35">
      <c r="A5284" t="s">
        <v>8</v>
      </c>
      <c r="B5284" t="s">
        <v>12</v>
      </c>
      <c r="C5284" t="s">
        <v>9</v>
      </c>
      <c r="D5284">
        <v>192</v>
      </c>
      <c r="E5284">
        <v>16</v>
      </c>
      <c r="F5284">
        <v>8.33</v>
      </c>
      <c r="G5284">
        <v>33.06</v>
      </c>
      <c r="H5284">
        <v>6347.52</v>
      </c>
    </row>
    <row r="5285" spans="1:8" x14ac:dyDescent="0.35">
      <c r="A5285" t="s">
        <v>6</v>
      </c>
      <c r="B5285" t="s">
        <v>12</v>
      </c>
      <c r="C5285" t="s">
        <v>9</v>
      </c>
      <c r="D5285">
        <v>255</v>
      </c>
      <c r="E5285">
        <v>17</v>
      </c>
      <c r="F5285">
        <v>6.67</v>
      </c>
      <c r="G5285">
        <v>24.68</v>
      </c>
      <c r="H5285">
        <v>6293.4</v>
      </c>
    </row>
    <row r="5286" spans="1:8" x14ac:dyDescent="0.35">
      <c r="A5286" t="s">
        <v>6</v>
      </c>
      <c r="B5286" t="s">
        <v>12</v>
      </c>
      <c r="C5286" t="s">
        <v>9</v>
      </c>
      <c r="D5286">
        <v>70</v>
      </c>
      <c r="E5286">
        <v>1</v>
      </c>
      <c r="F5286">
        <v>1.43</v>
      </c>
      <c r="G5286">
        <v>23.51</v>
      </c>
      <c r="H5286">
        <v>1645.7</v>
      </c>
    </row>
    <row r="5287" spans="1:8" x14ac:dyDescent="0.35">
      <c r="A5287" t="s">
        <v>7</v>
      </c>
      <c r="B5287" t="s">
        <v>12</v>
      </c>
      <c r="C5287" t="s">
        <v>9</v>
      </c>
      <c r="D5287">
        <v>225</v>
      </c>
      <c r="E5287">
        <v>11</v>
      </c>
      <c r="F5287">
        <v>4.8899999999999997</v>
      </c>
      <c r="G5287">
        <v>55.65</v>
      </c>
      <c r="H5287">
        <v>12521.25</v>
      </c>
    </row>
    <row r="5288" spans="1:8" x14ac:dyDescent="0.35">
      <c r="A5288" t="s">
        <v>8</v>
      </c>
      <c r="B5288" t="s">
        <v>12</v>
      </c>
      <c r="C5288" t="s">
        <v>9</v>
      </c>
      <c r="D5288">
        <v>114</v>
      </c>
      <c r="E5288">
        <v>1</v>
      </c>
      <c r="F5288">
        <v>0.88</v>
      </c>
      <c r="G5288">
        <v>19.63</v>
      </c>
      <c r="H5288">
        <v>2237.8200000000002</v>
      </c>
    </row>
    <row r="5289" spans="1:8" x14ac:dyDescent="0.35">
      <c r="A5289" t="s">
        <v>6</v>
      </c>
      <c r="B5289" t="s">
        <v>12</v>
      </c>
      <c r="C5289" t="s">
        <v>9</v>
      </c>
      <c r="D5289">
        <v>169</v>
      </c>
      <c r="E5289">
        <v>11</v>
      </c>
      <c r="F5289">
        <v>6.51</v>
      </c>
      <c r="G5289">
        <v>61.76</v>
      </c>
      <c r="H5289">
        <v>10437.44</v>
      </c>
    </row>
    <row r="5290" spans="1:8" x14ac:dyDescent="0.35">
      <c r="A5290" t="s">
        <v>7</v>
      </c>
      <c r="B5290" t="s">
        <v>12</v>
      </c>
      <c r="C5290" t="s">
        <v>10</v>
      </c>
      <c r="D5290">
        <v>294</v>
      </c>
      <c r="E5290">
        <v>6</v>
      </c>
      <c r="F5290">
        <v>2.04</v>
      </c>
      <c r="G5290">
        <v>22.66</v>
      </c>
      <c r="H5290">
        <v>6662.04</v>
      </c>
    </row>
    <row r="5291" spans="1:8" x14ac:dyDescent="0.35">
      <c r="A5291" t="s">
        <v>7</v>
      </c>
      <c r="B5291" t="s">
        <v>12</v>
      </c>
      <c r="C5291" t="s">
        <v>10</v>
      </c>
      <c r="D5291">
        <v>166</v>
      </c>
      <c r="E5291">
        <v>8</v>
      </c>
      <c r="F5291">
        <v>4.82</v>
      </c>
      <c r="G5291">
        <v>67.86</v>
      </c>
      <c r="H5291">
        <v>11264.76</v>
      </c>
    </row>
    <row r="5292" spans="1:8" x14ac:dyDescent="0.35">
      <c r="A5292" t="s">
        <v>5</v>
      </c>
      <c r="B5292" t="s">
        <v>12</v>
      </c>
      <c r="C5292" t="s">
        <v>9</v>
      </c>
      <c r="D5292">
        <v>99</v>
      </c>
      <c r="E5292">
        <v>6</v>
      </c>
      <c r="F5292">
        <v>6.06</v>
      </c>
      <c r="G5292">
        <v>59.67</v>
      </c>
      <c r="H5292">
        <v>5907.33</v>
      </c>
    </row>
    <row r="5293" spans="1:8" x14ac:dyDescent="0.35">
      <c r="A5293" t="s">
        <v>8</v>
      </c>
      <c r="B5293" t="s">
        <v>12</v>
      </c>
      <c r="C5293" t="s">
        <v>9</v>
      </c>
      <c r="D5293">
        <v>214</v>
      </c>
      <c r="E5293">
        <v>19</v>
      </c>
      <c r="F5293">
        <v>8.8800000000000008</v>
      </c>
      <c r="G5293">
        <v>41.63</v>
      </c>
      <c r="H5293">
        <v>8908.82</v>
      </c>
    </row>
    <row r="5294" spans="1:8" x14ac:dyDescent="0.35">
      <c r="A5294" t="s">
        <v>5</v>
      </c>
      <c r="B5294" t="s">
        <v>12</v>
      </c>
      <c r="C5294" t="s">
        <v>9</v>
      </c>
      <c r="D5294">
        <v>232</v>
      </c>
      <c r="E5294">
        <v>14</v>
      </c>
      <c r="F5294">
        <v>6.03</v>
      </c>
      <c r="G5294">
        <v>40.590000000000003</v>
      </c>
      <c r="H5294">
        <v>9416.8799999999992</v>
      </c>
    </row>
    <row r="5295" spans="1:8" x14ac:dyDescent="0.35">
      <c r="A5295" t="s">
        <v>8</v>
      </c>
      <c r="B5295" t="s">
        <v>12</v>
      </c>
      <c r="C5295" t="s">
        <v>9</v>
      </c>
      <c r="D5295">
        <v>53</v>
      </c>
      <c r="E5295">
        <v>0</v>
      </c>
      <c r="F5295">
        <v>0</v>
      </c>
      <c r="G5295">
        <v>57.92</v>
      </c>
      <c r="H5295">
        <v>3069.76</v>
      </c>
    </row>
    <row r="5296" spans="1:8" x14ac:dyDescent="0.35">
      <c r="A5296" t="s">
        <v>6</v>
      </c>
      <c r="B5296" t="s">
        <v>12</v>
      </c>
      <c r="C5296" t="s">
        <v>9</v>
      </c>
      <c r="D5296">
        <v>247</v>
      </c>
      <c r="E5296">
        <v>8</v>
      </c>
      <c r="F5296">
        <v>3.24</v>
      </c>
      <c r="G5296">
        <v>53.25</v>
      </c>
      <c r="H5296">
        <v>13152.75</v>
      </c>
    </row>
    <row r="5297" spans="1:8" x14ac:dyDescent="0.35">
      <c r="A5297" t="s">
        <v>6</v>
      </c>
      <c r="B5297" t="s">
        <v>12</v>
      </c>
      <c r="C5297" t="s">
        <v>9</v>
      </c>
      <c r="D5297">
        <v>93</v>
      </c>
      <c r="E5297">
        <v>4</v>
      </c>
      <c r="F5297">
        <v>4.3</v>
      </c>
      <c r="G5297">
        <v>40.69</v>
      </c>
      <c r="H5297">
        <v>3784.17</v>
      </c>
    </row>
    <row r="5298" spans="1:8" x14ac:dyDescent="0.35">
      <c r="A5298" t="s">
        <v>6</v>
      </c>
      <c r="B5298" t="s">
        <v>12</v>
      </c>
      <c r="C5298" t="s">
        <v>9</v>
      </c>
      <c r="D5298">
        <v>268</v>
      </c>
      <c r="E5298">
        <v>21</v>
      </c>
      <c r="F5298">
        <v>7.84</v>
      </c>
      <c r="G5298">
        <v>67.959999999999994</v>
      </c>
      <c r="H5298">
        <v>18213.28</v>
      </c>
    </row>
    <row r="5299" spans="1:8" x14ac:dyDescent="0.35">
      <c r="A5299" t="s">
        <v>5</v>
      </c>
      <c r="B5299" t="s">
        <v>12</v>
      </c>
      <c r="C5299" t="s">
        <v>9</v>
      </c>
      <c r="D5299">
        <v>264</v>
      </c>
      <c r="E5299">
        <v>19</v>
      </c>
      <c r="F5299">
        <v>7.2</v>
      </c>
      <c r="G5299">
        <v>16.27</v>
      </c>
      <c r="H5299">
        <v>4295.28</v>
      </c>
    </row>
    <row r="5300" spans="1:8" x14ac:dyDescent="0.35">
      <c r="A5300" t="s">
        <v>8</v>
      </c>
      <c r="B5300" t="s">
        <v>12</v>
      </c>
      <c r="C5300" t="s">
        <v>9</v>
      </c>
      <c r="D5300">
        <v>137</v>
      </c>
      <c r="E5300">
        <v>8</v>
      </c>
      <c r="F5300">
        <v>5.84</v>
      </c>
      <c r="G5300">
        <v>32.11</v>
      </c>
      <c r="H5300">
        <v>4399.07</v>
      </c>
    </row>
    <row r="5301" spans="1:8" x14ac:dyDescent="0.35">
      <c r="A5301" t="s">
        <v>8</v>
      </c>
      <c r="B5301" t="s">
        <v>12</v>
      </c>
      <c r="C5301" t="s">
        <v>9</v>
      </c>
      <c r="D5301">
        <v>52</v>
      </c>
      <c r="E5301">
        <v>2</v>
      </c>
      <c r="F5301">
        <v>3.85</v>
      </c>
      <c r="G5301">
        <v>43.95</v>
      </c>
      <c r="H5301">
        <v>2285.4</v>
      </c>
    </row>
    <row r="5302" spans="1:8" x14ac:dyDescent="0.35">
      <c r="A5302" t="s">
        <v>5</v>
      </c>
      <c r="B5302" t="s">
        <v>12</v>
      </c>
      <c r="C5302" t="s">
        <v>9</v>
      </c>
      <c r="D5302">
        <v>134</v>
      </c>
      <c r="E5302">
        <v>4</v>
      </c>
      <c r="F5302">
        <v>2.99</v>
      </c>
      <c r="G5302">
        <v>23.94</v>
      </c>
      <c r="H5302">
        <v>3207.96</v>
      </c>
    </row>
    <row r="5303" spans="1:8" x14ac:dyDescent="0.35">
      <c r="A5303" t="s">
        <v>7</v>
      </c>
      <c r="B5303" t="s">
        <v>12</v>
      </c>
      <c r="C5303" t="s">
        <v>10</v>
      </c>
      <c r="D5303">
        <v>285</v>
      </c>
      <c r="E5303">
        <v>21</v>
      </c>
      <c r="F5303">
        <v>7.37</v>
      </c>
      <c r="G5303">
        <v>35.14</v>
      </c>
      <c r="H5303">
        <v>10014.9</v>
      </c>
    </row>
    <row r="5304" spans="1:8" x14ac:dyDescent="0.35">
      <c r="A5304" t="s">
        <v>5</v>
      </c>
      <c r="B5304" t="s">
        <v>12</v>
      </c>
      <c r="C5304" t="s">
        <v>9</v>
      </c>
      <c r="D5304">
        <v>150</v>
      </c>
      <c r="E5304">
        <v>15</v>
      </c>
      <c r="F5304">
        <v>10</v>
      </c>
      <c r="G5304">
        <v>19.059999999999999</v>
      </c>
      <c r="H5304">
        <v>2859</v>
      </c>
    </row>
    <row r="5305" spans="1:8" x14ac:dyDescent="0.35">
      <c r="A5305" t="s">
        <v>6</v>
      </c>
      <c r="B5305" t="s">
        <v>12</v>
      </c>
      <c r="C5305" t="s">
        <v>11</v>
      </c>
      <c r="D5305">
        <v>114</v>
      </c>
      <c r="E5305">
        <v>6</v>
      </c>
      <c r="F5305">
        <v>5.26</v>
      </c>
      <c r="G5305">
        <v>36.9</v>
      </c>
      <c r="H5305">
        <v>4206.6000000000004</v>
      </c>
    </row>
    <row r="5306" spans="1:8" x14ac:dyDescent="0.35">
      <c r="A5306" t="s">
        <v>6</v>
      </c>
      <c r="B5306" t="s">
        <v>12</v>
      </c>
      <c r="C5306" t="s">
        <v>11</v>
      </c>
      <c r="D5306">
        <v>295</v>
      </c>
      <c r="E5306">
        <v>2</v>
      </c>
      <c r="F5306">
        <v>0.68</v>
      </c>
      <c r="G5306">
        <v>9.1199999999999992</v>
      </c>
      <c r="H5306">
        <v>2690.4</v>
      </c>
    </row>
    <row r="5307" spans="1:8" x14ac:dyDescent="0.35">
      <c r="A5307" t="s">
        <v>8</v>
      </c>
      <c r="B5307" t="s">
        <v>12</v>
      </c>
      <c r="C5307" t="s">
        <v>9</v>
      </c>
      <c r="D5307">
        <v>223</v>
      </c>
      <c r="E5307">
        <v>20</v>
      </c>
      <c r="F5307">
        <v>8.9700000000000006</v>
      </c>
      <c r="G5307">
        <v>22.23</v>
      </c>
      <c r="H5307">
        <v>4957.29</v>
      </c>
    </row>
    <row r="5308" spans="1:8" x14ac:dyDescent="0.35">
      <c r="A5308" t="s">
        <v>6</v>
      </c>
      <c r="B5308" t="s">
        <v>12</v>
      </c>
      <c r="C5308" t="s">
        <v>9</v>
      </c>
      <c r="D5308">
        <v>88</v>
      </c>
      <c r="E5308">
        <v>1</v>
      </c>
      <c r="F5308">
        <v>1.1399999999999999</v>
      </c>
      <c r="G5308">
        <v>30.64</v>
      </c>
      <c r="H5308">
        <v>2696.32</v>
      </c>
    </row>
    <row r="5309" spans="1:8" x14ac:dyDescent="0.35">
      <c r="A5309" t="s">
        <v>6</v>
      </c>
      <c r="B5309" t="s">
        <v>12</v>
      </c>
      <c r="C5309" t="s">
        <v>11</v>
      </c>
      <c r="D5309">
        <v>209</v>
      </c>
      <c r="E5309">
        <v>10</v>
      </c>
      <c r="F5309">
        <v>4.78</v>
      </c>
      <c r="G5309">
        <v>41.3</v>
      </c>
      <c r="H5309">
        <v>8631.7000000000007</v>
      </c>
    </row>
    <row r="5310" spans="1:8" x14ac:dyDescent="0.35">
      <c r="A5310" t="s">
        <v>7</v>
      </c>
      <c r="B5310" t="s">
        <v>12</v>
      </c>
      <c r="C5310" t="s">
        <v>9</v>
      </c>
      <c r="D5310">
        <v>287</v>
      </c>
      <c r="E5310">
        <v>2</v>
      </c>
      <c r="F5310">
        <v>0.7</v>
      </c>
      <c r="G5310">
        <v>9.93</v>
      </c>
      <c r="H5310">
        <v>2849.91</v>
      </c>
    </row>
    <row r="5311" spans="1:8" x14ac:dyDescent="0.35">
      <c r="A5311" t="s">
        <v>6</v>
      </c>
      <c r="B5311" t="s">
        <v>12</v>
      </c>
      <c r="C5311" t="s">
        <v>11</v>
      </c>
      <c r="D5311">
        <v>127</v>
      </c>
      <c r="E5311">
        <v>2</v>
      </c>
      <c r="F5311">
        <v>1.57</v>
      </c>
      <c r="G5311">
        <v>45.68</v>
      </c>
      <c r="H5311">
        <v>5801.36</v>
      </c>
    </row>
    <row r="5312" spans="1:8" x14ac:dyDescent="0.35">
      <c r="A5312" t="s">
        <v>6</v>
      </c>
      <c r="B5312" t="s">
        <v>12</v>
      </c>
      <c r="C5312" t="s">
        <v>9</v>
      </c>
      <c r="D5312">
        <v>192</v>
      </c>
      <c r="E5312">
        <v>12</v>
      </c>
      <c r="F5312">
        <v>6.25</v>
      </c>
      <c r="G5312">
        <v>7.3</v>
      </c>
      <c r="H5312">
        <v>1401.6</v>
      </c>
    </row>
    <row r="5313" spans="1:8" x14ac:dyDescent="0.35">
      <c r="A5313" t="s">
        <v>6</v>
      </c>
      <c r="B5313" t="s">
        <v>12</v>
      </c>
      <c r="C5313" t="s">
        <v>11</v>
      </c>
      <c r="D5313">
        <v>218</v>
      </c>
      <c r="E5313">
        <v>16</v>
      </c>
      <c r="F5313">
        <v>7.34</v>
      </c>
      <c r="G5313">
        <v>16.05</v>
      </c>
      <c r="H5313">
        <v>3498.9</v>
      </c>
    </row>
    <row r="5314" spans="1:8" x14ac:dyDescent="0.35">
      <c r="A5314" t="s">
        <v>8</v>
      </c>
      <c r="B5314" t="s">
        <v>12</v>
      </c>
      <c r="C5314" t="s">
        <v>9</v>
      </c>
      <c r="D5314">
        <v>168</v>
      </c>
      <c r="E5314">
        <v>0</v>
      </c>
      <c r="F5314">
        <v>0</v>
      </c>
      <c r="G5314">
        <v>7.51</v>
      </c>
      <c r="H5314">
        <v>1261.68</v>
      </c>
    </row>
    <row r="5315" spans="1:8" x14ac:dyDescent="0.35">
      <c r="A5315" t="s">
        <v>7</v>
      </c>
      <c r="B5315" t="s">
        <v>12</v>
      </c>
      <c r="C5315" t="s">
        <v>10</v>
      </c>
      <c r="D5315">
        <v>266</v>
      </c>
      <c r="E5315">
        <v>13</v>
      </c>
      <c r="F5315">
        <v>4.8899999999999997</v>
      </c>
      <c r="G5315">
        <v>9.85</v>
      </c>
      <c r="H5315">
        <v>2620.1</v>
      </c>
    </row>
    <row r="5316" spans="1:8" x14ac:dyDescent="0.35">
      <c r="A5316" t="s">
        <v>6</v>
      </c>
      <c r="B5316" t="s">
        <v>12</v>
      </c>
      <c r="C5316" t="s">
        <v>9</v>
      </c>
      <c r="D5316">
        <v>223</v>
      </c>
      <c r="E5316">
        <v>15</v>
      </c>
      <c r="F5316">
        <v>6.73</v>
      </c>
      <c r="G5316">
        <v>34.49</v>
      </c>
      <c r="H5316">
        <v>7691.27</v>
      </c>
    </row>
    <row r="5317" spans="1:8" x14ac:dyDescent="0.35">
      <c r="A5317" t="s">
        <v>5</v>
      </c>
      <c r="B5317" t="s">
        <v>12</v>
      </c>
      <c r="C5317" t="s">
        <v>9</v>
      </c>
      <c r="D5317">
        <v>217</v>
      </c>
      <c r="E5317">
        <v>21</v>
      </c>
      <c r="F5317">
        <v>9.68</v>
      </c>
      <c r="G5317">
        <v>43.18</v>
      </c>
      <c r="H5317">
        <v>9370.06</v>
      </c>
    </row>
    <row r="5318" spans="1:8" x14ac:dyDescent="0.35">
      <c r="A5318" t="s">
        <v>8</v>
      </c>
      <c r="B5318" t="s">
        <v>12</v>
      </c>
      <c r="C5318" t="s">
        <v>9</v>
      </c>
      <c r="D5318">
        <v>277</v>
      </c>
      <c r="E5318">
        <v>26</v>
      </c>
      <c r="F5318">
        <v>9.39</v>
      </c>
      <c r="G5318">
        <v>6.53</v>
      </c>
      <c r="H5318">
        <v>1808.81</v>
      </c>
    </row>
    <row r="5319" spans="1:8" x14ac:dyDescent="0.35">
      <c r="A5319" t="s">
        <v>6</v>
      </c>
      <c r="B5319" t="s">
        <v>12</v>
      </c>
      <c r="C5319" t="s">
        <v>9</v>
      </c>
      <c r="D5319">
        <v>286</v>
      </c>
      <c r="E5319">
        <v>13</v>
      </c>
      <c r="F5319">
        <v>4.55</v>
      </c>
      <c r="G5319">
        <v>32.03</v>
      </c>
      <c r="H5319">
        <v>9160.58</v>
      </c>
    </row>
    <row r="5320" spans="1:8" x14ac:dyDescent="0.35">
      <c r="A5320" t="s">
        <v>7</v>
      </c>
      <c r="B5320" t="s">
        <v>12</v>
      </c>
      <c r="C5320" t="s">
        <v>10</v>
      </c>
      <c r="D5320">
        <v>218</v>
      </c>
      <c r="E5320">
        <v>18</v>
      </c>
      <c r="F5320">
        <v>8.26</v>
      </c>
      <c r="G5320">
        <v>52.79</v>
      </c>
      <c r="H5320">
        <v>11508.22</v>
      </c>
    </row>
    <row r="5321" spans="1:8" x14ac:dyDescent="0.35">
      <c r="A5321" t="s">
        <v>5</v>
      </c>
      <c r="B5321" t="s">
        <v>12</v>
      </c>
      <c r="C5321" t="s">
        <v>9</v>
      </c>
      <c r="D5321">
        <v>85</v>
      </c>
      <c r="E5321">
        <v>1</v>
      </c>
      <c r="F5321">
        <v>1.18</v>
      </c>
      <c r="G5321">
        <v>32.950000000000003</v>
      </c>
      <c r="H5321">
        <v>2800.75</v>
      </c>
    </row>
    <row r="5322" spans="1:8" x14ac:dyDescent="0.35">
      <c r="A5322" t="s">
        <v>8</v>
      </c>
      <c r="B5322" t="s">
        <v>12</v>
      </c>
      <c r="C5322" t="s">
        <v>9</v>
      </c>
      <c r="D5322">
        <v>242</v>
      </c>
      <c r="E5322">
        <v>8</v>
      </c>
      <c r="F5322">
        <v>3.31</v>
      </c>
      <c r="G5322">
        <v>50.3</v>
      </c>
      <c r="H5322">
        <v>12172.6</v>
      </c>
    </row>
    <row r="5323" spans="1:8" x14ac:dyDescent="0.35">
      <c r="A5323" t="s">
        <v>5</v>
      </c>
      <c r="B5323" t="s">
        <v>12</v>
      </c>
      <c r="C5323" t="s">
        <v>9</v>
      </c>
      <c r="D5323">
        <v>298</v>
      </c>
      <c r="E5323">
        <v>8</v>
      </c>
      <c r="F5323">
        <v>2.68</v>
      </c>
      <c r="G5323">
        <v>68.25</v>
      </c>
      <c r="H5323">
        <v>20338.5</v>
      </c>
    </row>
    <row r="5324" spans="1:8" x14ac:dyDescent="0.35">
      <c r="A5324" t="s">
        <v>8</v>
      </c>
      <c r="B5324" t="s">
        <v>12</v>
      </c>
      <c r="C5324" t="s">
        <v>9</v>
      </c>
      <c r="D5324">
        <v>217</v>
      </c>
      <c r="E5324">
        <v>9</v>
      </c>
      <c r="F5324">
        <v>4.1500000000000004</v>
      </c>
      <c r="G5324">
        <v>5.44</v>
      </c>
      <c r="H5324">
        <v>1180.48</v>
      </c>
    </row>
    <row r="5325" spans="1:8" x14ac:dyDescent="0.35">
      <c r="A5325" t="s">
        <v>5</v>
      </c>
      <c r="B5325" t="s">
        <v>12</v>
      </c>
      <c r="C5325" t="s">
        <v>9</v>
      </c>
      <c r="D5325">
        <v>75</v>
      </c>
      <c r="E5325">
        <v>7</v>
      </c>
      <c r="F5325">
        <v>9.33</v>
      </c>
      <c r="G5325">
        <v>33.89</v>
      </c>
      <c r="H5325">
        <v>2541.75</v>
      </c>
    </row>
    <row r="5326" spans="1:8" x14ac:dyDescent="0.35">
      <c r="A5326" t="s">
        <v>8</v>
      </c>
      <c r="B5326" t="s">
        <v>12</v>
      </c>
      <c r="C5326" t="s">
        <v>9</v>
      </c>
      <c r="D5326">
        <v>289</v>
      </c>
      <c r="E5326">
        <v>9</v>
      </c>
      <c r="F5326">
        <v>3.11</v>
      </c>
      <c r="G5326">
        <v>49.54</v>
      </c>
      <c r="H5326">
        <v>14317.06</v>
      </c>
    </row>
    <row r="5327" spans="1:8" x14ac:dyDescent="0.35">
      <c r="A5327" t="s">
        <v>6</v>
      </c>
      <c r="B5327" t="s">
        <v>12</v>
      </c>
      <c r="C5327" t="s">
        <v>11</v>
      </c>
      <c r="D5327">
        <v>255</v>
      </c>
      <c r="E5327">
        <v>10</v>
      </c>
      <c r="F5327">
        <v>3.92</v>
      </c>
      <c r="G5327">
        <v>11.55</v>
      </c>
      <c r="H5327">
        <v>2945.25</v>
      </c>
    </row>
    <row r="5328" spans="1:8" x14ac:dyDescent="0.35">
      <c r="A5328" t="s">
        <v>7</v>
      </c>
      <c r="B5328" t="s">
        <v>12</v>
      </c>
      <c r="C5328" t="s">
        <v>9</v>
      </c>
      <c r="D5328">
        <v>289</v>
      </c>
      <c r="E5328">
        <v>1</v>
      </c>
      <c r="F5328">
        <v>0.35</v>
      </c>
      <c r="G5328">
        <v>42.34</v>
      </c>
      <c r="H5328">
        <v>12236.26</v>
      </c>
    </row>
    <row r="5329" spans="1:8" x14ac:dyDescent="0.35">
      <c r="A5329" t="s">
        <v>7</v>
      </c>
      <c r="B5329" t="s">
        <v>12</v>
      </c>
      <c r="C5329" t="s">
        <v>10</v>
      </c>
      <c r="D5329">
        <v>207</v>
      </c>
      <c r="E5329">
        <v>2</v>
      </c>
      <c r="F5329">
        <v>0.97</v>
      </c>
      <c r="G5329">
        <v>61.84</v>
      </c>
      <c r="H5329">
        <v>12800.88</v>
      </c>
    </row>
    <row r="5330" spans="1:8" x14ac:dyDescent="0.35">
      <c r="A5330" t="s">
        <v>5</v>
      </c>
      <c r="B5330" t="s">
        <v>12</v>
      </c>
      <c r="C5330" t="s">
        <v>9</v>
      </c>
      <c r="D5330">
        <v>194</v>
      </c>
      <c r="E5330">
        <v>13</v>
      </c>
      <c r="F5330">
        <v>6.7</v>
      </c>
      <c r="G5330">
        <v>49.15</v>
      </c>
      <c r="H5330">
        <v>9535.1</v>
      </c>
    </row>
    <row r="5331" spans="1:8" x14ac:dyDescent="0.35">
      <c r="A5331" t="s">
        <v>6</v>
      </c>
      <c r="B5331" t="s">
        <v>12</v>
      </c>
      <c r="C5331" t="s">
        <v>11</v>
      </c>
      <c r="D5331">
        <v>241</v>
      </c>
      <c r="E5331">
        <v>6</v>
      </c>
      <c r="F5331">
        <v>2.4900000000000002</v>
      </c>
      <c r="G5331">
        <v>31.25</v>
      </c>
      <c r="H5331">
        <v>7531.25</v>
      </c>
    </row>
    <row r="5332" spans="1:8" x14ac:dyDescent="0.35">
      <c r="A5332" t="s">
        <v>8</v>
      </c>
      <c r="B5332" t="s">
        <v>12</v>
      </c>
      <c r="C5332" t="s">
        <v>9</v>
      </c>
      <c r="D5332">
        <v>291</v>
      </c>
      <c r="E5332">
        <v>17</v>
      </c>
      <c r="F5332">
        <v>5.84</v>
      </c>
      <c r="G5332">
        <v>66.03</v>
      </c>
      <c r="H5332">
        <v>19214.73</v>
      </c>
    </row>
    <row r="5333" spans="1:8" x14ac:dyDescent="0.35">
      <c r="A5333" t="s">
        <v>6</v>
      </c>
      <c r="B5333" t="s">
        <v>12</v>
      </c>
      <c r="C5333" t="s">
        <v>9</v>
      </c>
      <c r="D5333">
        <v>238</v>
      </c>
      <c r="E5333">
        <v>3</v>
      </c>
      <c r="F5333">
        <v>1.26</v>
      </c>
      <c r="G5333">
        <v>55.72</v>
      </c>
      <c r="H5333">
        <v>13261.36</v>
      </c>
    </row>
    <row r="5334" spans="1:8" x14ac:dyDescent="0.35">
      <c r="A5334" t="s">
        <v>6</v>
      </c>
      <c r="B5334" t="s">
        <v>12</v>
      </c>
      <c r="C5334" t="s">
        <v>9</v>
      </c>
      <c r="D5334">
        <v>298</v>
      </c>
      <c r="E5334">
        <v>16</v>
      </c>
      <c r="F5334">
        <v>5.37</v>
      </c>
      <c r="G5334">
        <v>11.65</v>
      </c>
      <c r="H5334">
        <v>3471.7</v>
      </c>
    </row>
    <row r="5335" spans="1:8" x14ac:dyDescent="0.35">
      <c r="A5335" t="s">
        <v>6</v>
      </c>
      <c r="B5335" t="s">
        <v>12</v>
      </c>
      <c r="C5335" t="s">
        <v>11</v>
      </c>
      <c r="D5335">
        <v>249</v>
      </c>
      <c r="E5335">
        <v>13</v>
      </c>
      <c r="F5335">
        <v>5.22</v>
      </c>
      <c r="G5335">
        <v>61.27</v>
      </c>
      <c r="H5335">
        <v>15256.23</v>
      </c>
    </row>
    <row r="5336" spans="1:8" x14ac:dyDescent="0.35">
      <c r="A5336" t="s">
        <v>8</v>
      </c>
      <c r="B5336" t="s">
        <v>12</v>
      </c>
      <c r="C5336" t="s">
        <v>9</v>
      </c>
      <c r="D5336">
        <v>243</v>
      </c>
      <c r="E5336">
        <v>6</v>
      </c>
      <c r="F5336">
        <v>2.4700000000000002</v>
      </c>
      <c r="G5336">
        <v>20.39</v>
      </c>
      <c r="H5336">
        <v>4954.7700000000004</v>
      </c>
    </row>
    <row r="5337" spans="1:8" x14ac:dyDescent="0.35">
      <c r="A5337" t="s">
        <v>7</v>
      </c>
      <c r="B5337" t="s">
        <v>12</v>
      </c>
      <c r="C5337" t="s">
        <v>10</v>
      </c>
      <c r="D5337">
        <v>81</v>
      </c>
      <c r="E5337">
        <v>6</v>
      </c>
      <c r="F5337">
        <v>7.41</v>
      </c>
      <c r="G5337">
        <v>50.83</v>
      </c>
      <c r="H5337">
        <v>4117.2299999999996</v>
      </c>
    </row>
    <row r="5338" spans="1:8" x14ac:dyDescent="0.35">
      <c r="A5338" t="s">
        <v>8</v>
      </c>
      <c r="B5338" t="s">
        <v>12</v>
      </c>
      <c r="C5338" t="s">
        <v>9</v>
      </c>
      <c r="D5338">
        <v>122</v>
      </c>
      <c r="E5338">
        <v>1</v>
      </c>
      <c r="F5338">
        <v>0.82</v>
      </c>
      <c r="G5338">
        <v>37</v>
      </c>
      <c r="H5338">
        <v>4514</v>
      </c>
    </row>
    <row r="5339" spans="1:8" x14ac:dyDescent="0.35">
      <c r="A5339" t="s">
        <v>8</v>
      </c>
      <c r="B5339" t="s">
        <v>12</v>
      </c>
      <c r="C5339" t="s">
        <v>9</v>
      </c>
      <c r="D5339">
        <v>267</v>
      </c>
      <c r="E5339">
        <v>11</v>
      </c>
      <c r="F5339">
        <v>4.12</v>
      </c>
      <c r="G5339">
        <v>54.62</v>
      </c>
      <c r="H5339">
        <v>14583.54</v>
      </c>
    </row>
    <row r="5340" spans="1:8" x14ac:dyDescent="0.35">
      <c r="A5340" t="s">
        <v>7</v>
      </c>
      <c r="B5340" t="s">
        <v>12</v>
      </c>
      <c r="C5340" t="s">
        <v>9</v>
      </c>
      <c r="D5340">
        <v>275</v>
      </c>
      <c r="E5340">
        <v>20</v>
      </c>
      <c r="F5340">
        <v>7.27</v>
      </c>
      <c r="G5340">
        <v>46.66</v>
      </c>
      <c r="H5340">
        <v>12831.5</v>
      </c>
    </row>
    <row r="5341" spans="1:8" x14ac:dyDescent="0.35">
      <c r="A5341" t="s">
        <v>7</v>
      </c>
      <c r="B5341" t="s">
        <v>12</v>
      </c>
      <c r="C5341" t="s">
        <v>9</v>
      </c>
      <c r="D5341">
        <v>215</v>
      </c>
      <c r="E5341">
        <v>8</v>
      </c>
      <c r="F5341">
        <v>3.72</v>
      </c>
      <c r="G5341">
        <v>34.450000000000003</v>
      </c>
      <c r="H5341">
        <v>7406.75</v>
      </c>
    </row>
    <row r="5342" spans="1:8" x14ac:dyDescent="0.35">
      <c r="A5342" t="s">
        <v>6</v>
      </c>
      <c r="B5342" t="s">
        <v>12</v>
      </c>
      <c r="C5342" t="s">
        <v>9</v>
      </c>
      <c r="D5342">
        <v>51</v>
      </c>
      <c r="E5342">
        <v>2</v>
      </c>
      <c r="F5342">
        <v>3.92</v>
      </c>
      <c r="G5342">
        <v>54.02</v>
      </c>
      <c r="H5342">
        <v>2755.02</v>
      </c>
    </row>
    <row r="5343" spans="1:8" x14ac:dyDescent="0.35">
      <c r="A5343" t="s">
        <v>7</v>
      </c>
      <c r="B5343" t="s">
        <v>12</v>
      </c>
      <c r="C5343" t="s">
        <v>10</v>
      </c>
      <c r="D5343">
        <v>114</v>
      </c>
      <c r="E5343">
        <v>0</v>
      </c>
      <c r="F5343">
        <v>0</v>
      </c>
      <c r="G5343">
        <v>38.74</v>
      </c>
      <c r="H5343">
        <v>4416.3599999999997</v>
      </c>
    </row>
    <row r="5344" spans="1:8" x14ac:dyDescent="0.35">
      <c r="A5344" t="s">
        <v>5</v>
      </c>
      <c r="B5344" t="s">
        <v>12</v>
      </c>
      <c r="C5344" t="s">
        <v>9</v>
      </c>
      <c r="D5344">
        <v>240</v>
      </c>
      <c r="E5344">
        <v>5</v>
      </c>
      <c r="F5344">
        <v>2.08</v>
      </c>
      <c r="G5344">
        <v>30.43</v>
      </c>
      <c r="H5344">
        <v>7303.2</v>
      </c>
    </row>
    <row r="5345" spans="1:8" x14ac:dyDescent="0.35">
      <c r="A5345" t="s">
        <v>5</v>
      </c>
      <c r="B5345" t="s">
        <v>12</v>
      </c>
      <c r="C5345" t="s">
        <v>9</v>
      </c>
      <c r="D5345">
        <v>80</v>
      </c>
      <c r="E5345">
        <v>1</v>
      </c>
      <c r="F5345">
        <v>1.25</v>
      </c>
      <c r="G5345">
        <v>28.53</v>
      </c>
      <c r="H5345">
        <v>2282.4</v>
      </c>
    </row>
    <row r="5346" spans="1:8" x14ac:dyDescent="0.35">
      <c r="A5346" t="s">
        <v>7</v>
      </c>
      <c r="B5346" t="s">
        <v>12</v>
      </c>
      <c r="C5346" t="s">
        <v>10</v>
      </c>
      <c r="D5346">
        <v>171</v>
      </c>
      <c r="E5346">
        <v>10</v>
      </c>
      <c r="F5346">
        <v>5.85</v>
      </c>
      <c r="G5346">
        <v>39.67</v>
      </c>
      <c r="H5346">
        <v>6783.57</v>
      </c>
    </row>
    <row r="5347" spans="1:8" x14ac:dyDescent="0.35">
      <c r="A5347" t="s">
        <v>6</v>
      </c>
      <c r="B5347" t="s">
        <v>12</v>
      </c>
      <c r="C5347" t="s">
        <v>11</v>
      </c>
      <c r="D5347">
        <v>162</v>
      </c>
      <c r="E5347">
        <v>14</v>
      </c>
      <c r="F5347">
        <v>8.64</v>
      </c>
      <c r="G5347">
        <v>10.72</v>
      </c>
      <c r="H5347">
        <v>1736.64</v>
      </c>
    </row>
    <row r="5348" spans="1:8" x14ac:dyDescent="0.35">
      <c r="A5348" t="s">
        <v>7</v>
      </c>
      <c r="B5348" t="s">
        <v>12</v>
      </c>
      <c r="C5348" t="s">
        <v>10</v>
      </c>
      <c r="D5348">
        <v>237</v>
      </c>
      <c r="E5348">
        <v>7</v>
      </c>
      <c r="F5348">
        <v>2.95</v>
      </c>
      <c r="G5348">
        <v>27.11</v>
      </c>
      <c r="H5348">
        <v>6425.07</v>
      </c>
    </row>
    <row r="5349" spans="1:8" x14ac:dyDescent="0.35">
      <c r="A5349" t="s">
        <v>8</v>
      </c>
      <c r="B5349" t="s">
        <v>12</v>
      </c>
      <c r="C5349" t="s">
        <v>9</v>
      </c>
      <c r="D5349">
        <v>136</v>
      </c>
      <c r="E5349">
        <v>9</v>
      </c>
      <c r="F5349">
        <v>6.62</v>
      </c>
      <c r="G5349">
        <v>33.06</v>
      </c>
      <c r="H5349">
        <v>4496.16</v>
      </c>
    </row>
    <row r="5350" spans="1:8" x14ac:dyDescent="0.35">
      <c r="A5350" t="s">
        <v>5</v>
      </c>
      <c r="B5350" t="s">
        <v>12</v>
      </c>
      <c r="C5350" t="s">
        <v>9</v>
      </c>
      <c r="D5350">
        <v>291</v>
      </c>
      <c r="E5350">
        <v>26</v>
      </c>
      <c r="F5350">
        <v>8.93</v>
      </c>
      <c r="G5350">
        <v>40.64</v>
      </c>
      <c r="H5350">
        <v>11826.24</v>
      </c>
    </row>
    <row r="5351" spans="1:8" x14ac:dyDescent="0.35">
      <c r="A5351" t="s">
        <v>7</v>
      </c>
      <c r="B5351" t="s">
        <v>12</v>
      </c>
      <c r="C5351" t="s">
        <v>10</v>
      </c>
      <c r="D5351">
        <v>114</v>
      </c>
      <c r="E5351">
        <v>9</v>
      </c>
      <c r="F5351">
        <v>7.89</v>
      </c>
      <c r="G5351">
        <v>59.85</v>
      </c>
      <c r="H5351">
        <v>6822.9</v>
      </c>
    </row>
    <row r="5352" spans="1:8" x14ac:dyDescent="0.35">
      <c r="A5352" t="s">
        <v>5</v>
      </c>
      <c r="B5352" t="s">
        <v>12</v>
      </c>
      <c r="C5352" t="s">
        <v>9</v>
      </c>
      <c r="D5352">
        <v>133</v>
      </c>
      <c r="E5352">
        <v>8</v>
      </c>
      <c r="F5352">
        <v>6.02</v>
      </c>
      <c r="G5352">
        <v>29.11</v>
      </c>
      <c r="H5352">
        <v>3871.63</v>
      </c>
    </row>
    <row r="5353" spans="1:8" x14ac:dyDescent="0.35">
      <c r="A5353" t="s">
        <v>8</v>
      </c>
      <c r="B5353" t="s">
        <v>12</v>
      </c>
      <c r="C5353" t="s">
        <v>9</v>
      </c>
      <c r="D5353">
        <v>98</v>
      </c>
      <c r="E5353">
        <v>6</v>
      </c>
      <c r="F5353">
        <v>6.12</v>
      </c>
      <c r="G5353">
        <v>32.06</v>
      </c>
      <c r="H5353">
        <v>3141.88</v>
      </c>
    </row>
    <row r="5354" spans="1:8" x14ac:dyDescent="0.35">
      <c r="A5354" t="s">
        <v>5</v>
      </c>
      <c r="B5354" t="s">
        <v>12</v>
      </c>
      <c r="C5354" t="s">
        <v>9</v>
      </c>
      <c r="D5354">
        <v>53</v>
      </c>
      <c r="E5354">
        <v>3</v>
      </c>
      <c r="F5354">
        <v>5.66</v>
      </c>
      <c r="G5354">
        <v>44.51</v>
      </c>
      <c r="H5354">
        <v>2359.0300000000002</v>
      </c>
    </row>
    <row r="5355" spans="1:8" x14ac:dyDescent="0.35">
      <c r="A5355" t="s">
        <v>8</v>
      </c>
      <c r="B5355" t="s">
        <v>12</v>
      </c>
      <c r="C5355" t="s">
        <v>9</v>
      </c>
      <c r="D5355">
        <v>94</v>
      </c>
      <c r="E5355">
        <v>6</v>
      </c>
      <c r="F5355">
        <v>6.38</v>
      </c>
      <c r="G5355">
        <v>67.599999999999994</v>
      </c>
      <c r="H5355">
        <v>6354.4</v>
      </c>
    </row>
    <row r="5356" spans="1:8" x14ac:dyDescent="0.35">
      <c r="A5356" t="s">
        <v>7</v>
      </c>
      <c r="B5356" t="s">
        <v>12</v>
      </c>
      <c r="C5356" t="s">
        <v>9</v>
      </c>
      <c r="D5356">
        <v>251</v>
      </c>
      <c r="E5356">
        <v>15</v>
      </c>
      <c r="F5356">
        <v>5.98</v>
      </c>
      <c r="G5356">
        <v>54.22</v>
      </c>
      <c r="H5356">
        <v>13609.22</v>
      </c>
    </row>
    <row r="5357" spans="1:8" x14ac:dyDescent="0.35">
      <c r="A5357" t="s">
        <v>6</v>
      </c>
      <c r="B5357" t="s">
        <v>12</v>
      </c>
      <c r="C5357" t="s">
        <v>11</v>
      </c>
      <c r="D5357">
        <v>98</v>
      </c>
      <c r="E5357">
        <v>3</v>
      </c>
      <c r="F5357">
        <v>3.06</v>
      </c>
      <c r="G5357">
        <v>64.03</v>
      </c>
      <c r="H5357">
        <v>6274.94</v>
      </c>
    </row>
    <row r="5358" spans="1:8" x14ac:dyDescent="0.35">
      <c r="A5358" t="s">
        <v>6</v>
      </c>
      <c r="B5358" t="s">
        <v>12</v>
      </c>
      <c r="C5358" t="s">
        <v>11</v>
      </c>
      <c r="D5358">
        <v>112</v>
      </c>
      <c r="E5358">
        <v>6</v>
      </c>
      <c r="F5358">
        <v>5.36</v>
      </c>
      <c r="G5358">
        <v>5.41</v>
      </c>
      <c r="H5358">
        <v>605.91999999999996</v>
      </c>
    </row>
    <row r="5359" spans="1:8" x14ac:dyDescent="0.35">
      <c r="A5359" t="s">
        <v>6</v>
      </c>
      <c r="B5359" t="s">
        <v>12</v>
      </c>
      <c r="C5359" t="s">
        <v>11</v>
      </c>
      <c r="D5359">
        <v>73</v>
      </c>
      <c r="E5359">
        <v>0</v>
      </c>
      <c r="F5359">
        <v>0</v>
      </c>
      <c r="G5359">
        <v>20.350000000000001</v>
      </c>
      <c r="H5359">
        <v>1485.55</v>
      </c>
    </row>
    <row r="5360" spans="1:8" x14ac:dyDescent="0.35">
      <c r="A5360" t="s">
        <v>6</v>
      </c>
      <c r="B5360" t="s">
        <v>12</v>
      </c>
      <c r="C5360" t="s">
        <v>11</v>
      </c>
      <c r="D5360">
        <v>184</v>
      </c>
      <c r="E5360">
        <v>12</v>
      </c>
      <c r="F5360">
        <v>6.52</v>
      </c>
      <c r="G5360">
        <v>7.63</v>
      </c>
      <c r="H5360">
        <v>1403.92</v>
      </c>
    </row>
    <row r="5361" spans="1:8" x14ac:dyDescent="0.35">
      <c r="A5361" t="s">
        <v>5</v>
      </c>
      <c r="B5361" t="s">
        <v>12</v>
      </c>
      <c r="C5361" t="s">
        <v>9</v>
      </c>
      <c r="D5361">
        <v>171</v>
      </c>
      <c r="E5361">
        <v>6</v>
      </c>
      <c r="F5361">
        <v>3.51</v>
      </c>
      <c r="G5361">
        <v>16.13</v>
      </c>
      <c r="H5361">
        <v>2758.23</v>
      </c>
    </row>
    <row r="5362" spans="1:8" x14ac:dyDescent="0.35">
      <c r="A5362" t="s">
        <v>6</v>
      </c>
      <c r="B5362" t="s">
        <v>12</v>
      </c>
      <c r="C5362" t="s">
        <v>11</v>
      </c>
      <c r="D5362">
        <v>152</v>
      </c>
      <c r="E5362">
        <v>5</v>
      </c>
      <c r="F5362">
        <v>3.29</v>
      </c>
      <c r="G5362">
        <v>69.66</v>
      </c>
      <c r="H5362">
        <v>10588.32</v>
      </c>
    </row>
    <row r="5363" spans="1:8" x14ac:dyDescent="0.35">
      <c r="A5363" t="s">
        <v>5</v>
      </c>
      <c r="B5363" t="s">
        <v>12</v>
      </c>
      <c r="C5363" t="s">
        <v>9</v>
      </c>
      <c r="D5363">
        <v>280</v>
      </c>
      <c r="E5363">
        <v>25</v>
      </c>
      <c r="F5363">
        <v>8.93</v>
      </c>
      <c r="G5363">
        <v>49.19</v>
      </c>
      <c r="H5363">
        <v>13773.2</v>
      </c>
    </row>
    <row r="5364" spans="1:8" x14ac:dyDescent="0.35">
      <c r="A5364" t="s">
        <v>7</v>
      </c>
      <c r="B5364" t="s">
        <v>12</v>
      </c>
      <c r="C5364" t="s">
        <v>10</v>
      </c>
      <c r="D5364">
        <v>237</v>
      </c>
      <c r="E5364">
        <v>20</v>
      </c>
      <c r="F5364">
        <v>8.44</v>
      </c>
      <c r="G5364">
        <v>35.11</v>
      </c>
      <c r="H5364">
        <v>8321.07</v>
      </c>
    </row>
    <row r="5365" spans="1:8" x14ac:dyDescent="0.35">
      <c r="A5365" t="s">
        <v>5</v>
      </c>
      <c r="B5365" t="s">
        <v>12</v>
      </c>
      <c r="C5365" t="s">
        <v>9</v>
      </c>
      <c r="D5365">
        <v>242</v>
      </c>
      <c r="E5365">
        <v>22</v>
      </c>
      <c r="F5365">
        <v>9.09</v>
      </c>
      <c r="G5365">
        <v>47.12</v>
      </c>
      <c r="H5365">
        <v>11403.04</v>
      </c>
    </row>
    <row r="5366" spans="1:8" x14ac:dyDescent="0.35">
      <c r="A5366" t="s">
        <v>7</v>
      </c>
      <c r="B5366" t="s">
        <v>12</v>
      </c>
      <c r="C5366" t="s">
        <v>9</v>
      </c>
      <c r="D5366">
        <v>96</v>
      </c>
      <c r="E5366">
        <v>2</v>
      </c>
      <c r="F5366">
        <v>2.08</v>
      </c>
      <c r="G5366">
        <v>64.62</v>
      </c>
      <c r="H5366">
        <v>6203.52</v>
      </c>
    </row>
    <row r="5367" spans="1:8" x14ac:dyDescent="0.35">
      <c r="A5367" t="s">
        <v>6</v>
      </c>
      <c r="B5367" t="s">
        <v>12</v>
      </c>
      <c r="C5367" t="s">
        <v>11</v>
      </c>
      <c r="D5367">
        <v>291</v>
      </c>
      <c r="E5367">
        <v>26</v>
      </c>
      <c r="F5367">
        <v>8.93</v>
      </c>
      <c r="G5367">
        <v>48.92</v>
      </c>
      <c r="H5367">
        <v>14235.72</v>
      </c>
    </row>
    <row r="5368" spans="1:8" x14ac:dyDescent="0.35">
      <c r="A5368" t="s">
        <v>7</v>
      </c>
      <c r="B5368" t="s">
        <v>12</v>
      </c>
      <c r="C5368" t="s">
        <v>10</v>
      </c>
      <c r="D5368">
        <v>138</v>
      </c>
      <c r="E5368">
        <v>12</v>
      </c>
      <c r="F5368">
        <v>8.6999999999999993</v>
      </c>
      <c r="G5368">
        <v>54.66</v>
      </c>
      <c r="H5368">
        <v>7543.08</v>
      </c>
    </row>
    <row r="5369" spans="1:8" x14ac:dyDescent="0.35">
      <c r="A5369" t="s">
        <v>6</v>
      </c>
      <c r="B5369" t="s">
        <v>12</v>
      </c>
      <c r="C5369" t="s">
        <v>11</v>
      </c>
      <c r="D5369">
        <v>190</v>
      </c>
      <c r="E5369">
        <v>10</v>
      </c>
      <c r="F5369">
        <v>5.26</v>
      </c>
      <c r="G5369">
        <v>15.36</v>
      </c>
      <c r="H5369">
        <v>2918.4</v>
      </c>
    </row>
    <row r="5370" spans="1:8" x14ac:dyDescent="0.35">
      <c r="A5370" t="s">
        <v>7</v>
      </c>
      <c r="B5370" t="s">
        <v>12</v>
      </c>
      <c r="C5370" t="s">
        <v>9</v>
      </c>
      <c r="D5370">
        <v>199</v>
      </c>
      <c r="E5370">
        <v>14</v>
      </c>
      <c r="F5370">
        <v>7.04</v>
      </c>
      <c r="G5370">
        <v>51.89</v>
      </c>
      <c r="H5370">
        <v>10326.11</v>
      </c>
    </row>
    <row r="5371" spans="1:8" x14ac:dyDescent="0.35">
      <c r="A5371" t="s">
        <v>8</v>
      </c>
      <c r="B5371" t="s">
        <v>12</v>
      </c>
      <c r="C5371" t="s">
        <v>9</v>
      </c>
      <c r="D5371">
        <v>252</v>
      </c>
      <c r="E5371">
        <v>12</v>
      </c>
      <c r="F5371">
        <v>4.76</v>
      </c>
      <c r="G5371">
        <v>27.31</v>
      </c>
      <c r="H5371">
        <v>6882.12</v>
      </c>
    </row>
    <row r="5372" spans="1:8" x14ac:dyDescent="0.35">
      <c r="A5372" t="s">
        <v>6</v>
      </c>
      <c r="B5372" t="s">
        <v>12</v>
      </c>
      <c r="C5372" t="s">
        <v>9</v>
      </c>
      <c r="D5372">
        <v>51</v>
      </c>
      <c r="E5372">
        <v>4</v>
      </c>
      <c r="F5372">
        <v>7.84</v>
      </c>
      <c r="G5372">
        <v>57.63</v>
      </c>
      <c r="H5372">
        <v>2939.13</v>
      </c>
    </row>
    <row r="5373" spans="1:8" x14ac:dyDescent="0.35">
      <c r="A5373" t="s">
        <v>7</v>
      </c>
      <c r="B5373" t="s">
        <v>12</v>
      </c>
      <c r="C5373" t="s">
        <v>9</v>
      </c>
      <c r="D5373">
        <v>297</v>
      </c>
      <c r="E5373">
        <v>2</v>
      </c>
      <c r="F5373">
        <v>0.67</v>
      </c>
      <c r="G5373">
        <v>17.649999999999999</v>
      </c>
      <c r="H5373">
        <v>5242.05</v>
      </c>
    </row>
    <row r="5374" spans="1:8" x14ac:dyDescent="0.35">
      <c r="A5374" t="s">
        <v>6</v>
      </c>
      <c r="B5374" t="s">
        <v>12</v>
      </c>
      <c r="C5374" t="s">
        <v>11</v>
      </c>
      <c r="D5374">
        <v>102</v>
      </c>
      <c r="E5374">
        <v>5</v>
      </c>
      <c r="F5374">
        <v>4.9000000000000004</v>
      </c>
      <c r="G5374">
        <v>58.7</v>
      </c>
      <c r="H5374">
        <v>5987.4</v>
      </c>
    </row>
    <row r="5375" spans="1:8" x14ac:dyDescent="0.35">
      <c r="A5375" t="s">
        <v>5</v>
      </c>
      <c r="B5375" t="s">
        <v>12</v>
      </c>
      <c r="C5375" t="s">
        <v>9</v>
      </c>
      <c r="D5375">
        <v>85</v>
      </c>
      <c r="E5375">
        <v>0</v>
      </c>
      <c r="F5375">
        <v>0</v>
      </c>
      <c r="G5375">
        <v>59.37</v>
      </c>
      <c r="H5375">
        <v>5046.45</v>
      </c>
    </row>
    <row r="5376" spans="1:8" x14ac:dyDescent="0.35">
      <c r="A5376" t="s">
        <v>7</v>
      </c>
      <c r="B5376" t="s">
        <v>12</v>
      </c>
      <c r="C5376" t="s">
        <v>9</v>
      </c>
      <c r="D5376">
        <v>147</v>
      </c>
      <c r="E5376">
        <v>0</v>
      </c>
      <c r="F5376">
        <v>0</v>
      </c>
      <c r="G5376">
        <v>14.13</v>
      </c>
      <c r="H5376">
        <v>2077.11</v>
      </c>
    </row>
    <row r="5377" spans="1:8" x14ac:dyDescent="0.35">
      <c r="A5377" t="s">
        <v>7</v>
      </c>
      <c r="B5377" t="s">
        <v>12</v>
      </c>
      <c r="C5377" t="s">
        <v>10</v>
      </c>
      <c r="D5377">
        <v>221</v>
      </c>
      <c r="E5377">
        <v>1</v>
      </c>
      <c r="F5377">
        <v>0.45</v>
      </c>
      <c r="G5377">
        <v>67.27</v>
      </c>
      <c r="H5377">
        <v>14866.67</v>
      </c>
    </row>
    <row r="5378" spans="1:8" x14ac:dyDescent="0.35">
      <c r="A5378" t="s">
        <v>7</v>
      </c>
      <c r="B5378" t="s">
        <v>12</v>
      </c>
      <c r="C5378" t="s">
        <v>10</v>
      </c>
      <c r="D5378">
        <v>229</v>
      </c>
      <c r="E5378">
        <v>7</v>
      </c>
      <c r="F5378">
        <v>3.06</v>
      </c>
      <c r="G5378">
        <v>37.450000000000003</v>
      </c>
      <c r="H5378">
        <v>8576.0499999999993</v>
      </c>
    </row>
    <row r="5379" spans="1:8" x14ac:dyDescent="0.35">
      <c r="A5379" t="s">
        <v>5</v>
      </c>
      <c r="B5379" t="s">
        <v>12</v>
      </c>
      <c r="C5379" t="s">
        <v>9</v>
      </c>
      <c r="D5379">
        <v>257</v>
      </c>
      <c r="E5379">
        <v>19</v>
      </c>
      <c r="F5379">
        <v>7.39</v>
      </c>
      <c r="G5379">
        <v>44.38</v>
      </c>
      <c r="H5379">
        <v>11405.66</v>
      </c>
    </row>
    <row r="5380" spans="1:8" x14ac:dyDescent="0.35">
      <c r="A5380" t="s">
        <v>6</v>
      </c>
      <c r="B5380" t="s">
        <v>12</v>
      </c>
      <c r="C5380" t="s">
        <v>9</v>
      </c>
      <c r="D5380">
        <v>80</v>
      </c>
      <c r="E5380">
        <v>4</v>
      </c>
      <c r="F5380">
        <v>5</v>
      </c>
      <c r="G5380">
        <v>8.43</v>
      </c>
      <c r="H5380">
        <v>674.4</v>
      </c>
    </row>
    <row r="5381" spans="1:8" x14ac:dyDescent="0.35">
      <c r="A5381" t="s">
        <v>7</v>
      </c>
      <c r="B5381" t="s">
        <v>12</v>
      </c>
      <c r="C5381" t="s">
        <v>9</v>
      </c>
      <c r="D5381">
        <v>176</v>
      </c>
      <c r="E5381">
        <v>17</v>
      </c>
      <c r="F5381">
        <v>9.66</v>
      </c>
      <c r="G5381">
        <v>42.77</v>
      </c>
      <c r="H5381">
        <v>7527.52</v>
      </c>
    </row>
    <row r="5382" spans="1:8" x14ac:dyDescent="0.35">
      <c r="A5382" t="s">
        <v>8</v>
      </c>
      <c r="B5382" t="s">
        <v>12</v>
      </c>
      <c r="C5382" t="s">
        <v>9</v>
      </c>
      <c r="D5382">
        <v>251</v>
      </c>
      <c r="E5382">
        <v>11</v>
      </c>
      <c r="F5382">
        <v>4.38</v>
      </c>
      <c r="G5382">
        <v>21.35</v>
      </c>
      <c r="H5382">
        <v>5358.85</v>
      </c>
    </row>
    <row r="5383" spans="1:8" x14ac:dyDescent="0.35">
      <c r="A5383" t="s">
        <v>6</v>
      </c>
      <c r="B5383" t="s">
        <v>12</v>
      </c>
      <c r="C5383" t="s">
        <v>11</v>
      </c>
      <c r="D5383">
        <v>172</v>
      </c>
      <c r="E5383">
        <v>16</v>
      </c>
      <c r="F5383">
        <v>9.3000000000000007</v>
      </c>
      <c r="G5383">
        <v>61.76</v>
      </c>
      <c r="H5383">
        <v>10622.72</v>
      </c>
    </row>
    <row r="5384" spans="1:8" x14ac:dyDescent="0.35">
      <c r="A5384" t="s">
        <v>6</v>
      </c>
      <c r="B5384" t="s">
        <v>12</v>
      </c>
      <c r="C5384" t="s">
        <v>9</v>
      </c>
      <c r="D5384">
        <v>105</v>
      </c>
      <c r="E5384">
        <v>5</v>
      </c>
      <c r="F5384">
        <v>4.76</v>
      </c>
      <c r="G5384">
        <v>47.94</v>
      </c>
      <c r="H5384">
        <v>5033.7</v>
      </c>
    </row>
    <row r="5385" spans="1:8" x14ac:dyDescent="0.35">
      <c r="A5385" t="s">
        <v>7</v>
      </c>
      <c r="B5385" t="s">
        <v>12</v>
      </c>
      <c r="C5385" t="s">
        <v>10</v>
      </c>
      <c r="D5385">
        <v>299</v>
      </c>
      <c r="E5385">
        <v>0</v>
      </c>
      <c r="F5385">
        <v>0</v>
      </c>
      <c r="G5385">
        <v>50.83</v>
      </c>
      <c r="H5385">
        <v>15198.17</v>
      </c>
    </row>
    <row r="5386" spans="1:8" x14ac:dyDescent="0.35">
      <c r="A5386" t="s">
        <v>5</v>
      </c>
      <c r="B5386" t="s">
        <v>12</v>
      </c>
      <c r="C5386" t="s">
        <v>9</v>
      </c>
      <c r="D5386">
        <v>57</v>
      </c>
      <c r="E5386">
        <v>0</v>
      </c>
      <c r="F5386">
        <v>0</v>
      </c>
      <c r="G5386">
        <v>41.94</v>
      </c>
      <c r="H5386">
        <v>2390.58</v>
      </c>
    </row>
    <row r="5387" spans="1:8" x14ac:dyDescent="0.35">
      <c r="A5387" t="s">
        <v>8</v>
      </c>
      <c r="B5387" t="s">
        <v>12</v>
      </c>
      <c r="C5387" t="s">
        <v>9</v>
      </c>
      <c r="D5387">
        <v>214</v>
      </c>
      <c r="E5387">
        <v>1</v>
      </c>
      <c r="F5387">
        <v>0.47</v>
      </c>
      <c r="G5387">
        <v>33.590000000000003</v>
      </c>
      <c r="H5387">
        <v>7188.26</v>
      </c>
    </row>
    <row r="5388" spans="1:8" x14ac:dyDescent="0.35">
      <c r="A5388" t="s">
        <v>8</v>
      </c>
      <c r="B5388" t="s">
        <v>12</v>
      </c>
      <c r="C5388" t="s">
        <v>9</v>
      </c>
      <c r="D5388">
        <v>84</v>
      </c>
      <c r="E5388">
        <v>4</v>
      </c>
      <c r="F5388">
        <v>4.76</v>
      </c>
      <c r="G5388">
        <v>23.93</v>
      </c>
      <c r="H5388">
        <v>2010.12</v>
      </c>
    </row>
    <row r="5389" spans="1:8" x14ac:dyDescent="0.35">
      <c r="A5389" t="s">
        <v>8</v>
      </c>
      <c r="B5389" t="s">
        <v>12</v>
      </c>
      <c r="C5389" t="s">
        <v>9</v>
      </c>
      <c r="D5389">
        <v>249</v>
      </c>
      <c r="E5389">
        <v>17</v>
      </c>
      <c r="F5389">
        <v>6.83</v>
      </c>
      <c r="G5389">
        <v>8.99</v>
      </c>
      <c r="H5389">
        <v>2238.5100000000002</v>
      </c>
    </row>
    <row r="5390" spans="1:8" x14ac:dyDescent="0.35">
      <c r="A5390" t="s">
        <v>6</v>
      </c>
      <c r="B5390" t="s">
        <v>12</v>
      </c>
      <c r="C5390" t="s">
        <v>11</v>
      </c>
      <c r="D5390">
        <v>300</v>
      </c>
      <c r="E5390">
        <v>1</v>
      </c>
      <c r="F5390">
        <v>0.33</v>
      </c>
      <c r="G5390">
        <v>41.86</v>
      </c>
      <c r="H5390">
        <v>12558</v>
      </c>
    </row>
    <row r="5391" spans="1:8" x14ac:dyDescent="0.35">
      <c r="A5391" t="s">
        <v>8</v>
      </c>
      <c r="B5391" t="s">
        <v>12</v>
      </c>
      <c r="C5391" t="s">
        <v>9</v>
      </c>
      <c r="D5391">
        <v>209</v>
      </c>
      <c r="E5391">
        <v>9</v>
      </c>
      <c r="F5391">
        <v>4.3099999999999996</v>
      </c>
      <c r="G5391">
        <v>8.1999999999999993</v>
      </c>
      <c r="H5391">
        <v>1713.8</v>
      </c>
    </row>
    <row r="5392" spans="1:8" x14ac:dyDescent="0.35">
      <c r="A5392" t="s">
        <v>7</v>
      </c>
      <c r="B5392" t="s">
        <v>12</v>
      </c>
      <c r="C5392" t="s">
        <v>10</v>
      </c>
      <c r="D5392">
        <v>191</v>
      </c>
      <c r="E5392">
        <v>12</v>
      </c>
      <c r="F5392">
        <v>6.28</v>
      </c>
      <c r="G5392">
        <v>43.58</v>
      </c>
      <c r="H5392">
        <v>8323.7800000000007</v>
      </c>
    </row>
    <row r="5393" spans="1:8" x14ac:dyDescent="0.35">
      <c r="A5393" t="s">
        <v>8</v>
      </c>
      <c r="B5393" t="s">
        <v>12</v>
      </c>
      <c r="C5393" t="s">
        <v>9</v>
      </c>
      <c r="D5393">
        <v>223</v>
      </c>
      <c r="E5393">
        <v>5</v>
      </c>
      <c r="F5393">
        <v>2.2400000000000002</v>
      </c>
      <c r="G5393">
        <v>22.4</v>
      </c>
      <c r="H5393">
        <v>4995.2</v>
      </c>
    </row>
    <row r="5394" spans="1:8" x14ac:dyDescent="0.35">
      <c r="A5394" t="s">
        <v>8</v>
      </c>
      <c r="B5394" t="s">
        <v>12</v>
      </c>
      <c r="C5394" t="s">
        <v>9</v>
      </c>
      <c r="D5394">
        <v>76</v>
      </c>
      <c r="E5394">
        <v>3</v>
      </c>
      <c r="F5394">
        <v>3.95</v>
      </c>
      <c r="G5394">
        <v>29.03</v>
      </c>
      <c r="H5394">
        <v>2206.2800000000002</v>
      </c>
    </row>
    <row r="5395" spans="1:8" x14ac:dyDescent="0.35">
      <c r="A5395" t="s">
        <v>6</v>
      </c>
      <c r="B5395" t="s">
        <v>12</v>
      </c>
      <c r="C5395" t="s">
        <v>9</v>
      </c>
      <c r="D5395">
        <v>111</v>
      </c>
      <c r="E5395">
        <v>2</v>
      </c>
      <c r="F5395">
        <v>1.8</v>
      </c>
      <c r="G5395">
        <v>67.31</v>
      </c>
      <c r="H5395">
        <v>7471.41</v>
      </c>
    </row>
    <row r="5396" spans="1:8" x14ac:dyDescent="0.35">
      <c r="A5396" t="s">
        <v>7</v>
      </c>
      <c r="B5396" t="s">
        <v>12</v>
      </c>
      <c r="C5396" t="s">
        <v>9</v>
      </c>
      <c r="D5396">
        <v>210</v>
      </c>
      <c r="E5396">
        <v>15</v>
      </c>
      <c r="F5396">
        <v>7.14</v>
      </c>
      <c r="G5396">
        <v>22.9</v>
      </c>
      <c r="H5396">
        <v>4809</v>
      </c>
    </row>
    <row r="5397" spans="1:8" x14ac:dyDescent="0.35">
      <c r="A5397" t="s">
        <v>5</v>
      </c>
      <c r="B5397" t="s">
        <v>12</v>
      </c>
      <c r="C5397" t="s">
        <v>9</v>
      </c>
      <c r="D5397">
        <v>106</v>
      </c>
      <c r="E5397">
        <v>2</v>
      </c>
      <c r="F5397">
        <v>1.89</v>
      </c>
      <c r="G5397">
        <v>45.87</v>
      </c>
      <c r="H5397">
        <v>4862.22</v>
      </c>
    </row>
    <row r="5398" spans="1:8" x14ac:dyDescent="0.35">
      <c r="A5398" t="s">
        <v>5</v>
      </c>
      <c r="B5398" t="s">
        <v>12</v>
      </c>
      <c r="C5398" t="s">
        <v>9</v>
      </c>
      <c r="D5398">
        <v>97</v>
      </c>
      <c r="E5398">
        <v>0</v>
      </c>
      <c r="F5398">
        <v>0</v>
      </c>
      <c r="G5398">
        <v>49.46</v>
      </c>
      <c r="H5398">
        <v>4797.62</v>
      </c>
    </row>
    <row r="5399" spans="1:8" x14ac:dyDescent="0.35">
      <c r="A5399" t="s">
        <v>5</v>
      </c>
      <c r="B5399" t="s">
        <v>12</v>
      </c>
      <c r="C5399" t="s">
        <v>9</v>
      </c>
      <c r="D5399">
        <v>239</v>
      </c>
      <c r="E5399">
        <v>4</v>
      </c>
      <c r="F5399">
        <v>1.67</v>
      </c>
      <c r="G5399">
        <v>21.24</v>
      </c>
      <c r="H5399">
        <v>5076.3599999999997</v>
      </c>
    </row>
    <row r="5400" spans="1:8" x14ac:dyDescent="0.35">
      <c r="A5400" t="s">
        <v>5</v>
      </c>
      <c r="B5400" t="s">
        <v>12</v>
      </c>
      <c r="C5400" t="s">
        <v>9</v>
      </c>
      <c r="D5400">
        <v>265</v>
      </c>
      <c r="E5400">
        <v>13</v>
      </c>
      <c r="F5400">
        <v>4.91</v>
      </c>
      <c r="G5400">
        <v>49.28</v>
      </c>
      <c r="H5400">
        <v>13059.2</v>
      </c>
    </row>
    <row r="5401" spans="1:8" x14ac:dyDescent="0.35">
      <c r="A5401" t="s">
        <v>7</v>
      </c>
      <c r="B5401" t="s">
        <v>12</v>
      </c>
      <c r="C5401" t="s">
        <v>9</v>
      </c>
      <c r="D5401">
        <v>294</v>
      </c>
      <c r="E5401">
        <v>10</v>
      </c>
      <c r="F5401">
        <v>3.4</v>
      </c>
      <c r="G5401">
        <v>64.31</v>
      </c>
      <c r="H5401">
        <v>18907.14</v>
      </c>
    </row>
    <row r="5402" spans="1:8" x14ac:dyDescent="0.35">
      <c r="A5402" t="s">
        <v>5</v>
      </c>
      <c r="B5402" t="s">
        <v>12</v>
      </c>
      <c r="C5402" t="s">
        <v>9</v>
      </c>
      <c r="D5402">
        <v>297</v>
      </c>
      <c r="E5402">
        <v>28</v>
      </c>
      <c r="F5402">
        <v>9.43</v>
      </c>
      <c r="G5402">
        <v>48.36</v>
      </c>
      <c r="H5402">
        <v>14362.92</v>
      </c>
    </row>
    <row r="5403" spans="1:8" x14ac:dyDescent="0.35">
      <c r="A5403" t="s">
        <v>7</v>
      </c>
      <c r="B5403" t="s">
        <v>12</v>
      </c>
      <c r="C5403" t="s">
        <v>10</v>
      </c>
      <c r="D5403">
        <v>94</v>
      </c>
      <c r="E5403">
        <v>4</v>
      </c>
      <c r="F5403">
        <v>4.26</v>
      </c>
      <c r="G5403">
        <v>33.18</v>
      </c>
      <c r="H5403">
        <v>3118.92</v>
      </c>
    </row>
    <row r="5404" spans="1:8" x14ac:dyDescent="0.35">
      <c r="A5404" t="s">
        <v>8</v>
      </c>
      <c r="B5404" t="s">
        <v>12</v>
      </c>
      <c r="C5404" t="s">
        <v>9</v>
      </c>
      <c r="D5404">
        <v>229</v>
      </c>
      <c r="E5404">
        <v>16</v>
      </c>
      <c r="F5404">
        <v>6.99</v>
      </c>
      <c r="G5404">
        <v>34</v>
      </c>
      <c r="H5404">
        <v>7786</v>
      </c>
    </row>
    <row r="5405" spans="1:8" x14ac:dyDescent="0.35">
      <c r="A5405" t="s">
        <v>7</v>
      </c>
      <c r="B5405" t="s">
        <v>12</v>
      </c>
      <c r="C5405" t="s">
        <v>10</v>
      </c>
      <c r="D5405">
        <v>110</v>
      </c>
      <c r="E5405">
        <v>4</v>
      </c>
      <c r="F5405">
        <v>3.64</v>
      </c>
      <c r="G5405">
        <v>24.27</v>
      </c>
      <c r="H5405">
        <v>2669.7</v>
      </c>
    </row>
    <row r="5406" spans="1:8" x14ac:dyDescent="0.35">
      <c r="A5406" t="s">
        <v>7</v>
      </c>
      <c r="B5406" t="s">
        <v>12</v>
      </c>
      <c r="C5406" t="s">
        <v>10</v>
      </c>
      <c r="D5406">
        <v>89</v>
      </c>
      <c r="E5406">
        <v>8</v>
      </c>
      <c r="F5406">
        <v>8.99</v>
      </c>
      <c r="G5406">
        <v>20.63</v>
      </c>
      <c r="H5406">
        <v>1836.07</v>
      </c>
    </row>
    <row r="5407" spans="1:8" x14ac:dyDescent="0.35">
      <c r="A5407" t="s">
        <v>7</v>
      </c>
      <c r="B5407" t="s">
        <v>12</v>
      </c>
      <c r="C5407" t="s">
        <v>9</v>
      </c>
      <c r="D5407">
        <v>227</v>
      </c>
      <c r="E5407">
        <v>21</v>
      </c>
      <c r="F5407">
        <v>9.25</v>
      </c>
      <c r="G5407">
        <v>14.4</v>
      </c>
      <c r="H5407">
        <v>3268.8</v>
      </c>
    </row>
    <row r="5408" spans="1:8" x14ac:dyDescent="0.35">
      <c r="A5408" t="s">
        <v>8</v>
      </c>
      <c r="B5408" t="s">
        <v>12</v>
      </c>
      <c r="C5408" t="s">
        <v>9</v>
      </c>
      <c r="D5408">
        <v>288</v>
      </c>
      <c r="E5408">
        <v>25</v>
      </c>
      <c r="F5408">
        <v>8.68</v>
      </c>
      <c r="G5408">
        <v>63.98</v>
      </c>
      <c r="H5408">
        <v>18426.240000000002</v>
      </c>
    </row>
    <row r="5409" spans="1:8" x14ac:dyDescent="0.35">
      <c r="A5409" t="s">
        <v>6</v>
      </c>
      <c r="B5409" t="s">
        <v>12</v>
      </c>
      <c r="C5409" t="s">
        <v>11</v>
      </c>
      <c r="D5409">
        <v>164</v>
      </c>
      <c r="E5409">
        <v>3</v>
      </c>
      <c r="F5409">
        <v>1.83</v>
      </c>
      <c r="G5409">
        <v>34.56</v>
      </c>
      <c r="H5409">
        <v>5667.84</v>
      </c>
    </row>
    <row r="5410" spans="1:8" x14ac:dyDescent="0.35">
      <c r="A5410" t="s">
        <v>5</v>
      </c>
      <c r="B5410" t="s">
        <v>12</v>
      </c>
      <c r="C5410" t="s">
        <v>9</v>
      </c>
      <c r="D5410">
        <v>89</v>
      </c>
      <c r="E5410">
        <v>1</v>
      </c>
      <c r="F5410">
        <v>1.1200000000000001</v>
      </c>
      <c r="G5410">
        <v>23.06</v>
      </c>
      <c r="H5410">
        <v>2052.34</v>
      </c>
    </row>
    <row r="5411" spans="1:8" x14ac:dyDescent="0.35">
      <c r="A5411" t="s">
        <v>6</v>
      </c>
      <c r="B5411" t="s">
        <v>12</v>
      </c>
      <c r="C5411" t="s">
        <v>9</v>
      </c>
      <c r="D5411">
        <v>232</v>
      </c>
      <c r="E5411">
        <v>15</v>
      </c>
      <c r="F5411">
        <v>6.47</v>
      </c>
      <c r="G5411">
        <v>52.87</v>
      </c>
      <c r="H5411">
        <v>12265.84</v>
      </c>
    </row>
    <row r="5412" spans="1:8" x14ac:dyDescent="0.35">
      <c r="A5412" t="s">
        <v>5</v>
      </c>
      <c r="B5412" t="s">
        <v>12</v>
      </c>
      <c r="C5412" t="s">
        <v>9</v>
      </c>
      <c r="D5412">
        <v>106</v>
      </c>
      <c r="E5412">
        <v>10</v>
      </c>
      <c r="F5412">
        <v>9.43</v>
      </c>
      <c r="G5412">
        <v>63.65</v>
      </c>
      <c r="H5412">
        <v>6746.9</v>
      </c>
    </row>
    <row r="5413" spans="1:8" x14ac:dyDescent="0.35">
      <c r="A5413" t="s">
        <v>7</v>
      </c>
      <c r="B5413" t="s">
        <v>12</v>
      </c>
      <c r="C5413" t="s">
        <v>9</v>
      </c>
      <c r="D5413">
        <v>255</v>
      </c>
      <c r="E5413">
        <v>24</v>
      </c>
      <c r="F5413">
        <v>9.41</v>
      </c>
      <c r="G5413">
        <v>57.01</v>
      </c>
      <c r="H5413">
        <v>14537.55</v>
      </c>
    </row>
    <row r="5414" spans="1:8" x14ac:dyDescent="0.35">
      <c r="A5414" t="s">
        <v>7</v>
      </c>
      <c r="B5414" t="s">
        <v>12</v>
      </c>
      <c r="C5414" t="s">
        <v>10</v>
      </c>
      <c r="D5414">
        <v>56</v>
      </c>
      <c r="E5414">
        <v>5</v>
      </c>
      <c r="F5414">
        <v>8.93</v>
      </c>
      <c r="G5414">
        <v>32.31</v>
      </c>
      <c r="H5414">
        <v>1809.36</v>
      </c>
    </row>
    <row r="5415" spans="1:8" x14ac:dyDescent="0.35">
      <c r="A5415" t="s">
        <v>7</v>
      </c>
      <c r="B5415" t="s">
        <v>12</v>
      </c>
      <c r="C5415" t="s">
        <v>10</v>
      </c>
      <c r="D5415">
        <v>166</v>
      </c>
      <c r="E5415">
        <v>7</v>
      </c>
      <c r="F5415">
        <v>4.22</v>
      </c>
      <c r="G5415">
        <v>33.54</v>
      </c>
      <c r="H5415">
        <v>5567.64</v>
      </c>
    </row>
    <row r="5416" spans="1:8" x14ac:dyDescent="0.35">
      <c r="A5416" t="s">
        <v>6</v>
      </c>
      <c r="B5416" t="s">
        <v>12</v>
      </c>
      <c r="C5416" t="s">
        <v>9</v>
      </c>
      <c r="D5416">
        <v>281</v>
      </c>
      <c r="E5416">
        <v>3</v>
      </c>
      <c r="F5416">
        <v>1.07</v>
      </c>
      <c r="G5416">
        <v>42.26</v>
      </c>
      <c r="H5416">
        <v>11875.06</v>
      </c>
    </row>
    <row r="5417" spans="1:8" x14ac:dyDescent="0.35">
      <c r="A5417" t="s">
        <v>7</v>
      </c>
      <c r="B5417" t="s">
        <v>12</v>
      </c>
      <c r="C5417" t="s">
        <v>10</v>
      </c>
      <c r="D5417">
        <v>265</v>
      </c>
      <c r="E5417">
        <v>6</v>
      </c>
      <c r="F5417">
        <v>2.2599999999999998</v>
      </c>
      <c r="G5417">
        <v>8.34</v>
      </c>
      <c r="H5417">
        <v>2210.1</v>
      </c>
    </row>
    <row r="5418" spans="1:8" x14ac:dyDescent="0.35">
      <c r="A5418" t="s">
        <v>6</v>
      </c>
      <c r="B5418" t="s">
        <v>12</v>
      </c>
      <c r="C5418" t="s">
        <v>11</v>
      </c>
      <c r="D5418">
        <v>71</v>
      </c>
      <c r="E5418">
        <v>3</v>
      </c>
      <c r="F5418">
        <v>4.2300000000000004</v>
      </c>
      <c r="G5418">
        <v>56.38</v>
      </c>
      <c r="H5418">
        <v>4002.98</v>
      </c>
    </row>
    <row r="5419" spans="1:8" x14ac:dyDescent="0.35">
      <c r="A5419" t="s">
        <v>5</v>
      </c>
      <c r="B5419" t="s">
        <v>12</v>
      </c>
      <c r="C5419" t="s">
        <v>9</v>
      </c>
      <c r="D5419">
        <v>145</v>
      </c>
      <c r="E5419">
        <v>1</v>
      </c>
      <c r="F5419">
        <v>0.69</v>
      </c>
      <c r="G5419">
        <v>34.520000000000003</v>
      </c>
      <c r="H5419">
        <v>5005.3999999999996</v>
      </c>
    </row>
    <row r="5420" spans="1:8" x14ac:dyDescent="0.35">
      <c r="A5420" t="s">
        <v>7</v>
      </c>
      <c r="B5420" t="s">
        <v>12</v>
      </c>
      <c r="C5420" t="s">
        <v>10</v>
      </c>
      <c r="D5420">
        <v>65</v>
      </c>
      <c r="E5420">
        <v>3</v>
      </c>
      <c r="F5420">
        <v>4.62</v>
      </c>
      <c r="G5420">
        <v>36.200000000000003</v>
      </c>
      <c r="H5420">
        <v>2353</v>
      </c>
    </row>
    <row r="5421" spans="1:8" x14ac:dyDescent="0.35">
      <c r="A5421" t="s">
        <v>5</v>
      </c>
      <c r="B5421" t="s">
        <v>12</v>
      </c>
      <c r="C5421" t="s">
        <v>9</v>
      </c>
      <c r="D5421">
        <v>119</v>
      </c>
      <c r="E5421">
        <v>6</v>
      </c>
      <c r="F5421">
        <v>5.04</v>
      </c>
      <c r="G5421">
        <v>51.4</v>
      </c>
      <c r="H5421">
        <v>6116.6</v>
      </c>
    </row>
    <row r="5422" spans="1:8" x14ac:dyDescent="0.35">
      <c r="A5422" t="s">
        <v>6</v>
      </c>
      <c r="B5422" t="s">
        <v>12</v>
      </c>
      <c r="C5422" t="s">
        <v>11</v>
      </c>
      <c r="D5422">
        <v>162</v>
      </c>
      <c r="E5422">
        <v>13</v>
      </c>
      <c r="F5422">
        <v>8.02</v>
      </c>
      <c r="G5422">
        <v>44.28</v>
      </c>
      <c r="H5422">
        <v>7173.36</v>
      </c>
    </row>
    <row r="5423" spans="1:8" x14ac:dyDescent="0.35">
      <c r="A5423" t="s">
        <v>6</v>
      </c>
      <c r="B5423" t="s">
        <v>12</v>
      </c>
      <c r="C5423" t="s">
        <v>11</v>
      </c>
      <c r="D5423">
        <v>106</v>
      </c>
      <c r="E5423">
        <v>4</v>
      </c>
      <c r="F5423">
        <v>3.77</v>
      </c>
      <c r="G5423">
        <v>44.82</v>
      </c>
      <c r="H5423">
        <v>4750.92</v>
      </c>
    </row>
    <row r="5424" spans="1:8" x14ac:dyDescent="0.35">
      <c r="A5424" t="s">
        <v>6</v>
      </c>
      <c r="B5424" t="s">
        <v>12</v>
      </c>
      <c r="C5424" t="s">
        <v>9</v>
      </c>
      <c r="D5424">
        <v>294</v>
      </c>
      <c r="E5424">
        <v>14</v>
      </c>
      <c r="F5424">
        <v>4.76</v>
      </c>
      <c r="G5424">
        <v>60.35</v>
      </c>
      <c r="H5424">
        <v>17742.900000000001</v>
      </c>
    </row>
    <row r="5425" spans="1:8" x14ac:dyDescent="0.35">
      <c r="A5425" t="s">
        <v>5</v>
      </c>
      <c r="B5425" t="s">
        <v>12</v>
      </c>
      <c r="C5425" t="s">
        <v>9</v>
      </c>
      <c r="D5425">
        <v>164</v>
      </c>
      <c r="E5425">
        <v>13</v>
      </c>
      <c r="F5425">
        <v>7.93</v>
      </c>
      <c r="G5425">
        <v>63.57</v>
      </c>
      <c r="H5425">
        <v>10425.48</v>
      </c>
    </row>
    <row r="5426" spans="1:8" x14ac:dyDescent="0.35">
      <c r="A5426" t="s">
        <v>6</v>
      </c>
      <c r="B5426" t="s">
        <v>12</v>
      </c>
      <c r="C5426" t="s">
        <v>9</v>
      </c>
      <c r="D5426">
        <v>192</v>
      </c>
      <c r="E5426">
        <v>16</v>
      </c>
      <c r="F5426">
        <v>8.33</v>
      </c>
      <c r="G5426">
        <v>45.46</v>
      </c>
      <c r="H5426">
        <v>8728.32</v>
      </c>
    </row>
    <row r="5427" spans="1:8" x14ac:dyDescent="0.35">
      <c r="A5427" t="s">
        <v>7</v>
      </c>
      <c r="B5427" t="s">
        <v>12</v>
      </c>
      <c r="C5427" t="s">
        <v>9</v>
      </c>
      <c r="D5427">
        <v>196</v>
      </c>
      <c r="E5427">
        <v>7</v>
      </c>
      <c r="F5427">
        <v>3.57</v>
      </c>
      <c r="G5427">
        <v>49.21</v>
      </c>
      <c r="H5427">
        <v>9645.16</v>
      </c>
    </row>
    <row r="5428" spans="1:8" x14ac:dyDescent="0.35">
      <c r="A5428" t="s">
        <v>7</v>
      </c>
      <c r="B5428" t="s">
        <v>12</v>
      </c>
      <c r="C5428" t="s">
        <v>9</v>
      </c>
      <c r="D5428">
        <v>208</v>
      </c>
      <c r="E5428">
        <v>17</v>
      </c>
      <c r="F5428">
        <v>8.17</v>
      </c>
      <c r="G5428">
        <v>43.71</v>
      </c>
      <c r="H5428">
        <v>9091.68</v>
      </c>
    </row>
    <row r="5429" spans="1:8" x14ac:dyDescent="0.35">
      <c r="A5429" t="s">
        <v>6</v>
      </c>
      <c r="B5429" t="s">
        <v>12</v>
      </c>
      <c r="C5429" t="s">
        <v>11</v>
      </c>
      <c r="D5429">
        <v>161</v>
      </c>
      <c r="E5429">
        <v>4</v>
      </c>
      <c r="F5429">
        <v>2.48</v>
      </c>
      <c r="G5429">
        <v>47.82</v>
      </c>
      <c r="H5429">
        <v>7699.02</v>
      </c>
    </row>
    <row r="5430" spans="1:8" x14ac:dyDescent="0.35">
      <c r="A5430" t="s">
        <v>8</v>
      </c>
      <c r="B5430" t="s">
        <v>12</v>
      </c>
      <c r="C5430" t="s">
        <v>9</v>
      </c>
      <c r="D5430">
        <v>193</v>
      </c>
      <c r="E5430">
        <v>12</v>
      </c>
      <c r="F5430">
        <v>6.22</v>
      </c>
      <c r="G5430">
        <v>50.96</v>
      </c>
      <c r="H5430">
        <v>9835.2800000000007</v>
      </c>
    </row>
    <row r="5431" spans="1:8" x14ac:dyDescent="0.35">
      <c r="A5431" t="s">
        <v>6</v>
      </c>
      <c r="B5431" t="s">
        <v>12</v>
      </c>
      <c r="C5431" t="s">
        <v>11</v>
      </c>
      <c r="D5431">
        <v>87</v>
      </c>
      <c r="E5431">
        <v>3</v>
      </c>
      <c r="F5431">
        <v>3.45</v>
      </c>
      <c r="G5431">
        <v>61</v>
      </c>
      <c r="H5431">
        <v>5307</v>
      </c>
    </row>
    <row r="5432" spans="1:8" x14ac:dyDescent="0.35">
      <c r="A5432" t="s">
        <v>6</v>
      </c>
      <c r="B5432" t="s">
        <v>12</v>
      </c>
      <c r="C5432" t="s">
        <v>11</v>
      </c>
      <c r="D5432">
        <v>147</v>
      </c>
      <c r="E5432">
        <v>4</v>
      </c>
      <c r="F5432">
        <v>2.72</v>
      </c>
      <c r="G5432">
        <v>58.03</v>
      </c>
      <c r="H5432">
        <v>8530.41</v>
      </c>
    </row>
    <row r="5433" spans="1:8" x14ac:dyDescent="0.35">
      <c r="A5433" t="s">
        <v>6</v>
      </c>
      <c r="B5433" t="s">
        <v>12</v>
      </c>
      <c r="C5433" t="s">
        <v>11</v>
      </c>
      <c r="D5433">
        <v>202</v>
      </c>
      <c r="E5433">
        <v>5</v>
      </c>
      <c r="F5433">
        <v>2.48</v>
      </c>
      <c r="G5433">
        <v>58.41</v>
      </c>
      <c r="H5433">
        <v>11798.82</v>
      </c>
    </row>
    <row r="5434" spans="1:8" x14ac:dyDescent="0.35">
      <c r="A5434" t="s">
        <v>5</v>
      </c>
      <c r="B5434" t="s">
        <v>12</v>
      </c>
      <c r="C5434" t="s">
        <v>9</v>
      </c>
      <c r="D5434">
        <v>228</v>
      </c>
      <c r="E5434">
        <v>18</v>
      </c>
      <c r="F5434">
        <v>7.89</v>
      </c>
      <c r="G5434">
        <v>53.16</v>
      </c>
      <c r="H5434">
        <v>12120.48</v>
      </c>
    </row>
    <row r="5435" spans="1:8" x14ac:dyDescent="0.35">
      <c r="A5435" t="s">
        <v>6</v>
      </c>
      <c r="B5435" t="s">
        <v>12</v>
      </c>
      <c r="C5435" t="s">
        <v>11</v>
      </c>
      <c r="D5435">
        <v>118</v>
      </c>
      <c r="E5435">
        <v>3</v>
      </c>
      <c r="F5435">
        <v>2.54</v>
      </c>
      <c r="G5435">
        <v>8.64</v>
      </c>
      <c r="H5435">
        <v>1019.52</v>
      </c>
    </row>
    <row r="5436" spans="1:8" x14ac:dyDescent="0.35">
      <c r="A5436" t="s">
        <v>8</v>
      </c>
      <c r="B5436" t="s">
        <v>12</v>
      </c>
      <c r="C5436" t="s">
        <v>9</v>
      </c>
      <c r="D5436">
        <v>226</v>
      </c>
      <c r="E5436">
        <v>15</v>
      </c>
      <c r="F5436">
        <v>6.64</v>
      </c>
      <c r="G5436">
        <v>48.21</v>
      </c>
      <c r="H5436">
        <v>10895.46</v>
      </c>
    </row>
    <row r="5437" spans="1:8" x14ac:dyDescent="0.35">
      <c r="A5437" t="s">
        <v>8</v>
      </c>
      <c r="B5437" t="s">
        <v>12</v>
      </c>
      <c r="C5437" t="s">
        <v>9</v>
      </c>
      <c r="D5437">
        <v>244</v>
      </c>
      <c r="E5437">
        <v>9</v>
      </c>
      <c r="F5437">
        <v>3.69</v>
      </c>
      <c r="G5437">
        <v>44.58</v>
      </c>
      <c r="H5437">
        <v>10877.52</v>
      </c>
    </row>
    <row r="5438" spans="1:8" x14ac:dyDescent="0.35">
      <c r="A5438" t="s">
        <v>7</v>
      </c>
      <c r="B5438" t="s">
        <v>12</v>
      </c>
      <c r="C5438" t="s">
        <v>10</v>
      </c>
      <c r="D5438">
        <v>294</v>
      </c>
      <c r="E5438">
        <v>22</v>
      </c>
      <c r="F5438">
        <v>7.48</v>
      </c>
      <c r="G5438">
        <v>42.05</v>
      </c>
      <c r="H5438">
        <v>12362.7</v>
      </c>
    </row>
    <row r="5439" spans="1:8" x14ac:dyDescent="0.35">
      <c r="A5439" t="s">
        <v>6</v>
      </c>
      <c r="B5439" t="s">
        <v>12</v>
      </c>
      <c r="C5439" t="s">
        <v>9</v>
      </c>
      <c r="D5439">
        <v>131</v>
      </c>
      <c r="E5439">
        <v>10</v>
      </c>
      <c r="F5439">
        <v>7.63</v>
      </c>
      <c r="G5439">
        <v>47.3</v>
      </c>
      <c r="H5439">
        <v>6196.3</v>
      </c>
    </row>
    <row r="5440" spans="1:8" x14ac:dyDescent="0.35">
      <c r="A5440" t="s">
        <v>6</v>
      </c>
      <c r="B5440" t="s">
        <v>12</v>
      </c>
      <c r="C5440" t="s">
        <v>11</v>
      </c>
      <c r="D5440">
        <v>239</v>
      </c>
      <c r="E5440">
        <v>17</v>
      </c>
      <c r="F5440">
        <v>7.11</v>
      </c>
      <c r="G5440">
        <v>5.84</v>
      </c>
      <c r="H5440">
        <v>1395.76</v>
      </c>
    </row>
    <row r="5441" spans="1:8" x14ac:dyDescent="0.35">
      <c r="A5441" t="s">
        <v>6</v>
      </c>
      <c r="B5441" t="s">
        <v>12</v>
      </c>
      <c r="C5441" t="s">
        <v>9</v>
      </c>
      <c r="D5441">
        <v>152</v>
      </c>
      <c r="E5441">
        <v>2</v>
      </c>
      <c r="F5441">
        <v>1.32</v>
      </c>
      <c r="G5441">
        <v>59.76</v>
      </c>
      <c r="H5441">
        <v>9083.52</v>
      </c>
    </row>
    <row r="5442" spans="1:8" x14ac:dyDescent="0.35">
      <c r="A5442" t="s">
        <v>7</v>
      </c>
      <c r="B5442" t="s">
        <v>12</v>
      </c>
      <c r="C5442" t="s">
        <v>9</v>
      </c>
      <c r="D5442">
        <v>85</v>
      </c>
      <c r="E5442">
        <v>5</v>
      </c>
      <c r="F5442">
        <v>5.88</v>
      </c>
      <c r="G5442">
        <v>46.86</v>
      </c>
      <c r="H5442">
        <v>3983.1</v>
      </c>
    </row>
    <row r="5443" spans="1:8" x14ac:dyDescent="0.35">
      <c r="A5443" t="s">
        <v>5</v>
      </c>
      <c r="B5443" t="s">
        <v>12</v>
      </c>
      <c r="C5443" t="s">
        <v>9</v>
      </c>
      <c r="D5443">
        <v>127</v>
      </c>
      <c r="E5443">
        <v>6</v>
      </c>
      <c r="F5443">
        <v>4.72</v>
      </c>
      <c r="G5443">
        <v>34.950000000000003</v>
      </c>
      <c r="H5443">
        <v>4438.6499999999996</v>
      </c>
    </row>
    <row r="5444" spans="1:8" x14ac:dyDescent="0.35">
      <c r="A5444" t="s">
        <v>6</v>
      </c>
      <c r="B5444" t="s">
        <v>12</v>
      </c>
      <c r="C5444" t="s">
        <v>9</v>
      </c>
      <c r="D5444">
        <v>93</v>
      </c>
      <c r="E5444">
        <v>5</v>
      </c>
      <c r="F5444">
        <v>5.38</v>
      </c>
      <c r="G5444">
        <v>18.489999999999998</v>
      </c>
      <c r="H5444">
        <v>1719.57</v>
      </c>
    </row>
    <row r="5445" spans="1:8" x14ac:dyDescent="0.35">
      <c r="A5445" t="s">
        <v>8</v>
      </c>
      <c r="B5445" t="s">
        <v>12</v>
      </c>
      <c r="C5445" t="s">
        <v>9</v>
      </c>
      <c r="D5445">
        <v>95</v>
      </c>
      <c r="E5445">
        <v>7</v>
      </c>
      <c r="F5445">
        <v>7.37</v>
      </c>
      <c r="G5445">
        <v>38.57</v>
      </c>
      <c r="H5445">
        <v>3664.15</v>
      </c>
    </row>
    <row r="5446" spans="1:8" x14ac:dyDescent="0.35">
      <c r="A5446" t="s">
        <v>6</v>
      </c>
      <c r="B5446" t="s">
        <v>12</v>
      </c>
      <c r="C5446" t="s">
        <v>11</v>
      </c>
      <c r="D5446">
        <v>79</v>
      </c>
      <c r="E5446">
        <v>7</v>
      </c>
      <c r="F5446">
        <v>8.86</v>
      </c>
      <c r="G5446">
        <v>40.53</v>
      </c>
      <c r="H5446">
        <v>3201.87</v>
      </c>
    </row>
    <row r="5447" spans="1:8" x14ac:dyDescent="0.35">
      <c r="A5447" t="s">
        <v>6</v>
      </c>
      <c r="B5447" t="s">
        <v>12</v>
      </c>
      <c r="C5447" t="s">
        <v>9</v>
      </c>
      <c r="D5447">
        <v>251</v>
      </c>
      <c r="E5447">
        <v>12</v>
      </c>
      <c r="F5447">
        <v>4.78</v>
      </c>
      <c r="G5447">
        <v>51.2</v>
      </c>
      <c r="H5447">
        <v>12851.2</v>
      </c>
    </row>
    <row r="5448" spans="1:8" x14ac:dyDescent="0.35">
      <c r="A5448" t="s">
        <v>6</v>
      </c>
      <c r="B5448" t="s">
        <v>12</v>
      </c>
      <c r="C5448" t="s">
        <v>11</v>
      </c>
      <c r="D5448">
        <v>166</v>
      </c>
      <c r="E5448">
        <v>16</v>
      </c>
      <c r="F5448">
        <v>9.64</v>
      </c>
      <c r="G5448">
        <v>10.18</v>
      </c>
      <c r="H5448">
        <v>1689.88</v>
      </c>
    </row>
    <row r="5449" spans="1:8" x14ac:dyDescent="0.35">
      <c r="A5449" t="s">
        <v>6</v>
      </c>
      <c r="B5449" t="s">
        <v>12</v>
      </c>
      <c r="C5449" t="s">
        <v>11</v>
      </c>
      <c r="D5449">
        <v>75</v>
      </c>
      <c r="E5449">
        <v>5</v>
      </c>
      <c r="F5449">
        <v>6.67</v>
      </c>
      <c r="G5449">
        <v>43.36</v>
      </c>
      <c r="H5449">
        <v>3252</v>
      </c>
    </row>
    <row r="5450" spans="1:8" x14ac:dyDescent="0.35">
      <c r="A5450" t="s">
        <v>5</v>
      </c>
      <c r="B5450" t="s">
        <v>12</v>
      </c>
      <c r="C5450" t="s">
        <v>9</v>
      </c>
      <c r="D5450">
        <v>229</v>
      </c>
      <c r="E5450">
        <v>5</v>
      </c>
      <c r="F5450">
        <v>2.1800000000000002</v>
      </c>
      <c r="G5450">
        <v>27.82</v>
      </c>
      <c r="H5450">
        <v>6370.78</v>
      </c>
    </row>
    <row r="5451" spans="1:8" x14ac:dyDescent="0.35">
      <c r="A5451" t="s">
        <v>6</v>
      </c>
      <c r="B5451" t="s">
        <v>12</v>
      </c>
      <c r="C5451" t="s">
        <v>9</v>
      </c>
      <c r="D5451">
        <v>66</v>
      </c>
      <c r="E5451">
        <v>6</v>
      </c>
      <c r="F5451">
        <v>9.09</v>
      </c>
      <c r="G5451">
        <v>37.69</v>
      </c>
      <c r="H5451">
        <v>2487.54</v>
      </c>
    </row>
    <row r="5452" spans="1:8" x14ac:dyDescent="0.35">
      <c r="A5452" t="s">
        <v>7</v>
      </c>
      <c r="B5452" t="s">
        <v>12</v>
      </c>
      <c r="C5452" t="s">
        <v>9</v>
      </c>
      <c r="D5452">
        <v>62</v>
      </c>
      <c r="E5452">
        <v>0</v>
      </c>
      <c r="F5452">
        <v>0</v>
      </c>
      <c r="G5452">
        <v>64.41</v>
      </c>
      <c r="H5452">
        <v>3993.42</v>
      </c>
    </row>
    <row r="5453" spans="1:8" x14ac:dyDescent="0.35">
      <c r="A5453" t="s">
        <v>7</v>
      </c>
      <c r="B5453" t="s">
        <v>12</v>
      </c>
      <c r="C5453" t="s">
        <v>10</v>
      </c>
      <c r="D5453">
        <v>128</v>
      </c>
      <c r="E5453">
        <v>8</v>
      </c>
      <c r="F5453">
        <v>6.25</v>
      </c>
      <c r="G5453">
        <v>19.68</v>
      </c>
      <c r="H5453">
        <v>2519.04</v>
      </c>
    </row>
    <row r="5454" spans="1:8" x14ac:dyDescent="0.35">
      <c r="A5454" t="s">
        <v>6</v>
      </c>
      <c r="B5454" t="s">
        <v>12</v>
      </c>
      <c r="C5454" t="s">
        <v>11</v>
      </c>
      <c r="D5454">
        <v>147</v>
      </c>
      <c r="E5454">
        <v>8</v>
      </c>
      <c r="F5454">
        <v>5.44</v>
      </c>
      <c r="G5454">
        <v>59.71</v>
      </c>
      <c r="H5454">
        <v>8777.3700000000008</v>
      </c>
    </row>
    <row r="5455" spans="1:8" x14ac:dyDescent="0.35">
      <c r="A5455" t="s">
        <v>7</v>
      </c>
      <c r="B5455" t="s">
        <v>12</v>
      </c>
      <c r="C5455" t="s">
        <v>10</v>
      </c>
      <c r="D5455">
        <v>285</v>
      </c>
      <c r="E5455">
        <v>28</v>
      </c>
      <c r="F5455">
        <v>9.82</v>
      </c>
      <c r="G5455">
        <v>47.48</v>
      </c>
      <c r="H5455">
        <v>13531.8</v>
      </c>
    </row>
    <row r="5456" spans="1:8" x14ac:dyDescent="0.35">
      <c r="A5456" t="s">
        <v>6</v>
      </c>
      <c r="B5456" t="s">
        <v>12</v>
      </c>
      <c r="C5456" t="s">
        <v>11</v>
      </c>
      <c r="D5456">
        <v>62</v>
      </c>
      <c r="E5456">
        <v>4</v>
      </c>
      <c r="F5456">
        <v>6.45</v>
      </c>
      <c r="G5456">
        <v>31.01</v>
      </c>
      <c r="H5456">
        <v>1922.62</v>
      </c>
    </row>
    <row r="5457" spans="1:8" x14ac:dyDescent="0.35">
      <c r="A5457" t="s">
        <v>6</v>
      </c>
      <c r="B5457" t="s">
        <v>12</v>
      </c>
      <c r="C5457" t="s">
        <v>9</v>
      </c>
      <c r="D5457">
        <v>237</v>
      </c>
      <c r="E5457">
        <v>7</v>
      </c>
      <c r="F5457">
        <v>2.95</v>
      </c>
      <c r="G5457">
        <v>19.579999999999998</v>
      </c>
      <c r="H5457">
        <v>4640.46</v>
      </c>
    </row>
    <row r="5458" spans="1:8" x14ac:dyDescent="0.35">
      <c r="A5458" t="s">
        <v>7</v>
      </c>
      <c r="B5458" t="s">
        <v>12</v>
      </c>
      <c r="C5458" t="s">
        <v>10</v>
      </c>
      <c r="D5458">
        <v>125</v>
      </c>
      <c r="E5458">
        <v>8</v>
      </c>
      <c r="F5458">
        <v>6.4</v>
      </c>
      <c r="G5458">
        <v>53.6</v>
      </c>
      <c r="H5458">
        <v>6700</v>
      </c>
    </row>
    <row r="5459" spans="1:8" x14ac:dyDescent="0.35">
      <c r="A5459" t="s">
        <v>7</v>
      </c>
      <c r="B5459" t="s">
        <v>12</v>
      </c>
      <c r="C5459" t="s">
        <v>9</v>
      </c>
      <c r="D5459">
        <v>148</v>
      </c>
      <c r="E5459">
        <v>3</v>
      </c>
      <c r="F5459">
        <v>2.0299999999999998</v>
      </c>
      <c r="G5459">
        <v>56.05</v>
      </c>
      <c r="H5459">
        <v>8295.4</v>
      </c>
    </row>
    <row r="5460" spans="1:8" x14ac:dyDescent="0.35">
      <c r="A5460" t="s">
        <v>7</v>
      </c>
      <c r="B5460" t="s">
        <v>12</v>
      </c>
      <c r="C5460" t="s">
        <v>9</v>
      </c>
      <c r="D5460">
        <v>65</v>
      </c>
      <c r="E5460">
        <v>2</v>
      </c>
      <c r="F5460">
        <v>3.08</v>
      </c>
      <c r="G5460">
        <v>34.9</v>
      </c>
      <c r="H5460">
        <v>2268.5</v>
      </c>
    </row>
    <row r="5461" spans="1:8" x14ac:dyDescent="0.35">
      <c r="A5461" t="s">
        <v>6</v>
      </c>
      <c r="B5461" t="s">
        <v>12</v>
      </c>
      <c r="C5461" t="s">
        <v>9</v>
      </c>
      <c r="D5461">
        <v>209</v>
      </c>
      <c r="E5461">
        <v>19</v>
      </c>
      <c r="F5461">
        <v>9.09</v>
      </c>
      <c r="G5461">
        <v>10.050000000000001</v>
      </c>
      <c r="H5461">
        <v>2100.4499999999998</v>
      </c>
    </row>
    <row r="5462" spans="1:8" x14ac:dyDescent="0.35">
      <c r="A5462" t="s">
        <v>6</v>
      </c>
      <c r="B5462" t="s">
        <v>12</v>
      </c>
      <c r="C5462" t="s">
        <v>11</v>
      </c>
      <c r="D5462">
        <v>111</v>
      </c>
      <c r="E5462">
        <v>9</v>
      </c>
      <c r="F5462">
        <v>8.11</v>
      </c>
      <c r="G5462">
        <v>19.3</v>
      </c>
      <c r="H5462">
        <v>2142.3000000000002</v>
      </c>
    </row>
    <row r="5463" spans="1:8" x14ac:dyDescent="0.35">
      <c r="A5463" t="s">
        <v>5</v>
      </c>
      <c r="B5463" t="s">
        <v>12</v>
      </c>
      <c r="C5463" t="s">
        <v>9</v>
      </c>
      <c r="D5463">
        <v>176</v>
      </c>
      <c r="E5463">
        <v>6</v>
      </c>
      <c r="F5463">
        <v>3.41</v>
      </c>
      <c r="G5463">
        <v>53.55</v>
      </c>
      <c r="H5463">
        <v>9424.7999999999993</v>
      </c>
    </row>
    <row r="5464" spans="1:8" x14ac:dyDescent="0.35">
      <c r="A5464" t="s">
        <v>6</v>
      </c>
      <c r="B5464" t="s">
        <v>12</v>
      </c>
      <c r="C5464" t="s">
        <v>11</v>
      </c>
      <c r="D5464">
        <v>104</v>
      </c>
      <c r="E5464">
        <v>4</v>
      </c>
      <c r="F5464">
        <v>3.85</v>
      </c>
      <c r="G5464">
        <v>46.76</v>
      </c>
      <c r="H5464">
        <v>4863.04</v>
      </c>
    </row>
    <row r="5465" spans="1:8" x14ac:dyDescent="0.35">
      <c r="A5465" t="s">
        <v>7</v>
      </c>
      <c r="B5465" t="s">
        <v>12</v>
      </c>
      <c r="C5465" t="s">
        <v>9</v>
      </c>
      <c r="D5465">
        <v>136</v>
      </c>
      <c r="E5465">
        <v>3</v>
      </c>
      <c r="F5465">
        <v>2.21</v>
      </c>
      <c r="G5465">
        <v>59.31</v>
      </c>
      <c r="H5465">
        <v>8066.16</v>
      </c>
    </row>
    <row r="5466" spans="1:8" x14ac:dyDescent="0.35">
      <c r="A5466" t="s">
        <v>5</v>
      </c>
      <c r="B5466" t="s">
        <v>12</v>
      </c>
      <c r="C5466" t="s">
        <v>9</v>
      </c>
      <c r="D5466">
        <v>298</v>
      </c>
      <c r="E5466">
        <v>24</v>
      </c>
      <c r="F5466">
        <v>8.0500000000000007</v>
      </c>
      <c r="G5466">
        <v>63.19</v>
      </c>
      <c r="H5466">
        <v>18830.62</v>
      </c>
    </row>
    <row r="5467" spans="1:8" x14ac:dyDescent="0.35">
      <c r="A5467" t="s">
        <v>7</v>
      </c>
      <c r="B5467" t="s">
        <v>12</v>
      </c>
      <c r="C5467" t="s">
        <v>9</v>
      </c>
      <c r="D5467">
        <v>126</v>
      </c>
      <c r="E5467">
        <v>1</v>
      </c>
      <c r="F5467">
        <v>0.79</v>
      </c>
      <c r="G5467">
        <v>46.01</v>
      </c>
      <c r="H5467">
        <v>5797.26</v>
      </c>
    </row>
    <row r="5468" spans="1:8" x14ac:dyDescent="0.35">
      <c r="A5468" t="s">
        <v>8</v>
      </c>
      <c r="B5468" t="s">
        <v>12</v>
      </c>
      <c r="C5468" t="s">
        <v>9</v>
      </c>
      <c r="D5468">
        <v>251</v>
      </c>
      <c r="E5468">
        <v>7</v>
      </c>
      <c r="F5468">
        <v>2.79</v>
      </c>
      <c r="G5468">
        <v>32.6</v>
      </c>
      <c r="H5468">
        <v>8182.6</v>
      </c>
    </row>
    <row r="5469" spans="1:8" x14ac:dyDescent="0.35">
      <c r="A5469" t="s">
        <v>6</v>
      </c>
      <c r="B5469" t="s">
        <v>12</v>
      </c>
      <c r="C5469" t="s">
        <v>9</v>
      </c>
      <c r="D5469">
        <v>100</v>
      </c>
      <c r="E5469">
        <v>2</v>
      </c>
      <c r="F5469">
        <v>2</v>
      </c>
      <c r="G5469">
        <v>57.11</v>
      </c>
      <c r="H5469">
        <v>5711</v>
      </c>
    </row>
    <row r="5470" spans="1:8" x14ac:dyDescent="0.35">
      <c r="A5470" t="s">
        <v>6</v>
      </c>
      <c r="B5470" t="s">
        <v>12</v>
      </c>
      <c r="C5470" t="s">
        <v>11</v>
      </c>
      <c r="D5470">
        <v>182</v>
      </c>
      <c r="E5470">
        <v>18</v>
      </c>
      <c r="F5470">
        <v>9.89</v>
      </c>
      <c r="G5470">
        <v>15</v>
      </c>
      <c r="H5470">
        <v>2730</v>
      </c>
    </row>
    <row r="5471" spans="1:8" x14ac:dyDescent="0.35">
      <c r="A5471" t="s">
        <v>8</v>
      </c>
      <c r="B5471" t="s">
        <v>12</v>
      </c>
      <c r="C5471" t="s">
        <v>9</v>
      </c>
      <c r="D5471">
        <v>263</v>
      </c>
      <c r="E5471">
        <v>17</v>
      </c>
      <c r="F5471">
        <v>6.46</v>
      </c>
      <c r="G5471">
        <v>65.64</v>
      </c>
      <c r="H5471">
        <v>17263.32</v>
      </c>
    </row>
    <row r="5472" spans="1:8" x14ac:dyDescent="0.35">
      <c r="A5472" t="s">
        <v>6</v>
      </c>
      <c r="B5472" t="s">
        <v>12</v>
      </c>
      <c r="C5472" t="s">
        <v>11</v>
      </c>
      <c r="D5472">
        <v>50</v>
      </c>
      <c r="E5472">
        <v>4</v>
      </c>
      <c r="F5472">
        <v>8</v>
      </c>
      <c r="G5472">
        <v>8.81</v>
      </c>
      <c r="H5472">
        <v>440.5</v>
      </c>
    </row>
    <row r="5473" spans="1:8" x14ac:dyDescent="0.35">
      <c r="A5473" t="s">
        <v>6</v>
      </c>
      <c r="B5473" t="s">
        <v>12</v>
      </c>
      <c r="C5473" t="s">
        <v>9</v>
      </c>
      <c r="D5473">
        <v>143</v>
      </c>
      <c r="E5473">
        <v>14</v>
      </c>
      <c r="F5473">
        <v>9.7899999999999991</v>
      </c>
      <c r="G5473">
        <v>22.85</v>
      </c>
      <c r="H5473">
        <v>3267.55</v>
      </c>
    </row>
    <row r="5474" spans="1:8" x14ac:dyDescent="0.35">
      <c r="A5474" t="s">
        <v>7</v>
      </c>
      <c r="B5474" t="s">
        <v>12</v>
      </c>
      <c r="C5474" t="s">
        <v>10</v>
      </c>
      <c r="D5474">
        <v>133</v>
      </c>
      <c r="E5474">
        <v>0</v>
      </c>
      <c r="F5474">
        <v>0</v>
      </c>
      <c r="G5474">
        <v>6.47</v>
      </c>
      <c r="H5474">
        <v>860.51</v>
      </c>
    </row>
    <row r="5475" spans="1:8" x14ac:dyDescent="0.35">
      <c r="A5475" t="s">
        <v>6</v>
      </c>
      <c r="B5475" t="s">
        <v>12</v>
      </c>
      <c r="C5475" t="s">
        <v>9</v>
      </c>
      <c r="D5475">
        <v>152</v>
      </c>
      <c r="E5475">
        <v>5</v>
      </c>
      <c r="F5475">
        <v>3.29</v>
      </c>
      <c r="G5475">
        <v>23.03</v>
      </c>
      <c r="H5475">
        <v>3500.56</v>
      </c>
    </row>
    <row r="5476" spans="1:8" x14ac:dyDescent="0.35">
      <c r="A5476" t="s">
        <v>7</v>
      </c>
      <c r="B5476" t="s">
        <v>12</v>
      </c>
      <c r="C5476" t="s">
        <v>10</v>
      </c>
      <c r="D5476">
        <v>296</v>
      </c>
      <c r="E5476">
        <v>8</v>
      </c>
      <c r="F5476">
        <v>2.7</v>
      </c>
      <c r="G5476">
        <v>23.12</v>
      </c>
      <c r="H5476">
        <v>6843.52</v>
      </c>
    </row>
    <row r="5477" spans="1:8" x14ac:dyDescent="0.35">
      <c r="A5477" t="s">
        <v>7</v>
      </c>
      <c r="B5477" t="s">
        <v>12</v>
      </c>
      <c r="C5477" t="s">
        <v>10</v>
      </c>
      <c r="D5477">
        <v>195</v>
      </c>
      <c r="E5477">
        <v>16</v>
      </c>
      <c r="F5477">
        <v>8.2100000000000009</v>
      </c>
      <c r="G5477">
        <v>26.09</v>
      </c>
      <c r="H5477">
        <v>5087.55</v>
      </c>
    </row>
    <row r="5478" spans="1:8" x14ac:dyDescent="0.35">
      <c r="A5478" t="s">
        <v>5</v>
      </c>
      <c r="B5478" t="s">
        <v>12</v>
      </c>
      <c r="C5478" t="s">
        <v>9</v>
      </c>
      <c r="D5478">
        <v>283</v>
      </c>
      <c r="E5478">
        <v>28</v>
      </c>
      <c r="F5478">
        <v>9.89</v>
      </c>
      <c r="G5478">
        <v>57.72</v>
      </c>
      <c r="H5478">
        <v>16334.76</v>
      </c>
    </row>
    <row r="5479" spans="1:8" x14ac:dyDescent="0.35">
      <c r="A5479" t="s">
        <v>7</v>
      </c>
      <c r="B5479" t="s">
        <v>12</v>
      </c>
      <c r="C5479" t="s">
        <v>10</v>
      </c>
      <c r="D5479">
        <v>299</v>
      </c>
      <c r="E5479">
        <v>17</v>
      </c>
      <c r="F5479">
        <v>5.69</v>
      </c>
      <c r="G5479">
        <v>65.180000000000007</v>
      </c>
      <c r="H5479">
        <v>19488.82</v>
      </c>
    </row>
    <row r="5480" spans="1:8" x14ac:dyDescent="0.35">
      <c r="A5480" t="s">
        <v>6</v>
      </c>
      <c r="B5480" t="s">
        <v>12</v>
      </c>
      <c r="C5480" t="s">
        <v>11</v>
      </c>
      <c r="D5480">
        <v>94</v>
      </c>
      <c r="E5480">
        <v>7</v>
      </c>
      <c r="F5480">
        <v>7.45</v>
      </c>
      <c r="G5480">
        <v>8.41</v>
      </c>
      <c r="H5480">
        <v>790.54</v>
      </c>
    </row>
    <row r="5481" spans="1:8" x14ac:dyDescent="0.35">
      <c r="A5481" t="s">
        <v>6</v>
      </c>
      <c r="B5481" t="s">
        <v>12</v>
      </c>
      <c r="C5481" t="s">
        <v>11</v>
      </c>
      <c r="D5481">
        <v>82</v>
      </c>
      <c r="E5481">
        <v>2</v>
      </c>
      <c r="F5481">
        <v>2.44</v>
      </c>
      <c r="G5481">
        <v>12.25</v>
      </c>
      <c r="H5481">
        <v>1004.5</v>
      </c>
    </row>
    <row r="5482" spans="1:8" x14ac:dyDescent="0.35">
      <c r="A5482" t="s">
        <v>8</v>
      </c>
      <c r="B5482" t="s">
        <v>12</v>
      </c>
      <c r="C5482" t="s">
        <v>9</v>
      </c>
      <c r="D5482">
        <v>233</v>
      </c>
      <c r="E5482">
        <v>11</v>
      </c>
      <c r="F5482">
        <v>4.72</v>
      </c>
      <c r="G5482">
        <v>16.53</v>
      </c>
      <c r="H5482">
        <v>3851.49</v>
      </c>
    </row>
    <row r="5483" spans="1:8" x14ac:dyDescent="0.35">
      <c r="A5483" t="s">
        <v>6</v>
      </c>
      <c r="B5483" t="s">
        <v>12</v>
      </c>
      <c r="C5483" t="s">
        <v>9</v>
      </c>
      <c r="D5483">
        <v>93</v>
      </c>
      <c r="E5483">
        <v>4</v>
      </c>
      <c r="F5483">
        <v>4.3</v>
      </c>
      <c r="G5483">
        <v>29.84</v>
      </c>
      <c r="H5483">
        <v>2775.12</v>
      </c>
    </row>
    <row r="5484" spans="1:8" x14ac:dyDescent="0.35">
      <c r="A5484" t="s">
        <v>5</v>
      </c>
      <c r="B5484" t="s">
        <v>12</v>
      </c>
      <c r="C5484" t="s">
        <v>9</v>
      </c>
      <c r="D5484">
        <v>116</v>
      </c>
      <c r="E5484">
        <v>1</v>
      </c>
      <c r="F5484">
        <v>0.86</v>
      </c>
      <c r="G5484">
        <v>41.3</v>
      </c>
      <c r="H5484">
        <v>4790.8</v>
      </c>
    </row>
    <row r="5485" spans="1:8" x14ac:dyDescent="0.35">
      <c r="A5485" t="s">
        <v>8</v>
      </c>
      <c r="B5485" t="s">
        <v>12</v>
      </c>
      <c r="C5485" t="s">
        <v>9</v>
      </c>
      <c r="D5485">
        <v>257</v>
      </c>
      <c r="E5485">
        <v>11</v>
      </c>
      <c r="F5485">
        <v>4.28</v>
      </c>
      <c r="G5485">
        <v>17.600000000000001</v>
      </c>
      <c r="H5485">
        <v>4523.2</v>
      </c>
    </row>
    <row r="5486" spans="1:8" x14ac:dyDescent="0.35">
      <c r="A5486" t="s">
        <v>6</v>
      </c>
      <c r="B5486" t="s">
        <v>12</v>
      </c>
      <c r="C5486" t="s">
        <v>9</v>
      </c>
      <c r="D5486">
        <v>146</v>
      </c>
      <c r="E5486">
        <v>4</v>
      </c>
      <c r="F5486">
        <v>2.74</v>
      </c>
      <c r="G5486">
        <v>49.61</v>
      </c>
      <c r="H5486">
        <v>7243.06</v>
      </c>
    </row>
    <row r="5487" spans="1:8" x14ac:dyDescent="0.35">
      <c r="A5487" t="s">
        <v>6</v>
      </c>
      <c r="B5487" t="s">
        <v>12</v>
      </c>
      <c r="C5487" t="s">
        <v>9</v>
      </c>
      <c r="D5487">
        <v>119</v>
      </c>
      <c r="E5487">
        <v>2</v>
      </c>
      <c r="F5487">
        <v>1.68</v>
      </c>
      <c r="G5487">
        <v>25.2</v>
      </c>
      <c r="H5487">
        <v>2998.8</v>
      </c>
    </row>
    <row r="5488" spans="1:8" x14ac:dyDescent="0.35">
      <c r="A5488" t="s">
        <v>5</v>
      </c>
      <c r="B5488" t="s">
        <v>12</v>
      </c>
      <c r="C5488" t="s">
        <v>9</v>
      </c>
      <c r="D5488">
        <v>71</v>
      </c>
      <c r="E5488">
        <v>2</v>
      </c>
      <c r="F5488">
        <v>2.82</v>
      </c>
      <c r="G5488">
        <v>67.84</v>
      </c>
      <c r="H5488">
        <v>4816.6400000000003</v>
      </c>
    </row>
    <row r="5489" spans="1:8" x14ac:dyDescent="0.35">
      <c r="A5489" t="s">
        <v>6</v>
      </c>
      <c r="B5489" t="s">
        <v>12</v>
      </c>
      <c r="C5489" t="s">
        <v>9</v>
      </c>
      <c r="D5489">
        <v>141</v>
      </c>
      <c r="E5489">
        <v>4</v>
      </c>
      <c r="F5489">
        <v>2.84</v>
      </c>
      <c r="G5489">
        <v>24.26</v>
      </c>
      <c r="H5489">
        <v>3420.66</v>
      </c>
    </row>
    <row r="5490" spans="1:8" x14ac:dyDescent="0.35">
      <c r="A5490" t="s">
        <v>7</v>
      </c>
      <c r="B5490" t="s">
        <v>12</v>
      </c>
      <c r="C5490" t="s">
        <v>10</v>
      </c>
      <c r="D5490">
        <v>145</v>
      </c>
      <c r="E5490">
        <v>1</v>
      </c>
      <c r="F5490">
        <v>0.69</v>
      </c>
      <c r="G5490">
        <v>61.91</v>
      </c>
      <c r="H5490">
        <v>8976.9500000000007</v>
      </c>
    </row>
    <row r="5491" spans="1:8" x14ac:dyDescent="0.35">
      <c r="A5491" t="s">
        <v>6</v>
      </c>
      <c r="B5491" t="s">
        <v>12</v>
      </c>
      <c r="C5491" t="s">
        <v>11</v>
      </c>
      <c r="D5491">
        <v>78</v>
      </c>
      <c r="E5491">
        <v>5</v>
      </c>
      <c r="F5491">
        <v>6.41</v>
      </c>
      <c r="G5491">
        <v>63.07</v>
      </c>
      <c r="H5491">
        <v>4919.46</v>
      </c>
    </row>
    <row r="5492" spans="1:8" x14ac:dyDescent="0.35">
      <c r="A5492" t="s">
        <v>6</v>
      </c>
      <c r="B5492" t="s">
        <v>12</v>
      </c>
      <c r="C5492" t="s">
        <v>11</v>
      </c>
      <c r="D5492">
        <v>161</v>
      </c>
      <c r="E5492">
        <v>16</v>
      </c>
      <c r="F5492">
        <v>9.94</v>
      </c>
      <c r="G5492">
        <v>5.82</v>
      </c>
      <c r="H5492">
        <v>937.02</v>
      </c>
    </row>
    <row r="5493" spans="1:8" x14ac:dyDescent="0.35">
      <c r="A5493" t="s">
        <v>7</v>
      </c>
      <c r="B5493" t="s">
        <v>12</v>
      </c>
      <c r="C5493" t="s">
        <v>10</v>
      </c>
      <c r="D5493">
        <v>225</v>
      </c>
      <c r="E5493">
        <v>0</v>
      </c>
      <c r="F5493">
        <v>0</v>
      </c>
      <c r="G5493">
        <v>61.83</v>
      </c>
      <c r="H5493">
        <v>13911.75</v>
      </c>
    </row>
    <row r="5494" spans="1:8" x14ac:dyDescent="0.35">
      <c r="A5494" t="s">
        <v>5</v>
      </c>
      <c r="B5494" t="s">
        <v>12</v>
      </c>
      <c r="C5494" t="s">
        <v>9</v>
      </c>
      <c r="D5494">
        <v>232</v>
      </c>
      <c r="E5494">
        <v>4</v>
      </c>
      <c r="F5494">
        <v>1.72</v>
      </c>
      <c r="G5494">
        <v>9.6</v>
      </c>
      <c r="H5494">
        <v>2227.1999999999998</v>
      </c>
    </row>
    <row r="5495" spans="1:8" x14ac:dyDescent="0.35">
      <c r="A5495" t="s">
        <v>6</v>
      </c>
      <c r="B5495" t="s">
        <v>12</v>
      </c>
      <c r="C5495" t="s">
        <v>11</v>
      </c>
      <c r="D5495">
        <v>163</v>
      </c>
      <c r="E5495">
        <v>16</v>
      </c>
      <c r="F5495">
        <v>9.82</v>
      </c>
      <c r="G5495">
        <v>41.97</v>
      </c>
      <c r="H5495">
        <v>6841.11</v>
      </c>
    </row>
    <row r="5496" spans="1:8" x14ac:dyDescent="0.35">
      <c r="A5496" t="s">
        <v>8</v>
      </c>
      <c r="B5496" t="s">
        <v>12</v>
      </c>
      <c r="C5496" t="s">
        <v>9</v>
      </c>
      <c r="D5496">
        <v>58</v>
      </c>
      <c r="E5496">
        <v>3</v>
      </c>
      <c r="F5496">
        <v>5.17</v>
      </c>
      <c r="G5496">
        <v>26.55</v>
      </c>
      <c r="H5496">
        <v>1539.9</v>
      </c>
    </row>
    <row r="5497" spans="1:8" x14ac:dyDescent="0.35">
      <c r="A5497" t="s">
        <v>6</v>
      </c>
      <c r="B5497" t="s">
        <v>12</v>
      </c>
      <c r="C5497" t="s">
        <v>9</v>
      </c>
      <c r="D5497">
        <v>292</v>
      </c>
      <c r="E5497">
        <v>9</v>
      </c>
      <c r="F5497">
        <v>3.08</v>
      </c>
      <c r="G5497">
        <v>60.59</v>
      </c>
      <c r="H5497">
        <v>17692.28</v>
      </c>
    </row>
    <row r="5498" spans="1:8" x14ac:dyDescent="0.35">
      <c r="A5498" t="s">
        <v>6</v>
      </c>
      <c r="B5498" t="s">
        <v>12</v>
      </c>
      <c r="C5498" t="s">
        <v>9</v>
      </c>
      <c r="D5498">
        <v>70</v>
      </c>
      <c r="E5498">
        <v>7</v>
      </c>
      <c r="F5498">
        <v>10</v>
      </c>
      <c r="G5498">
        <v>19.22</v>
      </c>
      <c r="H5498">
        <v>1345.4</v>
      </c>
    </row>
    <row r="5499" spans="1:8" x14ac:dyDescent="0.35">
      <c r="A5499" t="s">
        <v>6</v>
      </c>
      <c r="B5499" t="s">
        <v>12</v>
      </c>
      <c r="C5499" t="s">
        <v>11</v>
      </c>
      <c r="D5499">
        <v>280</v>
      </c>
      <c r="E5499">
        <v>3</v>
      </c>
      <c r="F5499">
        <v>1.07</v>
      </c>
      <c r="G5499">
        <v>18.190000000000001</v>
      </c>
      <c r="H5499">
        <v>5093.2</v>
      </c>
    </row>
    <row r="5500" spans="1:8" x14ac:dyDescent="0.35">
      <c r="A5500" t="s">
        <v>8</v>
      </c>
      <c r="B5500" t="s">
        <v>12</v>
      </c>
      <c r="C5500" t="s">
        <v>9</v>
      </c>
      <c r="D5500">
        <v>287</v>
      </c>
      <c r="E5500">
        <v>11</v>
      </c>
      <c r="F5500">
        <v>3.83</v>
      </c>
      <c r="G5500">
        <v>57.98</v>
      </c>
      <c r="H5500">
        <v>16640.259999999998</v>
      </c>
    </row>
    <row r="5501" spans="1:8" x14ac:dyDescent="0.35">
      <c r="A5501" t="s">
        <v>6</v>
      </c>
      <c r="B5501" t="s">
        <v>12</v>
      </c>
      <c r="C5501" t="s">
        <v>11</v>
      </c>
      <c r="D5501">
        <v>115</v>
      </c>
      <c r="E5501">
        <v>11</v>
      </c>
      <c r="F5501">
        <v>9.57</v>
      </c>
      <c r="G5501">
        <v>38.94</v>
      </c>
      <c r="H5501">
        <v>4478.1000000000004</v>
      </c>
    </row>
    <row r="5502" spans="1:8" x14ac:dyDescent="0.35">
      <c r="A5502" t="s">
        <v>6</v>
      </c>
      <c r="B5502" t="s">
        <v>12</v>
      </c>
      <c r="C5502" t="s">
        <v>9</v>
      </c>
      <c r="D5502">
        <v>221</v>
      </c>
      <c r="E5502">
        <v>16</v>
      </c>
      <c r="F5502">
        <v>7.24</v>
      </c>
      <c r="G5502">
        <v>60.95</v>
      </c>
      <c r="H5502">
        <v>13469.95</v>
      </c>
    </row>
    <row r="5503" spans="1:8" x14ac:dyDescent="0.35">
      <c r="A5503" t="s">
        <v>6</v>
      </c>
      <c r="B5503" t="s">
        <v>12</v>
      </c>
      <c r="C5503" t="s">
        <v>9</v>
      </c>
      <c r="D5503">
        <v>133</v>
      </c>
      <c r="E5503">
        <v>6</v>
      </c>
      <c r="F5503">
        <v>4.51</v>
      </c>
      <c r="G5503">
        <v>17.38</v>
      </c>
      <c r="H5503">
        <v>2311.54</v>
      </c>
    </row>
    <row r="5504" spans="1:8" x14ac:dyDescent="0.35">
      <c r="A5504" t="s">
        <v>5</v>
      </c>
      <c r="B5504" t="s">
        <v>12</v>
      </c>
      <c r="C5504" t="s">
        <v>9</v>
      </c>
      <c r="D5504">
        <v>290</v>
      </c>
      <c r="E5504">
        <v>27</v>
      </c>
      <c r="F5504">
        <v>9.31</v>
      </c>
      <c r="G5504">
        <v>56.7</v>
      </c>
      <c r="H5504">
        <v>16443</v>
      </c>
    </row>
    <row r="5505" spans="1:8" x14ac:dyDescent="0.35">
      <c r="A5505" t="s">
        <v>8</v>
      </c>
      <c r="B5505" t="s">
        <v>12</v>
      </c>
      <c r="C5505" t="s">
        <v>9</v>
      </c>
      <c r="D5505">
        <v>160</v>
      </c>
      <c r="E5505">
        <v>14</v>
      </c>
      <c r="F5505">
        <v>8.75</v>
      </c>
      <c r="G5505">
        <v>48.51</v>
      </c>
      <c r="H5505">
        <v>7761.6</v>
      </c>
    </row>
    <row r="5506" spans="1:8" x14ac:dyDescent="0.35">
      <c r="A5506" t="s">
        <v>8</v>
      </c>
      <c r="B5506" t="s">
        <v>12</v>
      </c>
      <c r="C5506" t="s">
        <v>9</v>
      </c>
      <c r="D5506">
        <v>69</v>
      </c>
      <c r="E5506">
        <v>2</v>
      </c>
      <c r="F5506">
        <v>2.9</v>
      </c>
      <c r="G5506">
        <v>12.53</v>
      </c>
      <c r="H5506">
        <v>864.57</v>
      </c>
    </row>
    <row r="5507" spans="1:8" x14ac:dyDescent="0.35">
      <c r="A5507" t="s">
        <v>8</v>
      </c>
      <c r="B5507" t="s">
        <v>12</v>
      </c>
      <c r="C5507" t="s">
        <v>9</v>
      </c>
      <c r="D5507">
        <v>87</v>
      </c>
      <c r="E5507">
        <v>5</v>
      </c>
      <c r="F5507">
        <v>5.75</v>
      </c>
      <c r="G5507">
        <v>10.25</v>
      </c>
      <c r="H5507">
        <v>891.75</v>
      </c>
    </row>
    <row r="5508" spans="1:8" x14ac:dyDescent="0.35">
      <c r="A5508" t="s">
        <v>7</v>
      </c>
      <c r="B5508" t="s">
        <v>12</v>
      </c>
      <c r="C5508" t="s">
        <v>9</v>
      </c>
      <c r="D5508">
        <v>169</v>
      </c>
      <c r="E5508">
        <v>7</v>
      </c>
      <c r="F5508">
        <v>4.1399999999999997</v>
      </c>
      <c r="G5508">
        <v>58.25</v>
      </c>
      <c r="H5508">
        <v>9844.25</v>
      </c>
    </row>
    <row r="5509" spans="1:8" x14ac:dyDescent="0.35">
      <c r="A5509" t="s">
        <v>6</v>
      </c>
      <c r="B5509" t="s">
        <v>12</v>
      </c>
      <c r="C5509" t="s">
        <v>11</v>
      </c>
      <c r="D5509">
        <v>191</v>
      </c>
      <c r="E5509">
        <v>7</v>
      </c>
      <c r="F5509">
        <v>3.66</v>
      </c>
      <c r="G5509">
        <v>32.68</v>
      </c>
      <c r="H5509">
        <v>6241.88</v>
      </c>
    </row>
    <row r="5510" spans="1:8" x14ac:dyDescent="0.35">
      <c r="A5510" t="s">
        <v>8</v>
      </c>
      <c r="B5510" t="s">
        <v>12</v>
      </c>
      <c r="C5510" t="s">
        <v>9</v>
      </c>
      <c r="D5510">
        <v>168</v>
      </c>
      <c r="E5510">
        <v>14</v>
      </c>
      <c r="F5510">
        <v>8.33</v>
      </c>
      <c r="G5510">
        <v>39.369999999999997</v>
      </c>
      <c r="H5510">
        <v>6614.16</v>
      </c>
    </row>
    <row r="5511" spans="1:8" x14ac:dyDescent="0.35">
      <c r="A5511" t="s">
        <v>8</v>
      </c>
      <c r="B5511" t="s">
        <v>12</v>
      </c>
      <c r="C5511" t="s">
        <v>9</v>
      </c>
      <c r="D5511">
        <v>153</v>
      </c>
      <c r="E5511">
        <v>10</v>
      </c>
      <c r="F5511">
        <v>6.54</v>
      </c>
      <c r="G5511">
        <v>42.6</v>
      </c>
      <c r="H5511">
        <v>6517.8</v>
      </c>
    </row>
    <row r="5512" spans="1:8" x14ac:dyDescent="0.35">
      <c r="A5512" t="s">
        <v>6</v>
      </c>
      <c r="B5512" t="s">
        <v>12</v>
      </c>
      <c r="C5512" t="s">
        <v>9</v>
      </c>
      <c r="D5512">
        <v>68</v>
      </c>
      <c r="E5512">
        <v>2</v>
      </c>
      <c r="F5512">
        <v>2.94</v>
      </c>
      <c r="G5512">
        <v>13.29</v>
      </c>
      <c r="H5512">
        <v>903.72</v>
      </c>
    </row>
    <row r="5513" spans="1:8" x14ac:dyDescent="0.35">
      <c r="A5513" t="s">
        <v>7</v>
      </c>
      <c r="B5513" t="s">
        <v>12</v>
      </c>
      <c r="C5513" t="s">
        <v>10</v>
      </c>
      <c r="D5513">
        <v>112</v>
      </c>
      <c r="E5513">
        <v>9</v>
      </c>
      <c r="F5513">
        <v>8.0399999999999991</v>
      </c>
      <c r="G5513">
        <v>45.31</v>
      </c>
      <c r="H5513">
        <v>5074.72</v>
      </c>
    </row>
    <row r="5514" spans="1:8" x14ac:dyDescent="0.35">
      <c r="A5514" t="s">
        <v>6</v>
      </c>
      <c r="B5514" t="s">
        <v>12</v>
      </c>
      <c r="C5514" t="s">
        <v>9</v>
      </c>
      <c r="D5514">
        <v>296</v>
      </c>
      <c r="E5514">
        <v>21</v>
      </c>
      <c r="F5514">
        <v>7.09</v>
      </c>
      <c r="G5514">
        <v>25.19</v>
      </c>
      <c r="H5514">
        <v>7456.24</v>
      </c>
    </row>
    <row r="5515" spans="1:8" x14ac:dyDescent="0.35">
      <c r="A5515" t="s">
        <v>8</v>
      </c>
      <c r="B5515" t="s">
        <v>12</v>
      </c>
      <c r="C5515" t="s">
        <v>9</v>
      </c>
      <c r="D5515">
        <v>212</v>
      </c>
      <c r="E5515">
        <v>14</v>
      </c>
      <c r="F5515">
        <v>6.6</v>
      </c>
      <c r="G5515">
        <v>38.729999999999997</v>
      </c>
      <c r="H5515">
        <v>8210.76</v>
      </c>
    </row>
    <row r="5516" spans="1:8" x14ac:dyDescent="0.35">
      <c r="A5516" t="s">
        <v>6</v>
      </c>
      <c r="B5516" t="s">
        <v>12</v>
      </c>
      <c r="C5516" t="s">
        <v>11</v>
      </c>
      <c r="D5516">
        <v>188</v>
      </c>
      <c r="E5516">
        <v>17</v>
      </c>
      <c r="F5516">
        <v>9.0399999999999991</v>
      </c>
      <c r="G5516">
        <v>9.84</v>
      </c>
      <c r="H5516">
        <v>1849.92</v>
      </c>
    </row>
    <row r="5517" spans="1:8" x14ac:dyDescent="0.35">
      <c r="A5517" t="s">
        <v>7</v>
      </c>
      <c r="B5517" t="s">
        <v>12</v>
      </c>
      <c r="C5517" t="s">
        <v>9</v>
      </c>
      <c r="D5517">
        <v>254</v>
      </c>
      <c r="E5517">
        <v>8</v>
      </c>
      <c r="F5517">
        <v>3.15</v>
      </c>
      <c r="G5517">
        <v>20.72</v>
      </c>
      <c r="H5517">
        <v>5262.88</v>
      </c>
    </row>
    <row r="5518" spans="1:8" x14ac:dyDescent="0.35">
      <c r="A5518" t="s">
        <v>7</v>
      </c>
      <c r="B5518" t="s">
        <v>12</v>
      </c>
      <c r="C5518" t="s">
        <v>9</v>
      </c>
      <c r="D5518">
        <v>260</v>
      </c>
      <c r="E5518">
        <v>3</v>
      </c>
      <c r="F5518">
        <v>1.1499999999999999</v>
      </c>
      <c r="G5518">
        <v>43.4</v>
      </c>
      <c r="H5518">
        <v>11284</v>
      </c>
    </row>
    <row r="5519" spans="1:8" x14ac:dyDescent="0.35">
      <c r="A5519" t="s">
        <v>5</v>
      </c>
      <c r="B5519" t="s">
        <v>12</v>
      </c>
      <c r="C5519" t="s">
        <v>9</v>
      </c>
      <c r="D5519">
        <v>279</v>
      </c>
      <c r="E5519">
        <v>1</v>
      </c>
      <c r="F5519">
        <v>0.36</v>
      </c>
      <c r="G5519">
        <v>58.78</v>
      </c>
      <c r="H5519">
        <v>16399.62</v>
      </c>
    </row>
    <row r="5520" spans="1:8" x14ac:dyDescent="0.35">
      <c r="A5520" t="s">
        <v>8</v>
      </c>
      <c r="B5520" t="s">
        <v>12</v>
      </c>
      <c r="C5520" t="s">
        <v>9</v>
      </c>
      <c r="D5520">
        <v>257</v>
      </c>
      <c r="E5520">
        <v>21</v>
      </c>
      <c r="F5520">
        <v>8.17</v>
      </c>
      <c r="G5520">
        <v>41.41</v>
      </c>
      <c r="H5520">
        <v>10642.37</v>
      </c>
    </row>
    <row r="5521" spans="1:8" x14ac:dyDescent="0.35">
      <c r="A5521" t="s">
        <v>7</v>
      </c>
      <c r="B5521" t="s">
        <v>12</v>
      </c>
      <c r="C5521" t="s">
        <v>9</v>
      </c>
      <c r="D5521">
        <v>108</v>
      </c>
      <c r="E5521">
        <v>3</v>
      </c>
      <c r="F5521">
        <v>2.78</v>
      </c>
      <c r="G5521">
        <v>15.16</v>
      </c>
      <c r="H5521">
        <v>1637.28</v>
      </c>
    </row>
    <row r="5522" spans="1:8" x14ac:dyDescent="0.35">
      <c r="A5522" t="s">
        <v>7</v>
      </c>
      <c r="B5522" t="s">
        <v>12</v>
      </c>
      <c r="C5522" t="s">
        <v>10</v>
      </c>
      <c r="D5522">
        <v>209</v>
      </c>
      <c r="E5522">
        <v>18</v>
      </c>
      <c r="F5522">
        <v>8.61</v>
      </c>
      <c r="G5522">
        <v>8.27</v>
      </c>
      <c r="H5522">
        <v>1728.43</v>
      </c>
    </row>
    <row r="5523" spans="1:8" x14ac:dyDescent="0.35">
      <c r="A5523" t="s">
        <v>5</v>
      </c>
      <c r="B5523" t="s">
        <v>12</v>
      </c>
      <c r="C5523" t="s">
        <v>9</v>
      </c>
      <c r="D5523">
        <v>72</v>
      </c>
      <c r="E5523">
        <v>3</v>
      </c>
      <c r="F5523">
        <v>4.17</v>
      </c>
      <c r="G5523">
        <v>11.11</v>
      </c>
      <c r="H5523">
        <v>799.92</v>
      </c>
    </row>
    <row r="5524" spans="1:8" x14ac:dyDescent="0.35">
      <c r="A5524" t="s">
        <v>6</v>
      </c>
      <c r="B5524" t="s">
        <v>12</v>
      </c>
      <c r="C5524" t="s">
        <v>11</v>
      </c>
      <c r="D5524">
        <v>111</v>
      </c>
      <c r="E5524">
        <v>4</v>
      </c>
      <c r="F5524">
        <v>3.6</v>
      </c>
      <c r="G5524">
        <v>20.82</v>
      </c>
      <c r="H5524">
        <v>2311.02</v>
      </c>
    </row>
    <row r="5525" spans="1:8" x14ac:dyDescent="0.35">
      <c r="A5525" t="s">
        <v>5</v>
      </c>
      <c r="B5525" t="s">
        <v>12</v>
      </c>
      <c r="C5525" t="s">
        <v>9</v>
      </c>
      <c r="D5525">
        <v>240</v>
      </c>
      <c r="E5525">
        <v>13</v>
      </c>
      <c r="F5525">
        <v>5.42</v>
      </c>
      <c r="G5525">
        <v>6.85</v>
      </c>
      <c r="H5525">
        <v>1644</v>
      </c>
    </row>
    <row r="5526" spans="1:8" x14ac:dyDescent="0.35">
      <c r="A5526" t="s">
        <v>6</v>
      </c>
      <c r="B5526" t="s">
        <v>12</v>
      </c>
      <c r="C5526" t="s">
        <v>11</v>
      </c>
      <c r="D5526">
        <v>155</v>
      </c>
      <c r="E5526">
        <v>2</v>
      </c>
      <c r="F5526">
        <v>1.29</v>
      </c>
      <c r="G5526">
        <v>27.69</v>
      </c>
      <c r="H5526">
        <v>4291.95</v>
      </c>
    </row>
    <row r="5527" spans="1:8" x14ac:dyDescent="0.35">
      <c r="A5527" t="s">
        <v>6</v>
      </c>
      <c r="B5527" t="s">
        <v>12</v>
      </c>
      <c r="C5527" t="s">
        <v>11</v>
      </c>
      <c r="D5527">
        <v>59</v>
      </c>
      <c r="E5527">
        <v>1</v>
      </c>
      <c r="F5527">
        <v>1.69</v>
      </c>
      <c r="G5527">
        <v>67.209999999999994</v>
      </c>
      <c r="H5527">
        <v>3965.39</v>
      </c>
    </row>
    <row r="5528" spans="1:8" x14ac:dyDescent="0.35">
      <c r="A5528" t="s">
        <v>5</v>
      </c>
      <c r="B5528" t="s">
        <v>12</v>
      </c>
      <c r="C5528" t="s">
        <v>9</v>
      </c>
      <c r="D5528">
        <v>248</v>
      </c>
      <c r="E5528">
        <v>7</v>
      </c>
      <c r="F5528">
        <v>2.82</v>
      </c>
      <c r="G5528">
        <v>11.7</v>
      </c>
      <c r="H5528">
        <v>2901.6</v>
      </c>
    </row>
    <row r="5529" spans="1:8" x14ac:dyDescent="0.35">
      <c r="A5529" t="s">
        <v>8</v>
      </c>
      <c r="B5529" t="s">
        <v>12</v>
      </c>
      <c r="C5529" t="s">
        <v>9</v>
      </c>
      <c r="D5529">
        <v>283</v>
      </c>
      <c r="E5529">
        <v>17</v>
      </c>
      <c r="F5529">
        <v>6.01</v>
      </c>
      <c r="G5529">
        <v>57.23</v>
      </c>
      <c r="H5529">
        <v>16196.09</v>
      </c>
    </row>
    <row r="5530" spans="1:8" x14ac:dyDescent="0.35">
      <c r="A5530" t="s">
        <v>7</v>
      </c>
      <c r="B5530" t="s">
        <v>12</v>
      </c>
      <c r="C5530" t="s">
        <v>9</v>
      </c>
      <c r="D5530">
        <v>250</v>
      </c>
      <c r="E5530">
        <v>16</v>
      </c>
      <c r="F5530">
        <v>6.4</v>
      </c>
      <c r="G5530">
        <v>56.94</v>
      </c>
      <c r="H5530">
        <v>14235</v>
      </c>
    </row>
    <row r="5531" spans="1:8" x14ac:dyDescent="0.35">
      <c r="A5531" t="s">
        <v>7</v>
      </c>
      <c r="B5531" t="s">
        <v>12</v>
      </c>
      <c r="C5531" t="s">
        <v>10</v>
      </c>
      <c r="D5531">
        <v>216</v>
      </c>
      <c r="E5531">
        <v>0</v>
      </c>
      <c r="F5531">
        <v>0</v>
      </c>
      <c r="G5531">
        <v>44.17</v>
      </c>
      <c r="H5531">
        <v>9540.7199999999993</v>
      </c>
    </row>
    <row r="5532" spans="1:8" x14ac:dyDescent="0.35">
      <c r="A5532" t="s">
        <v>6</v>
      </c>
      <c r="B5532" t="s">
        <v>12</v>
      </c>
      <c r="C5532" t="s">
        <v>11</v>
      </c>
      <c r="D5532">
        <v>210</v>
      </c>
      <c r="E5532">
        <v>5</v>
      </c>
      <c r="F5532">
        <v>2.38</v>
      </c>
      <c r="G5532">
        <v>39.119999999999997</v>
      </c>
      <c r="H5532">
        <v>8215.2000000000007</v>
      </c>
    </row>
    <row r="5533" spans="1:8" x14ac:dyDescent="0.35">
      <c r="A5533" t="s">
        <v>6</v>
      </c>
      <c r="B5533" t="s">
        <v>12</v>
      </c>
      <c r="C5533" t="s">
        <v>9</v>
      </c>
      <c r="D5533">
        <v>155</v>
      </c>
      <c r="E5533">
        <v>12</v>
      </c>
      <c r="F5533">
        <v>7.74</v>
      </c>
      <c r="G5533">
        <v>37.979999999999997</v>
      </c>
      <c r="H5533">
        <v>5886.9</v>
      </c>
    </row>
    <row r="5534" spans="1:8" x14ac:dyDescent="0.35">
      <c r="A5534" t="s">
        <v>7</v>
      </c>
      <c r="B5534" t="s">
        <v>12</v>
      </c>
      <c r="C5534" t="s">
        <v>10</v>
      </c>
      <c r="D5534">
        <v>255</v>
      </c>
      <c r="E5534">
        <v>15</v>
      </c>
      <c r="F5534">
        <v>5.88</v>
      </c>
      <c r="G5534">
        <v>25.11</v>
      </c>
      <c r="H5534">
        <v>6403.05</v>
      </c>
    </row>
    <row r="5535" spans="1:8" x14ac:dyDescent="0.35">
      <c r="A5535" t="s">
        <v>7</v>
      </c>
      <c r="B5535" t="s">
        <v>12</v>
      </c>
      <c r="C5535" t="s">
        <v>10</v>
      </c>
      <c r="D5535">
        <v>185</v>
      </c>
      <c r="E5535">
        <v>16</v>
      </c>
      <c r="F5535">
        <v>8.65</v>
      </c>
      <c r="G5535">
        <v>49.17</v>
      </c>
      <c r="H5535">
        <v>9096.4500000000007</v>
      </c>
    </row>
    <row r="5536" spans="1:8" x14ac:dyDescent="0.35">
      <c r="A5536" t="s">
        <v>6</v>
      </c>
      <c r="B5536" t="s">
        <v>12</v>
      </c>
      <c r="C5536" t="s">
        <v>11</v>
      </c>
      <c r="D5536">
        <v>107</v>
      </c>
      <c r="E5536">
        <v>10</v>
      </c>
      <c r="F5536">
        <v>9.35</v>
      </c>
      <c r="G5536">
        <v>60.89</v>
      </c>
      <c r="H5536">
        <v>6515.23</v>
      </c>
    </row>
    <row r="5537" spans="1:8" x14ac:dyDescent="0.35">
      <c r="A5537" t="s">
        <v>6</v>
      </c>
      <c r="B5537" t="s">
        <v>12</v>
      </c>
      <c r="C5537" t="s">
        <v>11</v>
      </c>
      <c r="D5537">
        <v>85</v>
      </c>
      <c r="E5537">
        <v>3</v>
      </c>
      <c r="F5537">
        <v>3.53</v>
      </c>
      <c r="G5537">
        <v>47.27</v>
      </c>
      <c r="H5537">
        <v>4017.95</v>
      </c>
    </row>
    <row r="5538" spans="1:8" x14ac:dyDescent="0.35">
      <c r="A5538" t="s">
        <v>5</v>
      </c>
      <c r="B5538" t="s">
        <v>12</v>
      </c>
      <c r="C5538" t="s">
        <v>9</v>
      </c>
      <c r="D5538">
        <v>140</v>
      </c>
      <c r="E5538">
        <v>6</v>
      </c>
      <c r="F5538">
        <v>4.29</v>
      </c>
      <c r="G5538">
        <v>58.72</v>
      </c>
      <c r="H5538">
        <v>8220.7999999999993</v>
      </c>
    </row>
    <row r="5539" spans="1:8" x14ac:dyDescent="0.35">
      <c r="A5539" t="s">
        <v>7</v>
      </c>
      <c r="B5539" t="s">
        <v>12</v>
      </c>
      <c r="C5539" t="s">
        <v>9</v>
      </c>
      <c r="D5539">
        <v>54</v>
      </c>
      <c r="E5539">
        <v>5</v>
      </c>
      <c r="F5539">
        <v>9.26</v>
      </c>
      <c r="G5539">
        <v>58.05</v>
      </c>
      <c r="H5539">
        <v>3134.7</v>
      </c>
    </row>
    <row r="5540" spans="1:8" x14ac:dyDescent="0.35">
      <c r="A5540" t="s">
        <v>7</v>
      </c>
      <c r="B5540" t="s">
        <v>12</v>
      </c>
      <c r="C5540" t="s">
        <v>10</v>
      </c>
      <c r="D5540">
        <v>290</v>
      </c>
      <c r="E5540">
        <v>6</v>
      </c>
      <c r="F5540">
        <v>2.0699999999999998</v>
      </c>
      <c r="G5540">
        <v>16.43</v>
      </c>
      <c r="H5540">
        <v>4764.7</v>
      </c>
    </row>
    <row r="5541" spans="1:8" x14ac:dyDescent="0.35">
      <c r="A5541" t="s">
        <v>6</v>
      </c>
      <c r="B5541" t="s">
        <v>12</v>
      </c>
      <c r="C5541" t="s">
        <v>11</v>
      </c>
      <c r="D5541">
        <v>120</v>
      </c>
      <c r="E5541">
        <v>9</v>
      </c>
      <c r="F5541">
        <v>7.5</v>
      </c>
      <c r="G5541">
        <v>67.64</v>
      </c>
      <c r="H5541">
        <v>8116.8</v>
      </c>
    </row>
    <row r="5542" spans="1:8" x14ac:dyDescent="0.35">
      <c r="A5542" t="s">
        <v>5</v>
      </c>
      <c r="B5542" t="s">
        <v>12</v>
      </c>
      <c r="C5542" t="s">
        <v>9</v>
      </c>
      <c r="D5542">
        <v>89</v>
      </c>
      <c r="E5542">
        <v>2</v>
      </c>
      <c r="F5542">
        <v>2.25</v>
      </c>
      <c r="G5542">
        <v>50.14</v>
      </c>
      <c r="H5542">
        <v>4462.46</v>
      </c>
    </row>
    <row r="5543" spans="1:8" x14ac:dyDescent="0.35">
      <c r="A5543" t="s">
        <v>5</v>
      </c>
      <c r="B5543" t="s">
        <v>12</v>
      </c>
      <c r="C5543" t="s">
        <v>9</v>
      </c>
      <c r="D5543">
        <v>146</v>
      </c>
      <c r="E5543">
        <v>14</v>
      </c>
      <c r="F5543">
        <v>9.59</v>
      </c>
      <c r="G5543">
        <v>30.89</v>
      </c>
      <c r="H5543">
        <v>4509.9399999999996</v>
      </c>
    </row>
    <row r="5544" spans="1:8" x14ac:dyDescent="0.35">
      <c r="A5544" t="s">
        <v>5</v>
      </c>
      <c r="B5544" t="s">
        <v>12</v>
      </c>
      <c r="C5544" t="s">
        <v>9</v>
      </c>
      <c r="D5544">
        <v>224</v>
      </c>
      <c r="E5544">
        <v>17</v>
      </c>
      <c r="F5544">
        <v>7.59</v>
      </c>
      <c r="G5544">
        <v>11.41</v>
      </c>
      <c r="H5544">
        <v>2555.84</v>
      </c>
    </row>
    <row r="5545" spans="1:8" x14ac:dyDescent="0.35">
      <c r="A5545" t="s">
        <v>7</v>
      </c>
      <c r="B5545" t="s">
        <v>12</v>
      </c>
      <c r="C5545" t="s">
        <v>10</v>
      </c>
      <c r="D5545">
        <v>243</v>
      </c>
      <c r="E5545">
        <v>13</v>
      </c>
      <c r="F5545">
        <v>5.35</v>
      </c>
      <c r="G5545">
        <v>15.54</v>
      </c>
      <c r="H5545">
        <v>3776.22</v>
      </c>
    </row>
    <row r="5546" spans="1:8" x14ac:dyDescent="0.35">
      <c r="A5546" t="s">
        <v>6</v>
      </c>
      <c r="B5546" t="s">
        <v>12</v>
      </c>
      <c r="C5546" t="s">
        <v>11</v>
      </c>
      <c r="D5546">
        <v>258</v>
      </c>
      <c r="E5546">
        <v>20</v>
      </c>
      <c r="F5546">
        <v>7.75</v>
      </c>
      <c r="G5546">
        <v>12.24</v>
      </c>
      <c r="H5546">
        <v>3157.92</v>
      </c>
    </row>
    <row r="5547" spans="1:8" x14ac:dyDescent="0.35">
      <c r="A5547" t="s">
        <v>7</v>
      </c>
      <c r="B5547" t="s">
        <v>12</v>
      </c>
      <c r="C5547" t="s">
        <v>9</v>
      </c>
      <c r="D5547">
        <v>79</v>
      </c>
      <c r="E5547">
        <v>6</v>
      </c>
      <c r="F5547">
        <v>7.59</v>
      </c>
      <c r="G5547">
        <v>36.119999999999997</v>
      </c>
      <c r="H5547">
        <v>2853.48</v>
      </c>
    </row>
    <row r="5548" spans="1:8" x14ac:dyDescent="0.35">
      <c r="A5548" t="s">
        <v>6</v>
      </c>
      <c r="B5548" t="s">
        <v>12</v>
      </c>
      <c r="C5548" t="s">
        <v>9</v>
      </c>
      <c r="D5548">
        <v>279</v>
      </c>
      <c r="E5548">
        <v>24</v>
      </c>
      <c r="F5548">
        <v>8.6</v>
      </c>
      <c r="G5548">
        <v>55.65</v>
      </c>
      <c r="H5548">
        <v>15526.35</v>
      </c>
    </row>
    <row r="5549" spans="1:8" x14ac:dyDescent="0.35">
      <c r="A5549" t="s">
        <v>6</v>
      </c>
      <c r="B5549" t="s">
        <v>12</v>
      </c>
      <c r="C5549" t="s">
        <v>9</v>
      </c>
      <c r="D5549">
        <v>230</v>
      </c>
      <c r="E5549">
        <v>12</v>
      </c>
      <c r="F5549">
        <v>5.22</v>
      </c>
      <c r="G5549">
        <v>56</v>
      </c>
      <c r="H5549">
        <v>12880</v>
      </c>
    </row>
    <row r="5550" spans="1:8" x14ac:dyDescent="0.35">
      <c r="A5550" t="s">
        <v>6</v>
      </c>
      <c r="B5550" t="s">
        <v>12</v>
      </c>
      <c r="C5550" t="s">
        <v>11</v>
      </c>
      <c r="D5550">
        <v>270</v>
      </c>
      <c r="E5550">
        <v>4</v>
      </c>
      <c r="F5550">
        <v>1.48</v>
      </c>
      <c r="G5550">
        <v>9.65</v>
      </c>
      <c r="H5550">
        <v>2605.5</v>
      </c>
    </row>
    <row r="5551" spans="1:8" x14ac:dyDescent="0.35">
      <c r="A5551" t="s">
        <v>5</v>
      </c>
      <c r="B5551" t="s">
        <v>12</v>
      </c>
      <c r="C5551" t="s">
        <v>9</v>
      </c>
      <c r="D5551">
        <v>64</v>
      </c>
      <c r="E5551">
        <v>0</v>
      </c>
      <c r="F5551">
        <v>0</v>
      </c>
      <c r="G5551">
        <v>44.52</v>
      </c>
      <c r="H5551">
        <v>2849.28</v>
      </c>
    </row>
    <row r="5552" spans="1:8" x14ac:dyDescent="0.35">
      <c r="A5552" t="s">
        <v>5</v>
      </c>
      <c r="B5552" t="s">
        <v>12</v>
      </c>
      <c r="C5552" t="s">
        <v>9</v>
      </c>
      <c r="D5552">
        <v>289</v>
      </c>
      <c r="E5552">
        <v>19</v>
      </c>
      <c r="F5552">
        <v>6.57</v>
      </c>
      <c r="G5552">
        <v>24.68</v>
      </c>
      <c r="H5552">
        <v>7132.52</v>
      </c>
    </row>
    <row r="5553" spans="1:8" x14ac:dyDescent="0.35">
      <c r="A5553" t="s">
        <v>7</v>
      </c>
      <c r="B5553" t="s">
        <v>12</v>
      </c>
      <c r="C5553" t="s">
        <v>10</v>
      </c>
      <c r="D5553">
        <v>104</v>
      </c>
      <c r="E5553">
        <v>10</v>
      </c>
      <c r="F5553">
        <v>9.6199999999999992</v>
      </c>
      <c r="G5553">
        <v>11.42</v>
      </c>
      <c r="H5553">
        <v>1187.68</v>
      </c>
    </row>
    <row r="5554" spans="1:8" x14ac:dyDescent="0.35">
      <c r="A5554" t="s">
        <v>5</v>
      </c>
      <c r="B5554" t="s">
        <v>12</v>
      </c>
      <c r="C5554" t="s">
        <v>9</v>
      </c>
      <c r="D5554">
        <v>300</v>
      </c>
      <c r="E5554">
        <v>12</v>
      </c>
      <c r="F5554">
        <v>4</v>
      </c>
      <c r="G5554">
        <v>44.16</v>
      </c>
      <c r="H5554">
        <v>13248</v>
      </c>
    </row>
    <row r="5555" spans="1:8" x14ac:dyDescent="0.35">
      <c r="A5555" t="s">
        <v>5</v>
      </c>
      <c r="B5555" t="s">
        <v>12</v>
      </c>
      <c r="C5555" t="s">
        <v>9</v>
      </c>
      <c r="D5555">
        <v>108</v>
      </c>
      <c r="E5555">
        <v>0</v>
      </c>
      <c r="F5555">
        <v>0</v>
      </c>
      <c r="G5555">
        <v>7.4</v>
      </c>
      <c r="H5555">
        <v>799.2</v>
      </c>
    </row>
    <row r="5556" spans="1:8" x14ac:dyDescent="0.35">
      <c r="A5556" t="s">
        <v>8</v>
      </c>
      <c r="B5556" t="s">
        <v>12</v>
      </c>
      <c r="C5556" t="s">
        <v>9</v>
      </c>
      <c r="D5556">
        <v>268</v>
      </c>
      <c r="E5556">
        <v>1</v>
      </c>
      <c r="F5556">
        <v>0.37</v>
      </c>
      <c r="G5556">
        <v>19.989999999999998</v>
      </c>
      <c r="H5556">
        <v>5357.32</v>
      </c>
    </row>
    <row r="5557" spans="1:8" x14ac:dyDescent="0.35">
      <c r="A5557" t="s">
        <v>7</v>
      </c>
      <c r="B5557" t="s">
        <v>12</v>
      </c>
      <c r="C5557" t="s">
        <v>9</v>
      </c>
      <c r="D5557">
        <v>85</v>
      </c>
      <c r="E5557">
        <v>3</v>
      </c>
      <c r="F5557">
        <v>3.53</v>
      </c>
      <c r="G5557">
        <v>43.26</v>
      </c>
      <c r="H5557">
        <v>3677.1</v>
      </c>
    </row>
    <row r="5558" spans="1:8" x14ac:dyDescent="0.35">
      <c r="A5558" t="s">
        <v>6</v>
      </c>
      <c r="B5558" t="s">
        <v>12</v>
      </c>
      <c r="C5558" t="s">
        <v>11</v>
      </c>
      <c r="D5558">
        <v>172</v>
      </c>
      <c r="E5558">
        <v>5</v>
      </c>
      <c r="F5558">
        <v>2.91</v>
      </c>
      <c r="G5558">
        <v>52.34</v>
      </c>
      <c r="H5558">
        <v>9002.48</v>
      </c>
    </row>
    <row r="5559" spans="1:8" x14ac:dyDescent="0.35">
      <c r="A5559" t="s">
        <v>6</v>
      </c>
      <c r="B5559" t="s">
        <v>12</v>
      </c>
      <c r="C5559" t="s">
        <v>11</v>
      </c>
      <c r="D5559">
        <v>142</v>
      </c>
      <c r="E5559">
        <v>10</v>
      </c>
      <c r="F5559">
        <v>7.04</v>
      </c>
      <c r="G5559">
        <v>34.5</v>
      </c>
      <c r="H5559">
        <v>4899</v>
      </c>
    </row>
    <row r="5560" spans="1:8" x14ac:dyDescent="0.35">
      <c r="A5560" t="s">
        <v>7</v>
      </c>
      <c r="B5560" t="s">
        <v>12</v>
      </c>
      <c r="C5560" t="s">
        <v>9</v>
      </c>
      <c r="D5560">
        <v>264</v>
      </c>
      <c r="E5560">
        <v>26</v>
      </c>
      <c r="F5560">
        <v>9.85</v>
      </c>
      <c r="G5560">
        <v>8.24</v>
      </c>
      <c r="H5560">
        <v>2175.36</v>
      </c>
    </row>
    <row r="5561" spans="1:8" x14ac:dyDescent="0.35">
      <c r="A5561" t="s">
        <v>7</v>
      </c>
      <c r="B5561" t="s">
        <v>12</v>
      </c>
      <c r="C5561" t="s">
        <v>10</v>
      </c>
      <c r="D5561">
        <v>80</v>
      </c>
      <c r="E5561">
        <v>4</v>
      </c>
      <c r="F5561">
        <v>5</v>
      </c>
      <c r="G5561">
        <v>10.58</v>
      </c>
      <c r="H5561">
        <v>846.4</v>
      </c>
    </row>
    <row r="5562" spans="1:8" x14ac:dyDescent="0.35">
      <c r="A5562" t="s">
        <v>6</v>
      </c>
      <c r="B5562" t="s">
        <v>12</v>
      </c>
      <c r="C5562" t="s">
        <v>11</v>
      </c>
      <c r="D5562">
        <v>153</v>
      </c>
      <c r="E5562">
        <v>1</v>
      </c>
      <c r="F5562">
        <v>0.65</v>
      </c>
      <c r="G5562">
        <v>6.76</v>
      </c>
      <c r="H5562">
        <v>1034.28</v>
      </c>
    </row>
    <row r="5563" spans="1:8" x14ac:dyDescent="0.35">
      <c r="A5563" t="s">
        <v>6</v>
      </c>
      <c r="B5563" t="s">
        <v>12</v>
      </c>
      <c r="C5563" t="s">
        <v>9</v>
      </c>
      <c r="D5563">
        <v>114</v>
      </c>
      <c r="E5563">
        <v>6</v>
      </c>
      <c r="F5563">
        <v>5.26</v>
      </c>
      <c r="G5563">
        <v>37.950000000000003</v>
      </c>
      <c r="H5563">
        <v>4326.3</v>
      </c>
    </row>
    <row r="5564" spans="1:8" x14ac:dyDescent="0.35">
      <c r="A5564" t="s">
        <v>6</v>
      </c>
      <c r="B5564" t="s">
        <v>12</v>
      </c>
      <c r="C5564" t="s">
        <v>9</v>
      </c>
      <c r="D5564">
        <v>248</v>
      </c>
      <c r="E5564">
        <v>3</v>
      </c>
      <c r="F5564">
        <v>1.21</v>
      </c>
      <c r="G5564">
        <v>11.56</v>
      </c>
      <c r="H5564">
        <v>2866.88</v>
      </c>
    </row>
    <row r="5565" spans="1:8" x14ac:dyDescent="0.35">
      <c r="A5565" t="s">
        <v>7</v>
      </c>
      <c r="B5565" t="s">
        <v>12</v>
      </c>
      <c r="C5565" t="s">
        <v>9</v>
      </c>
      <c r="D5565">
        <v>265</v>
      </c>
      <c r="E5565">
        <v>10</v>
      </c>
      <c r="F5565">
        <v>3.77</v>
      </c>
      <c r="G5565">
        <v>31.09</v>
      </c>
      <c r="H5565">
        <v>8238.85</v>
      </c>
    </row>
    <row r="5566" spans="1:8" x14ac:dyDescent="0.35">
      <c r="A5566" t="s">
        <v>6</v>
      </c>
      <c r="B5566" t="s">
        <v>12</v>
      </c>
      <c r="C5566" t="s">
        <v>11</v>
      </c>
      <c r="D5566">
        <v>212</v>
      </c>
      <c r="E5566">
        <v>11</v>
      </c>
      <c r="F5566">
        <v>5.19</v>
      </c>
      <c r="G5566">
        <v>43.1</v>
      </c>
      <c r="H5566">
        <v>9137.2000000000007</v>
      </c>
    </row>
    <row r="5567" spans="1:8" x14ac:dyDescent="0.35">
      <c r="A5567" t="s">
        <v>7</v>
      </c>
      <c r="B5567" t="s">
        <v>12</v>
      </c>
      <c r="C5567" t="s">
        <v>9</v>
      </c>
      <c r="D5567">
        <v>125</v>
      </c>
      <c r="E5567">
        <v>10</v>
      </c>
      <c r="F5567">
        <v>8</v>
      </c>
      <c r="G5567">
        <v>24.65</v>
      </c>
      <c r="H5567">
        <v>3081.25</v>
      </c>
    </row>
    <row r="5568" spans="1:8" x14ac:dyDescent="0.35">
      <c r="A5568" t="s">
        <v>5</v>
      </c>
      <c r="B5568" t="s">
        <v>12</v>
      </c>
      <c r="C5568" t="s">
        <v>9</v>
      </c>
      <c r="D5568">
        <v>72</v>
      </c>
      <c r="E5568">
        <v>7</v>
      </c>
      <c r="F5568">
        <v>9.7200000000000006</v>
      </c>
      <c r="G5568">
        <v>39.44</v>
      </c>
      <c r="H5568">
        <v>2839.68</v>
      </c>
    </row>
    <row r="5569" spans="1:8" x14ac:dyDescent="0.35">
      <c r="A5569" t="s">
        <v>7</v>
      </c>
      <c r="B5569" t="s">
        <v>12</v>
      </c>
      <c r="C5569" t="s">
        <v>10</v>
      </c>
      <c r="D5569">
        <v>74</v>
      </c>
      <c r="E5569">
        <v>3</v>
      </c>
      <c r="F5569">
        <v>4.05</v>
      </c>
      <c r="G5569">
        <v>5.55</v>
      </c>
      <c r="H5569">
        <v>410.7</v>
      </c>
    </row>
    <row r="5570" spans="1:8" x14ac:dyDescent="0.35">
      <c r="A5570" t="s">
        <v>7</v>
      </c>
      <c r="B5570" t="s">
        <v>12</v>
      </c>
      <c r="C5570" t="s">
        <v>10</v>
      </c>
      <c r="D5570">
        <v>211</v>
      </c>
      <c r="E5570">
        <v>16</v>
      </c>
      <c r="F5570">
        <v>7.58</v>
      </c>
      <c r="G5570">
        <v>43.81</v>
      </c>
      <c r="H5570">
        <v>9243.91</v>
      </c>
    </row>
    <row r="5571" spans="1:8" x14ac:dyDescent="0.35">
      <c r="A5571" t="s">
        <v>7</v>
      </c>
      <c r="B5571" t="s">
        <v>12</v>
      </c>
      <c r="C5571" t="s">
        <v>10</v>
      </c>
      <c r="D5571">
        <v>91</v>
      </c>
      <c r="E5571">
        <v>3</v>
      </c>
      <c r="F5571">
        <v>3.3</v>
      </c>
      <c r="G5571">
        <v>45.01</v>
      </c>
      <c r="H5571">
        <v>4095.91</v>
      </c>
    </row>
    <row r="5572" spans="1:8" x14ac:dyDescent="0.35">
      <c r="A5572" t="s">
        <v>6</v>
      </c>
      <c r="B5572" t="s">
        <v>12</v>
      </c>
      <c r="C5572" t="s">
        <v>9</v>
      </c>
      <c r="D5572">
        <v>201</v>
      </c>
      <c r="E5572">
        <v>5</v>
      </c>
      <c r="F5572">
        <v>2.4900000000000002</v>
      </c>
      <c r="G5572">
        <v>45.86</v>
      </c>
      <c r="H5572">
        <v>9217.86</v>
      </c>
    </row>
    <row r="5573" spans="1:8" x14ac:dyDescent="0.35">
      <c r="A5573" t="s">
        <v>7</v>
      </c>
      <c r="B5573" t="s">
        <v>12</v>
      </c>
      <c r="C5573" t="s">
        <v>9</v>
      </c>
      <c r="D5573">
        <v>129</v>
      </c>
      <c r="E5573">
        <v>6</v>
      </c>
      <c r="F5573">
        <v>4.6500000000000004</v>
      </c>
      <c r="G5573">
        <v>17.52</v>
      </c>
      <c r="H5573">
        <v>2260.08</v>
      </c>
    </row>
    <row r="5574" spans="1:8" x14ac:dyDescent="0.35">
      <c r="A5574" t="s">
        <v>5</v>
      </c>
      <c r="B5574" t="s">
        <v>12</v>
      </c>
      <c r="C5574" t="s">
        <v>9</v>
      </c>
      <c r="D5574">
        <v>112</v>
      </c>
      <c r="E5574">
        <v>9</v>
      </c>
      <c r="F5574">
        <v>8.0399999999999991</v>
      </c>
      <c r="G5574">
        <v>20.059999999999999</v>
      </c>
      <c r="H5574">
        <v>2246.7199999999998</v>
      </c>
    </row>
    <row r="5575" spans="1:8" x14ac:dyDescent="0.35">
      <c r="A5575" t="s">
        <v>7</v>
      </c>
      <c r="B5575" t="s">
        <v>12</v>
      </c>
      <c r="C5575" t="s">
        <v>10</v>
      </c>
      <c r="D5575">
        <v>233</v>
      </c>
      <c r="E5575">
        <v>0</v>
      </c>
      <c r="F5575">
        <v>0</v>
      </c>
      <c r="G5575">
        <v>43.6</v>
      </c>
      <c r="H5575">
        <v>10158.799999999999</v>
      </c>
    </row>
    <row r="5576" spans="1:8" x14ac:dyDescent="0.35">
      <c r="A5576" t="s">
        <v>6</v>
      </c>
      <c r="B5576" t="s">
        <v>12</v>
      </c>
      <c r="C5576" t="s">
        <v>9</v>
      </c>
      <c r="D5576">
        <v>170</v>
      </c>
      <c r="E5576">
        <v>8</v>
      </c>
      <c r="F5576">
        <v>4.71</v>
      </c>
      <c r="G5576">
        <v>16.16</v>
      </c>
      <c r="H5576">
        <v>2747.2</v>
      </c>
    </row>
    <row r="5577" spans="1:8" x14ac:dyDescent="0.35">
      <c r="A5577" t="s">
        <v>7</v>
      </c>
      <c r="B5577" t="s">
        <v>12</v>
      </c>
      <c r="C5577" t="s">
        <v>10</v>
      </c>
      <c r="D5577">
        <v>186</v>
      </c>
      <c r="E5577">
        <v>12</v>
      </c>
      <c r="F5577">
        <v>6.45</v>
      </c>
      <c r="G5577">
        <v>49.28</v>
      </c>
      <c r="H5577">
        <v>9166.08</v>
      </c>
    </row>
    <row r="5578" spans="1:8" x14ac:dyDescent="0.35">
      <c r="A5578" t="s">
        <v>8</v>
      </c>
      <c r="B5578" t="s">
        <v>12</v>
      </c>
      <c r="C5578" t="s">
        <v>9</v>
      </c>
      <c r="D5578">
        <v>69</v>
      </c>
      <c r="E5578">
        <v>3</v>
      </c>
      <c r="F5578">
        <v>4.3499999999999996</v>
      </c>
      <c r="G5578">
        <v>20.63</v>
      </c>
      <c r="H5578">
        <v>1423.47</v>
      </c>
    </row>
    <row r="5579" spans="1:8" x14ac:dyDescent="0.35">
      <c r="A5579" t="s">
        <v>7</v>
      </c>
      <c r="B5579" t="s">
        <v>12</v>
      </c>
      <c r="C5579" t="s">
        <v>10</v>
      </c>
      <c r="D5579">
        <v>51</v>
      </c>
      <c r="E5579">
        <v>0</v>
      </c>
      <c r="F5579">
        <v>0</v>
      </c>
      <c r="G5579">
        <v>68.849999999999994</v>
      </c>
      <c r="H5579">
        <v>3511.35</v>
      </c>
    </row>
    <row r="5580" spans="1:8" x14ac:dyDescent="0.35">
      <c r="A5580" t="s">
        <v>7</v>
      </c>
      <c r="B5580" t="s">
        <v>12</v>
      </c>
      <c r="C5580" t="s">
        <v>9</v>
      </c>
      <c r="D5580">
        <v>103</v>
      </c>
      <c r="E5580">
        <v>0</v>
      </c>
      <c r="F5580">
        <v>0</v>
      </c>
      <c r="G5580">
        <v>32.47</v>
      </c>
      <c r="H5580">
        <v>3344.41</v>
      </c>
    </row>
    <row r="5581" spans="1:8" x14ac:dyDescent="0.35">
      <c r="A5581" t="s">
        <v>8</v>
      </c>
      <c r="B5581" t="s">
        <v>12</v>
      </c>
      <c r="C5581" t="s">
        <v>9</v>
      </c>
      <c r="D5581">
        <v>133</v>
      </c>
      <c r="E5581">
        <v>8</v>
      </c>
      <c r="F5581">
        <v>6.02</v>
      </c>
      <c r="G5581">
        <v>38.549999999999997</v>
      </c>
      <c r="H5581">
        <v>5127.1499999999996</v>
      </c>
    </row>
    <row r="5582" spans="1:8" x14ac:dyDescent="0.35">
      <c r="A5582" t="s">
        <v>6</v>
      </c>
      <c r="B5582" t="s">
        <v>12</v>
      </c>
      <c r="C5582" t="s">
        <v>9</v>
      </c>
      <c r="D5582">
        <v>105</v>
      </c>
      <c r="E5582">
        <v>7</v>
      </c>
      <c r="F5582">
        <v>6.67</v>
      </c>
      <c r="G5582">
        <v>30.51</v>
      </c>
      <c r="H5582">
        <v>3203.55</v>
      </c>
    </row>
    <row r="5583" spans="1:8" x14ac:dyDescent="0.35">
      <c r="A5583" t="s">
        <v>7</v>
      </c>
      <c r="B5583" t="s">
        <v>12</v>
      </c>
      <c r="C5583" t="s">
        <v>9</v>
      </c>
      <c r="D5583">
        <v>252</v>
      </c>
      <c r="E5583">
        <v>20</v>
      </c>
      <c r="F5583">
        <v>7.94</v>
      </c>
      <c r="G5583">
        <v>45.43</v>
      </c>
      <c r="H5583">
        <v>11448.36</v>
      </c>
    </row>
    <row r="5584" spans="1:8" x14ac:dyDescent="0.35">
      <c r="A5584" t="s">
        <v>7</v>
      </c>
      <c r="B5584" t="s">
        <v>12</v>
      </c>
      <c r="C5584" t="s">
        <v>10</v>
      </c>
      <c r="D5584">
        <v>270</v>
      </c>
      <c r="E5584">
        <v>9</v>
      </c>
      <c r="F5584">
        <v>3.33</v>
      </c>
      <c r="G5584">
        <v>54.82</v>
      </c>
      <c r="H5584">
        <v>14801.4</v>
      </c>
    </row>
    <row r="5585" spans="1:8" x14ac:dyDescent="0.35">
      <c r="A5585" t="s">
        <v>6</v>
      </c>
      <c r="B5585" t="s">
        <v>12</v>
      </c>
      <c r="C5585" t="s">
        <v>11</v>
      </c>
      <c r="D5585">
        <v>192</v>
      </c>
      <c r="E5585">
        <v>13</v>
      </c>
      <c r="F5585">
        <v>6.77</v>
      </c>
      <c r="G5585">
        <v>24.21</v>
      </c>
      <c r="H5585">
        <v>4648.32</v>
      </c>
    </row>
    <row r="5586" spans="1:8" x14ac:dyDescent="0.35">
      <c r="A5586" t="s">
        <v>8</v>
      </c>
      <c r="B5586" t="s">
        <v>12</v>
      </c>
      <c r="C5586" t="s">
        <v>9</v>
      </c>
      <c r="D5586">
        <v>169</v>
      </c>
      <c r="E5586">
        <v>10</v>
      </c>
      <c r="F5586">
        <v>5.92</v>
      </c>
      <c r="G5586">
        <v>38.869999999999997</v>
      </c>
      <c r="H5586">
        <v>6569.03</v>
      </c>
    </row>
    <row r="5587" spans="1:8" x14ac:dyDescent="0.35">
      <c r="A5587" t="s">
        <v>7</v>
      </c>
      <c r="B5587" t="s">
        <v>12</v>
      </c>
      <c r="C5587" t="s">
        <v>10</v>
      </c>
      <c r="D5587">
        <v>112</v>
      </c>
      <c r="E5587">
        <v>3</v>
      </c>
      <c r="F5587">
        <v>2.68</v>
      </c>
      <c r="G5587">
        <v>68.62</v>
      </c>
      <c r="H5587">
        <v>7685.44</v>
      </c>
    </row>
    <row r="5588" spans="1:8" x14ac:dyDescent="0.35">
      <c r="A5588" t="s">
        <v>6</v>
      </c>
      <c r="B5588" t="s">
        <v>12</v>
      </c>
      <c r="C5588" t="s">
        <v>11</v>
      </c>
      <c r="D5588">
        <v>77</v>
      </c>
      <c r="E5588">
        <v>5</v>
      </c>
      <c r="F5588">
        <v>6.49</v>
      </c>
      <c r="G5588">
        <v>35.31</v>
      </c>
      <c r="H5588">
        <v>2718.87</v>
      </c>
    </row>
    <row r="5589" spans="1:8" x14ac:dyDescent="0.35">
      <c r="A5589" t="s">
        <v>7</v>
      </c>
      <c r="B5589" t="s">
        <v>12</v>
      </c>
      <c r="C5589" t="s">
        <v>9</v>
      </c>
      <c r="D5589">
        <v>211</v>
      </c>
      <c r="E5589">
        <v>21</v>
      </c>
      <c r="F5589">
        <v>9.9499999999999993</v>
      </c>
      <c r="G5589">
        <v>27.76</v>
      </c>
      <c r="H5589">
        <v>5857.36</v>
      </c>
    </row>
    <row r="5590" spans="1:8" x14ac:dyDescent="0.35">
      <c r="A5590" t="s">
        <v>5</v>
      </c>
      <c r="B5590" t="s">
        <v>12</v>
      </c>
      <c r="C5590" t="s">
        <v>9</v>
      </c>
      <c r="D5590">
        <v>288</v>
      </c>
      <c r="E5590">
        <v>15</v>
      </c>
      <c r="F5590">
        <v>5.21</v>
      </c>
      <c r="G5590">
        <v>34.770000000000003</v>
      </c>
      <c r="H5590">
        <v>10013.76</v>
      </c>
    </row>
    <row r="5591" spans="1:8" x14ac:dyDescent="0.35">
      <c r="A5591" t="s">
        <v>6</v>
      </c>
      <c r="B5591" t="s">
        <v>12</v>
      </c>
      <c r="C5591" t="s">
        <v>9</v>
      </c>
      <c r="D5591">
        <v>206</v>
      </c>
      <c r="E5591">
        <v>12</v>
      </c>
      <c r="F5591">
        <v>5.83</v>
      </c>
      <c r="G5591">
        <v>46.58</v>
      </c>
      <c r="H5591">
        <v>9595.48</v>
      </c>
    </row>
    <row r="5592" spans="1:8" x14ac:dyDescent="0.35">
      <c r="A5592" t="s">
        <v>7</v>
      </c>
      <c r="B5592" t="s">
        <v>12</v>
      </c>
      <c r="C5592" t="s">
        <v>10</v>
      </c>
      <c r="D5592">
        <v>187</v>
      </c>
      <c r="E5592">
        <v>16</v>
      </c>
      <c r="F5592">
        <v>8.56</v>
      </c>
      <c r="G5592">
        <v>34.11</v>
      </c>
      <c r="H5592">
        <v>6378.57</v>
      </c>
    </row>
    <row r="5593" spans="1:8" x14ac:dyDescent="0.35">
      <c r="A5593" t="s">
        <v>7</v>
      </c>
      <c r="B5593" t="s">
        <v>12</v>
      </c>
      <c r="C5593" t="s">
        <v>9</v>
      </c>
      <c r="D5593">
        <v>195</v>
      </c>
      <c r="E5593">
        <v>12</v>
      </c>
      <c r="F5593">
        <v>6.15</v>
      </c>
      <c r="G5593">
        <v>9.25</v>
      </c>
      <c r="H5593">
        <v>1803.75</v>
      </c>
    </row>
    <row r="5594" spans="1:8" x14ac:dyDescent="0.35">
      <c r="A5594" t="s">
        <v>7</v>
      </c>
      <c r="B5594" t="s">
        <v>12</v>
      </c>
      <c r="C5594" t="s">
        <v>9</v>
      </c>
      <c r="D5594">
        <v>68</v>
      </c>
      <c r="E5594">
        <v>5</v>
      </c>
      <c r="F5594">
        <v>7.35</v>
      </c>
      <c r="G5594">
        <v>44.96</v>
      </c>
      <c r="H5594">
        <v>3057.28</v>
      </c>
    </row>
    <row r="5595" spans="1:8" x14ac:dyDescent="0.35">
      <c r="A5595" t="s">
        <v>6</v>
      </c>
      <c r="B5595" t="s">
        <v>12</v>
      </c>
      <c r="C5595" t="s">
        <v>11</v>
      </c>
      <c r="D5595">
        <v>203</v>
      </c>
      <c r="E5595">
        <v>6</v>
      </c>
      <c r="F5595">
        <v>2.96</v>
      </c>
      <c r="G5595">
        <v>17.45</v>
      </c>
      <c r="H5595">
        <v>3542.35</v>
      </c>
    </row>
    <row r="5596" spans="1:8" x14ac:dyDescent="0.35">
      <c r="A5596" t="s">
        <v>6</v>
      </c>
      <c r="B5596" t="s">
        <v>12</v>
      </c>
      <c r="C5596" t="s">
        <v>9</v>
      </c>
      <c r="D5596">
        <v>240</v>
      </c>
      <c r="E5596">
        <v>23</v>
      </c>
      <c r="F5596">
        <v>9.58</v>
      </c>
      <c r="G5596">
        <v>43.29</v>
      </c>
      <c r="H5596">
        <v>10389.6</v>
      </c>
    </row>
    <row r="5597" spans="1:8" x14ac:dyDescent="0.35">
      <c r="A5597" t="s">
        <v>6</v>
      </c>
      <c r="B5597" t="s">
        <v>12</v>
      </c>
      <c r="C5597" t="s">
        <v>11</v>
      </c>
      <c r="D5597">
        <v>281</v>
      </c>
      <c r="E5597">
        <v>13</v>
      </c>
      <c r="F5597">
        <v>4.63</v>
      </c>
      <c r="G5597">
        <v>62.51</v>
      </c>
      <c r="H5597">
        <v>17565.310000000001</v>
      </c>
    </row>
    <row r="5598" spans="1:8" x14ac:dyDescent="0.35">
      <c r="A5598" t="s">
        <v>6</v>
      </c>
      <c r="B5598" t="s">
        <v>12</v>
      </c>
      <c r="C5598" t="s">
        <v>9</v>
      </c>
      <c r="D5598">
        <v>120</v>
      </c>
      <c r="E5598">
        <v>12</v>
      </c>
      <c r="F5598">
        <v>10</v>
      </c>
      <c r="G5598">
        <v>29.29</v>
      </c>
      <c r="H5598">
        <v>3514.8</v>
      </c>
    </row>
    <row r="5599" spans="1:8" x14ac:dyDescent="0.35">
      <c r="A5599" t="s">
        <v>5</v>
      </c>
      <c r="B5599" t="s">
        <v>12</v>
      </c>
      <c r="C5599" t="s">
        <v>9</v>
      </c>
      <c r="D5599">
        <v>120</v>
      </c>
      <c r="E5599">
        <v>10</v>
      </c>
      <c r="F5599">
        <v>8.33</v>
      </c>
      <c r="G5599">
        <v>5.63</v>
      </c>
      <c r="H5599">
        <v>675.6</v>
      </c>
    </row>
    <row r="5600" spans="1:8" x14ac:dyDescent="0.35">
      <c r="A5600" t="s">
        <v>6</v>
      </c>
      <c r="B5600" t="s">
        <v>12</v>
      </c>
      <c r="C5600" t="s">
        <v>9</v>
      </c>
      <c r="D5600">
        <v>295</v>
      </c>
      <c r="E5600">
        <v>8</v>
      </c>
      <c r="F5600">
        <v>2.71</v>
      </c>
      <c r="G5600">
        <v>41.03</v>
      </c>
      <c r="H5600">
        <v>12103.85</v>
      </c>
    </row>
    <row r="5601" spans="1:8" x14ac:dyDescent="0.35">
      <c r="A5601" t="s">
        <v>6</v>
      </c>
      <c r="B5601" t="s">
        <v>12</v>
      </c>
      <c r="C5601" t="s">
        <v>11</v>
      </c>
      <c r="D5601">
        <v>171</v>
      </c>
      <c r="E5601">
        <v>3</v>
      </c>
      <c r="F5601">
        <v>1.75</v>
      </c>
      <c r="G5601">
        <v>65.55</v>
      </c>
      <c r="H5601">
        <v>11209.05</v>
      </c>
    </row>
    <row r="5602" spans="1:8" x14ac:dyDescent="0.35">
      <c r="A5602" t="s">
        <v>8</v>
      </c>
      <c r="B5602" t="s">
        <v>12</v>
      </c>
      <c r="C5602" t="s">
        <v>9</v>
      </c>
      <c r="D5602">
        <v>112</v>
      </c>
      <c r="E5602">
        <v>2</v>
      </c>
      <c r="F5602">
        <v>1.79</v>
      </c>
      <c r="G5602">
        <v>17.079999999999998</v>
      </c>
      <c r="H5602">
        <v>1912.96</v>
      </c>
    </row>
    <row r="5603" spans="1:8" x14ac:dyDescent="0.35">
      <c r="A5603" t="s">
        <v>8</v>
      </c>
      <c r="B5603" t="s">
        <v>12</v>
      </c>
      <c r="C5603" t="s">
        <v>9</v>
      </c>
      <c r="D5603">
        <v>291</v>
      </c>
      <c r="E5603">
        <v>12</v>
      </c>
      <c r="F5603">
        <v>4.12</v>
      </c>
      <c r="G5603">
        <v>18.850000000000001</v>
      </c>
      <c r="H5603">
        <v>5485.35</v>
      </c>
    </row>
    <row r="5604" spans="1:8" x14ac:dyDescent="0.35">
      <c r="A5604" t="s">
        <v>7</v>
      </c>
      <c r="B5604" t="s">
        <v>12</v>
      </c>
      <c r="C5604" t="s">
        <v>9</v>
      </c>
      <c r="D5604">
        <v>226</v>
      </c>
      <c r="E5604">
        <v>0</v>
      </c>
      <c r="F5604">
        <v>0</v>
      </c>
      <c r="G5604">
        <v>32.159999999999997</v>
      </c>
      <c r="H5604">
        <v>7268.16</v>
      </c>
    </row>
    <row r="5605" spans="1:8" x14ac:dyDescent="0.35">
      <c r="A5605" t="s">
        <v>7</v>
      </c>
      <c r="B5605" t="s">
        <v>12</v>
      </c>
      <c r="C5605" t="s">
        <v>10</v>
      </c>
      <c r="D5605">
        <v>268</v>
      </c>
      <c r="E5605">
        <v>19</v>
      </c>
      <c r="F5605">
        <v>7.09</v>
      </c>
      <c r="G5605">
        <v>5.75</v>
      </c>
      <c r="H5605">
        <v>1541</v>
      </c>
    </row>
    <row r="5606" spans="1:8" x14ac:dyDescent="0.35">
      <c r="A5606" t="s">
        <v>6</v>
      </c>
      <c r="B5606" t="s">
        <v>12</v>
      </c>
      <c r="C5606" t="s">
        <v>9</v>
      </c>
      <c r="D5606">
        <v>240</v>
      </c>
      <c r="E5606">
        <v>19</v>
      </c>
      <c r="F5606">
        <v>7.92</v>
      </c>
      <c r="G5606">
        <v>66</v>
      </c>
      <c r="H5606">
        <v>15840</v>
      </c>
    </row>
    <row r="5607" spans="1:8" x14ac:dyDescent="0.35">
      <c r="A5607" t="s">
        <v>6</v>
      </c>
      <c r="B5607" t="s">
        <v>12</v>
      </c>
      <c r="C5607" t="s">
        <v>11</v>
      </c>
      <c r="D5607">
        <v>290</v>
      </c>
      <c r="E5607">
        <v>6</v>
      </c>
      <c r="F5607">
        <v>2.0699999999999998</v>
      </c>
      <c r="G5607">
        <v>13.39</v>
      </c>
      <c r="H5607">
        <v>3883.1</v>
      </c>
    </row>
    <row r="5608" spans="1:8" x14ac:dyDescent="0.35">
      <c r="A5608" t="s">
        <v>7</v>
      </c>
      <c r="B5608" t="s">
        <v>12</v>
      </c>
      <c r="C5608" t="s">
        <v>9</v>
      </c>
      <c r="D5608">
        <v>266</v>
      </c>
      <c r="E5608">
        <v>25</v>
      </c>
      <c r="F5608">
        <v>9.4</v>
      </c>
      <c r="G5608">
        <v>43.29</v>
      </c>
      <c r="H5608">
        <v>11515.14</v>
      </c>
    </row>
    <row r="5609" spans="1:8" x14ac:dyDescent="0.35">
      <c r="A5609" t="s">
        <v>8</v>
      </c>
      <c r="B5609" t="s">
        <v>12</v>
      </c>
      <c r="C5609" t="s">
        <v>9</v>
      </c>
      <c r="D5609">
        <v>102</v>
      </c>
      <c r="E5609">
        <v>6</v>
      </c>
      <c r="F5609">
        <v>5.88</v>
      </c>
      <c r="G5609">
        <v>68.7</v>
      </c>
      <c r="H5609">
        <v>7007.4</v>
      </c>
    </row>
    <row r="5610" spans="1:8" x14ac:dyDescent="0.35">
      <c r="A5610" t="s">
        <v>6</v>
      </c>
      <c r="B5610" t="s">
        <v>12</v>
      </c>
      <c r="C5610" t="s">
        <v>9</v>
      </c>
      <c r="D5610">
        <v>242</v>
      </c>
      <c r="E5610">
        <v>6</v>
      </c>
      <c r="F5610">
        <v>2.48</v>
      </c>
      <c r="G5610">
        <v>38.15</v>
      </c>
      <c r="H5610">
        <v>9232.2999999999993</v>
      </c>
    </row>
    <row r="5611" spans="1:8" x14ac:dyDescent="0.35">
      <c r="A5611" t="s">
        <v>6</v>
      </c>
      <c r="B5611" t="s">
        <v>12</v>
      </c>
      <c r="C5611" t="s">
        <v>9</v>
      </c>
      <c r="D5611">
        <v>213</v>
      </c>
      <c r="E5611">
        <v>17</v>
      </c>
      <c r="F5611">
        <v>7.98</v>
      </c>
      <c r="G5611">
        <v>41.56</v>
      </c>
      <c r="H5611">
        <v>8852.2800000000007</v>
      </c>
    </row>
    <row r="5612" spans="1:8" x14ac:dyDescent="0.35">
      <c r="A5612" t="s">
        <v>7</v>
      </c>
      <c r="B5612" t="s">
        <v>12</v>
      </c>
      <c r="C5612" t="s">
        <v>10</v>
      </c>
      <c r="D5612">
        <v>288</v>
      </c>
      <c r="E5612">
        <v>11</v>
      </c>
      <c r="F5612">
        <v>3.82</v>
      </c>
      <c r="G5612">
        <v>10.37</v>
      </c>
      <c r="H5612">
        <v>2986.56</v>
      </c>
    </row>
    <row r="5613" spans="1:8" x14ac:dyDescent="0.35">
      <c r="A5613" t="s">
        <v>6</v>
      </c>
      <c r="B5613" t="s">
        <v>12</v>
      </c>
      <c r="C5613" t="s">
        <v>9</v>
      </c>
      <c r="D5613">
        <v>248</v>
      </c>
      <c r="E5613">
        <v>9</v>
      </c>
      <c r="F5613">
        <v>3.63</v>
      </c>
      <c r="G5613">
        <v>67.290000000000006</v>
      </c>
      <c r="H5613">
        <v>16687.919999999998</v>
      </c>
    </row>
    <row r="5614" spans="1:8" x14ac:dyDescent="0.35">
      <c r="A5614" t="s">
        <v>7</v>
      </c>
      <c r="B5614" t="s">
        <v>12</v>
      </c>
      <c r="C5614" t="s">
        <v>9</v>
      </c>
      <c r="D5614">
        <v>259</v>
      </c>
      <c r="E5614">
        <v>11</v>
      </c>
      <c r="F5614">
        <v>4.25</v>
      </c>
      <c r="G5614">
        <v>25.1</v>
      </c>
      <c r="H5614">
        <v>6500.9</v>
      </c>
    </row>
    <row r="5615" spans="1:8" x14ac:dyDescent="0.35">
      <c r="A5615" t="s">
        <v>7</v>
      </c>
      <c r="B5615" t="s">
        <v>12</v>
      </c>
      <c r="C5615" t="s">
        <v>10</v>
      </c>
      <c r="D5615">
        <v>144</v>
      </c>
      <c r="E5615">
        <v>14</v>
      </c>
      <c r="F5615">
        <v>9.7200000000000006</v>
      </c>
      <c r="G5615">
        <v>18.739999999999998</v>
      </c>
      <c r="H5615">
        <v>2698.56</v>
      </c>
    </row>
    <row r="5616" spans="1:8" x14ac:dyDescent="0.35">
      <c r="A5616" t="s">
        <v>6</v>
      </c>
      <c r="B5616" t="s">
        <v>12</v>
      </c>
      <c r="C5616" t="s">
        <v>11</v>
      </c>
      <c r="D5616">
        <v>233</v>
      </c>
      <c r="E5616">
        <v>0</v>
      </c>
      <c r="F5616">
        <v>0</v>
      </c>
      <c r="G5616">
        <v>10</v>
      </c>
      <c r="H5616">
        <v>2330</v>
      </c>
    </row>
    <row r="5617" spans="1:8" x14ac:dyDescent="0.35">
      <c r="A5617" t="s">
        <v>7</v>
      </c>
      <c r="B5617" t="s">
        <v>12</v>
      </c>
      <c r="C5617" t="s">
        <v>10</v>
      </c>
      <c r="D5617">
        <v>253</v>
      </c>
      <c r="E5617">
        <v>9</v>
      </c>
      <c r="F5617">
        <v>3.56</v>
      </c>
      <c r="G5617">
        <v>21.53</v>
      </c>
      <c r="H5617">
        <v>5447.09</v>
      </c>
    </row>
    <row r="5618" spans="1:8" x14ac:dyDescent="0.35">
      <c r="A5618" t="s">
        <v>7</v>
      </c>
      <c r="B5618" t="s">
        <v>12</v>
      </c>
      <c r="C5618" t="s">
        <v>9</v>
      </c>
      <c r="D5618">
        <v>58</v>
      </c>
      <c r="E5618">
        <v>1</v>
      </c>
      <c r="F5618">
        <v>1.72</v>
      </c>
      <c r="G5618">
        <v>58.14</v>
      </c>
      <c r="H5618">
        <v>3372.12</v>
      </c>
    </row>
    <row r="5619" spans="1:8" x14ac:dyDescent="0.35">
      <c r="A5619" t="s">
        <v>6</v>
      </c>
      <c r="B5619" t="s">
        <v>12</v>
      </c>
      <c r="C5619" t="s">
        <v>9</v>
      </c>
      <c r="D5619">
        <v>268</v>
      </c>
      <c r="E5619">
        <v>20</v>
      </c>
      <c r="F5619">
        <v>7.46</v>
      </c>
      <c r="G5619">
        <v>67.27</v>
      </c>
      <c r="H5619">
        <v>18028.36</v>
      </c>
    </row>
    <row r="5620" spans="1:8" x14ac:dyDescent="0.35">
      <c r="A5620" t="s">
        <v>8</v>
      </c>
      <c r="B5620" t="s">
        <v>12</v>
      </c>
      <c r="C5620" t="s">
        <v>9</v>
      </c>
      <c r="D5620">
        <v>253</v>
      </c>
      <c r="E5620">
        <v>8</v>
      </c>
      <c r="F5620">
        <v>3.16</v>
      </c>
      <c r="G5620">
        <v>20.03</v>
      </c>
      <c r="H5620">
        <v>5067.59</v>
      </c>
    </row>
    <row r="5621" spans="1:8" x14ac:dyDescent="0.35">
      <c r="A5621" t="s">
        <v>6</v>
      </c>
      <c r="B5621" t="s">
        <v>12</v>
      </c>
      <c r="C5621" t="s">
        <v>11</v>
      </c>
      <c r="D5621">
        <v>272</v>
      </c>
      <c r="E5621">
        <v>13</v>
      </c>
      <c r="F5621">
        <v>4.78</v>
      </c>
      <c r="G5621">
        <v>39.89</v>
      </c>
      <c r="H5621">
        <v>10850.08</v>
      </c>
    </row>
    <row r="5622" spans="1:8" x14ac:dyDescent="0.35">
      <c r="A5622" t="s">
        <v>7</v>
      </c>
      <c r="B5622" t="s">
        <v>12</v>
      </c>
      <c r="C5622" t="s">
        <v>10</v>
      </c>
      <c r="D5622">
        <v>74</v>
      </c>
      <c r="E5622">
        <v>5</v>
      </c>
      <c r="F5622">
        <v>6.76</v>
      </c>
      <c r="G5622">
        <v>17.75</v>
      </c>
      <c r="H5622">
        <v>1313.5</v>
      </c>
    </row>
    <row r="5623" spans="1:8" x14ac:dyDescent="0.35">
      <c r="A5623" t="s">
        <v>6</v>
      </c>
      <c r="B5623" t="s">
        <v>12</v>
      </c>
      <c r="C5623" t="s">
        <v>11</v>
      </c>
      <c r="D5623">
        <v>206</v>
      </c>
      <c r="E5623">
        <v>5</v>
      </c>
      <c r="F5623">
        <v>2.4300000000000002</v>
      </c>
      <c r="G5623">
        <v>48.54</v>
      </c>
      <c r="H5623">
        <v>9999.24</v>
      </c>
    </row>
    <row r="5624" spans="1:8" x14ac:dyDescent="0.35">
      <c r="A5624" t="s">
        <v>7</v>
      </c>
      <c r="B5624" t="s">
        <v>12</v>
      </c>
      <c r="C5624" t="s">
        <v>9</v>
      </c>
      <c r="D5624">
        <v>231</v>
      </c>
      <c r="E5624">
        <v>9</v>
      </c>
      <c r="F5624">
        <v>3.9</v>
      </c>
      <c r="G5624">
        <v>6.02</v>
      </c>
      <c r="H5624">
        <v>1390.62</v>
      </c>
    </row>
    <row r="5625" spans="1:8" x14ac:dyDescent="0.35">
      <c r="A5625" t="s">
        <v>7</v>
      </c>
      <c r="B5625" t="s">
        <v>12</v>
      </c>
      <c r="C5625" t="s">
        <v>9</v>
      </c>
      <c r="D5625">
        <v>201</v>
      </c>
      <c r="E5625">
        <v>10</v>
      </c>
      <c r="F5625">
        <v>4.9800000000000004</v>
      </c>
      <c r="G5625">
        <v>55.78</v>
      </c>
      <c r="H5625">
        <v>11211.78</v>
      </c>
    </row>
    <row r="5626" spans="1:8" x14ac:dyDescent="0.35">
      <c r="A5626" t="s">
        <v>8</v>
      </c>
      <c r="B5626" t="s">
        <v>12</v>
      </c>
      <c r="C5626" t="s">
        <v>9</v>
      </c>
      <c r="D5626">
        <v>210</v>
      </c>
      <c r="E5626">
        <v>8</v>
      </c>
      <c r="F5626">
        <v>3.81</v>
      </c>
      <c r="G5626">
        <v>23.83</v>
      </c>
      <c r="H5626">
        <v>5004.3</v>
      </c>
    </row>
    <row r="5627" spans="1:8" x14ac:dyDescent="0.35">
      <c r="A5627" t="s">
        <v>8</v>
      </c>
      <c r="B5627" t="s">
        <v>12</v>
      </c>
      <c r="C5627" t="s">
        <v>9</v>
      </c>
      <c r="D5627">
        <v>139</v>
      </c>
      <c r="E5627">
        <v>10</v>
      </c>
      <c r="F5627">
        <v>7.19</v>
      </c>
      <c r="G5627">
        <v>26.23</v>
      </c>
      <c r="H5627">
        <v>3645.97</v>
      </c>
    </row>
    <row r="5628" spans="1:8" x14ac:dyDescent="0.35">
      <c r="A5628" t="s">
        <v>7</v>
      </c>
      <c r="B5628" t="s">
        <v>12</v>
      </c>
      <c r="C5628" t="s">
        <v>9</v>
      </c>
      <c r="D5628">
        <v>74</v>
      </c>
      <c r="E5628">
        <v>7</v>
      </c>
      <c r="F5628">
        <v>9.4600000000000009</v>
      </c>
      <c r="G5628">
        <v>59.3</v>
      </c>
      <c r="H5628">
        <v>4388.2</v>
      </c>
    </row>
    <row r="5629" spans="1:8" x14ac:dyDescent="0.35">
      <c r="A5629" t="s">
        <v>6</v>
      </c>
      <c r="B5629" t="s">
        <v>12</v>
      </c>
      <c r="C5629" t="s">
        <v>9</v>
      </c>
      <c r="D5629">
        <v>278</v>
      </c>
      <c r="E5629">
        <v>1</v>
      </c>
      <c r="F5629">
        <v>0.36</v>
      </c>
      <c r="G5629">
        <v>6.89</v>
      </c>
      <c r="H5629">
        <v>1915.42</v>
      </c>
    </row>
    <row r="5630" spans="1:8" x14ac:dyDescent="0.35">
      <c r="A5630" t="s">
        <v>6</v>
      </c>
      <c r="B5630" t="s">
        <v>12</v>
      </c>
      <c r="C5630" t="s">
        <v>9</v>
      </c>
      <c r="D5630">
        <v>288</v>
      </c>
      <c r="E5630">
        <v>19</v>
      </c>
      <c r="F5630">
        <v>6.6</v>
      </c>
      <c r="G5630">
        <v>15.7</v>
      </c>
      <c r="H5630">
        <v>4521.6000000000004</v>
      </c>
    </row>
    <row r="5631" spans="1:8" x14ac:dyDescent="0.35">
      <c r="A5631" t="s">
        <v>5</v>
      </c>
      <c r="B5631" t="s">
        <v>12</v>
      </c>
      <c r="C5631" t="s">
        <v>9</v>
      </c>
      <c r="D5631">
        <v>261</v>
      </c>
      <c r="E5631">
        <v>16</v>
      </c>
      <c r="F5631">
        <v>6.13</v>
      </c>
      <c r="G5631">
        <v>28.62</v>
      </c>
      <c r="H5631">
        <v>7469.82</v>
      </c>
    </row>
    <row r="5632" spans="1:8" x14ac:dyDescent="0.35">
      <c r="A5632" t="s">
        <v>7</v>
      </c>
      <c r="B5632" t="s">
        <v>12</v>
      </c>
      <c r="C5632" t="s">
        <v>9</v>
      </c>
      <c r="D5632">
        <v>61</v>
      </c>
      <c r="E5632">
        <v>5</v>
      </c>
      <c r="F5632">
        <v>8.1999999999999993</v>
      </c>
      <c r="G5632">
        <v>30.4</v>
      </c>
      <c r="H5632">
        <v>1854.4</v>
      </c>
    </row>
    <row r="5633" spans="1:8" x14ac:dyDescent="0.35">
      <c r="A5633" t="s">
        <v>7</v>
      </c>
      <c r="B5633" t="s">
        <v>12</v>
      </c>
      <c r="C5633" t="s">
        <v>10</v>
      </c>
      <c r="D5633">
        <v>245</v>
      </c>
      <c r="E5633">
        <v>15</v>
      </c>
      <c r="F5633">
        <v>6.12</v>
      </c>
      <c r="G5633">
        <v>5.5</v>
      </c>
      <c r="H5633">
        <v>1347.5</v>
      </c>
    </row>
    <row r="5634" spans="1:8" x14ac:dyDescent="0.35">
      <c r="A5634" t="s">
        <v>6</v>
      </c>
      <c r="B5634" t="s">
        <v>12</v>
      </c>
      <c r="C5634" t="s">
        <v>9</v>
      </c>
      <c r="D5634">
        <v>245</v>
      </c>
      <c r="E5634">
        <v>3</v>
      </c>
      <c r="F5634">
        <v>1.22</v>
      </c>
      <c r="G5634">
        <v>50.8</v>
      </c>
      <c r="H5634">
        <v>12446</v>
      </c>
    </row>
    <row r="5635" spans="1:8" x14ac:dyDescent="0.35">
      <c r="A5635" t="s">
        <v>6</v>
      </c>
      <c r="B5635" t="s">
        <v>12</v>
      </c>
      <c r="C5635" t="s">
        <v>11</v>
      </c>
      <c r="D5635">
        <v>52</v>
      </c>
      <c r="E5635">
        <v>3</v>
      </c>
      <c r="F5635">
        <v>5.77</v>
      </c>
      <c r="G5635">
        <v>41.76</v>
      </c>
      <c r="H5635">
        <v>2171.52</v>
      </c>
    </row>
    <row r="5636" spans="1:8" x14ac:dyDescent="0.35">
      <c r="A5636" t="s">
        <v>7</v>
      </c>
      <c r="B5636" t="s">
        <v>12</v>
      </c>
      <c r="C5636" t="s">
        <v>9</v>
      </c>
      <c r="D5636">
        <v>185</v>
      </c>
      <c r="E5636">
        <v>7</v>
      </c>
      <c r="F5636">
        <v>3.78</v>
      </c>
      <c r="G5636">
        <v>7.45</v>
      </c>
      <c r="H5636">
        <v>1378.25</v>
      </c>
    </row>
    <row r="5637" spans="1:8" x14ac:dyDescent="0.35">
      <c r="A5637" t="s">
        <v>7</v>
      </c>
      <c r="B5637" t="s">
        <v>12</v>
      </c>
      <c r="C5637" t="s">
        <v>9</v>
      </c>
      <c r="D5637">
        <v>163</v>
      </c>
      <c r="E5637">
        <v>4</v>
      </c>
      <c r="F5637">
        <v>2.4500000000000002</v>
      </c>
      <c r="G5637">
        <v>56.91</v>
      </c>
      <c r="H5637">
        <v>9276.33</v>
      </c>
    </row>
    <row r="5638" spans="1:8" x14ac:dyDescent="0.35">
      <c r="A5638" t="s">
        <v>7</v>
      </c>
      <c r="B5638" t="s">
        <v>12</v>
      </c>
      <c r="C5638" t="s">
        <v>10</v>
      </c>
      <c r="D5638">
        <v>146</v>
      </c>
      <c r="E5638">
        <v>13</v>
      </c>
      <c r="F5638">
        <v>8.9</v>
      </c>
      <c r="G5638">
        <v>24.17</v>
      </c>
      <c r="H5638">
        <v>3528.82</v>
      </c>
    </row>
    <row r="5639" spans="1:8" x14ac:dyDescent="0.35">
      <c r="A5639" t="s">
        <v>5</v>
      </c>
      <c r="B5639" t="s">
        <v>12</v>
      </c>
      <c r="C5639" t="s">
        <v>9</v>
      </c>
      <c r="D5639">
        <v>53</v>
      </c>
      <c r="E5639">
        <v>0</v>
      </c>
      <c r="F5639">
        <v>0</v>
      </c>
      <c r="G5639">
        <v>50.58</v>
      </c>
      <c r="H5639">
        <v>2680.74</v>
      </c>
    </row>
    <row r="5640" spans="1:8" x14ac:dyDescent="0.35">
      <c r="A5640" t="s">
        <v>6</v>
      </c>
      <c r="B5640" t="s">
        <v>12</v>
      </c>
      <c r="C5640" t="s">
        <v>9</v>
      </c>
      <c r="D5640">
        <v>120</v>
      </c>
      <c r="E5640">
        <v>12</v>
      </c>
      <c r="F5640">
        <v>10</v>
      </c>
      <c r="G5640">
        <v>15.02</v>
      </c>
      <c r="H5640">
        <v>1802.4</v>
      </c>
    </row>
    <row r="5641" spans="1:8" x14ac:dyDescent="0.35">
      <c r="A5641" t="s">
        <v>5</v>
      </c>
      <c r="B5641" t="s">
        <v>12</v>
      </c>
      <c r="C5641" t="s">
        <v>9</v>
      </c>
      <c r="D5641">
        <v>296</v>
      </c>
      <c r="E5641">
        <v>7</v>
      </c>
      <c r="F5641">
        <v>2.36</v>
      </c>
      <c r="G5641">
        <v>13.55</v>
      </c>
      <c r="H5641">
        <v>4010.8</v>
      </c>
    </row>
    <row r="5642" spans="1:8" x14ac:dyDescent="0.35">
      <c r="A5642" t="s">
        <v>6</v>
      </c>
      <c r="B5642" t="s">
        <v>12</v>
      </c>
      <c r="C5642" t="s">
        <v>11</v>
      </c>
      <c r="D5642">
        <v>173</v>
      </c>
      <c r="E5642">
        <v>1</v>
      </c>
      <c r="F5642">
        <v>0.57999999999999996</v>
      </c>
      <c r="G5642">
        <v>28.04</v>
      </c>
      <c r="H5642">
        <v>4850.92</v>
      </c>
    </row>
    <row r="5643" spans="1:8" x14ac:dyDescent="0.35">
      <c r="A5643" t="s">
        <v>8</v>
      </c>
      <c r="B5643" t="s">
        <v>12</v>
      </c>
      <c r="C5643" t="s">
        <v>9</v>
      </c>
      <c r="D5643">
        <v>275</v>
      </c>
      <c r="E5643">
        <v>13</v>
      </c>
      <c r="F5643">
        <v>4.7300000000000004</v>
      </c>
      <c r="G5643">
        <v>59.02</v>
      </c>
      <c r="H5643">
        <v>16230.5</v>
      </c>
    </row>
    <row r="5644" spans="1:8" x14ac:dyDescent="0.35">
      <c r="A5644" t="s">
        <v>6</v>
      </c>
      <c r="B5644" t="s">
        <v>12</v>
      </c>
      <c r="C5644" t="s">
        <v>11</v>
      </c>
      <c r="D5644">
        <v>217</v>
      </c>
      <c r="E5644">
        <v>20</v>
      </c>
      <c r="F5644">
        <v>9.2200000000000006</v>
      </c>
      <c r="G5644">
        <v>21.06</v>
      </c>
      <c r="H5644">
        <v>4570.0200000000004</v>
      </c>
    </row>
    <row r="5645" spans="1:8" x14ac:dyDescent="0.35">
      <c r="A5645" t="s">
        <v>8</v>
      </c>
      <c r="B5645" t="s">
        <v>12</v>
      </c>
      <c r="C5645" t="s">
        <v>9</v>
      </c>
      <c r="D5645">
        <v>130</v>
      </c>
      <c r="E5645">
        <v>1</v>
      </c>
      <c r="F5645">
        <v>0.77</v>
      </c>
      <c r="G5645">
        <v>63.3</v>
      </c>
      <c r="H5645">
        <v>8229</v>
      </c>
    </row>
    <row r="5646" spans="1:8" x14ac:dyDescent="0.35">
      <c r="A5646" t="s">
        <v>6</v>
      </c>
      <c r="B5646" t="s">
        <v>12</v>
      </c>
      <c r="C5646" t="s">
        <v>9</v>
      </c>
      <c r="D5646">
        <v>92</v>
      </c>
      <c r="E5646">
        <v>9</v>
      </c>
      <c r="F5646">
        <v>9.7799999999999994</v>
      </c>
      <c r="G5646">
        <v>22.88</v>
      </c>
      <c r="H5646">
        <v>2104.96</v>
      </c>
    </row>
    <row r="5647" spans="1:8" x14ac:dyDescent="0.35">
      <c r="A5647" t="s">
        <v>7</v>
      </c>
      <c r="B5647" t="s">
        <v>12</v>
      </c>
      <c r="C5647" t="s">
        <v>10</v>
      </c>
      <c r="D5647">
        <v>262</v>
      </c>
      <c r="E5647">
        <v>7</v>
      </c>
      <c r="F5647">
        <v>2.67</v>
      </c>
      <c r="G5647">
        <v>17.23</v>
      </c>
      <c r="H5647">
        <v>4514.26</v>
      </c>
    </row>
    <row r="5648" spans="1:8" x14ac:dyDescent="0.35">
      <c r="A5648" t="s">
        <v>6</v>
      </c>
      <c r="B5648" t="s">
        <v>12</v>
      </c>
      <c r="C5648" t="s">
        <v>11</v>
      </c>
      <c r="D5648">
        <v>148</v>
      </c>
      <c r="E5648">
        <v>6</v>
      </c>
      <c r="F5648">
        <v>4.05</v>
      </c>
      <c r="G5648">
        <v>51.22</v>
      </c>
      <c r="H5648">
        <v>7580.56</v>
      </c>
    </row>
    <row r="5649" spans="1:8" x14ac:dyDescent="0.35">
      <c r="A5649" t="s">
        <v>8</v>
      </c>
      <c r="B5649" t="s">
        <v>12</v>
      </c>
      <c r="C5649" t="s">
        <v>9</v>
      </c>
      <c r="D5649">
        <v>256</v>
      </c>
      <c r="E5649">
        <v>20</v>
      </c>
      <c r="F5649">
        <v>7.81</v>
      </c>
      <c r="G5649">
        <v>49.78</v>
      </c>
      <c r="H5649">
        <v>12743.68</v>
      </c>
    </row>
    <row r="5650" spans="1:8" x14ac:dyDescent="0.35">
      <c r="A5650" t="s">
        <v>7</v>
      </c>
      <c r="B5650" t="s">
        <v>12</v>
      </c>
      <c r="C5650" t="s">
        <v>9</v>
      </c>
      <c r="D5650">
        <v>279</v>
      </c>
      <c r="E5650">
        <v>12</v>
      </c>
      <c r="F5650">
        <v>4.3</v>
      </c>
      <c r="G5650">
        <v>29.16</v>
      </c>
      <c r="H5650">
        <v>8135.64</v>
      </c>
    </row>
    <row r="5651" spans="1:8" x14ac:dyDescent="0.35">
      <c r="A5651" t="s">
        <v>6</v>
      </c>
      <c r="B5651" t="s">
        <v>12</v>
      </c>
      <c r="C5651" t="s">
        <v>9</v>
      </c>
      <c r="D5651">
        <v>97</v>
      </c>
      <c r="E5651">
        <v>0</v>
      </c>
      <c r="F5651">
        <v>0</v>
      </c>
      <c r="G5651">
        <v>39.53</v>
      </c>
      <c r="H5651">
        <v>3834.41</v>
      </c>
    </row>
    <row r="5652" spans="1:8" x14ac:dyDescent="0.35">
      <c r="A5652" t="s">
        <v>8</v>
      </c>
      <c r="B5652" t="s">
        <v>12</v>
      </c>
      <c r="C5652" t="s">
        <v>9</v>
      </c>
      <c r="D5652">
        <v>282</v>
      </c>
      <c r="E5652">
        <v>18</v>
      </c>
      <c r="F5652">
        <v>6.38</v>
      </c>
      <c r="G5652">
        <v>45.57</v>
      </c>
      <c r="H5652">
        <v>12850.74</v>
      </c>
    </row>
    <row r="5653" spans="1:8" x14ac:dyDescent="0.35">
      <c r="A5653" t="s">
        <v>5</v>
      </c>
      <c r="B5653" t="s">
        <v>12</v>
      </c>
      <c r="C5653" t="s">
        <v>9</v>
      </c>
      <c r="D5653">
        <v>59</v>
      </c>
      <c r="E5653">
        <v>0</v>
      </c>
      <c r="F5653">
        <v>0</v>
      </c>
      <c r="G5653">
        <v>21</v>
      </c>
      <c r="H5653">
        <v>1239</v>
      </c>
    </row>
    <row r="5654" spans="1:8" x14ac:dyDescent="0.35">
      <c r="A5654" t="s">
        <v>8</v>
      </c>
      <c r="B5654" t="s">
        <v>12</v>
      </c>
      <c r="C5654" t="s">
        <v>9</v>
      </c>
      <c r="D5654">
        <v>74</v>
      </c>
      <c r="E5654">
        <v>3</v>
      </c>
      <c r="F5654">
        <v>4.05</v>
      </c>
      <c r="G5654">
        <v>11.64</v>
      </c>
      <c r="H5654">
        <v>861.36</v>
      </c>
    </row>
    <row r="5655" spans="1:8" x14ac:dyDescent="0.35">
      <c r="A5655" t="s">
        <v>7</v>
      </c>
      <c r="B5655" t="s">
        <v>12</v>
      </c>
      <c r="C5655" t="s">
        <v>9</v>
      </c>
      <c r="D5655">
        <v>258</v>
      </c>
      <c r="E5655">
        <v>6</v>
      </c>
      <c r="F5655">
        <v>2.33</v>
      </c>
      <c r="G5655">
        <v>13.19</v>
      </c>
      <c r="H5655">
        <v>3403.02</v>
      </c>
    </row>
    <row r="5656" spans="1:8" x14ac:dyDescent="0.35">
      <c r="A5656" t="s">
        <v>8</v>
      </c>
      <c r="B5656" t="s">
        <v>12</v>
      </c>
      <c r="C5656" t="s">
        <v>9</v>
      </c>
      <c r="D5656">
        <v>135</v>
      </c>
      <c r="E5656">
        <v>5</v>
      </c>
      <c r="F5656">
        <v>3.7</v>
      </c>
      <c r="G5656">
        <v>11.32</v>
      </c>
      <c r="H5656">
        <v>1528.2</v>
      </c>
    </row>
    <row r="5657" spans="1:8" x14ac:dyDescent="0.35">
      <c r="A5657" t="s">
        <v>6</v>
      </c>
      <c r="B5657" t="s">
        <v>12</v>
      </c>
      <c r="C5657" t="s">
        <v>9</v>
      </c>
      <c r="D5657">
        <v>230</v>
      </c>
      <c r="E5657">
        <v>8</v>
      </c>
      <c r="F5657">
        <v>3.48</v>
      </c>
      <c r="G5657">
        <v>19.88</v>
      </c>
      <c r="H5657">
        <v>4572.3999999999996</v>
      </c>
    </row>
    <row r="5658" spans="1:8" x14ac:dyDescent="0.35">
      <c r="A5658" t="s">
        <v>7</v>
      </c>
      <c r="B5658" t="s">
        <v>12</v>
      </c>
      <c r="C5658" t="s">
        <v>9</v>
      </c>
      <c r="D5658">
        <v>134</v>
      </c>
      <c r="E5658">
        <v>0</v>
      </c>
      <c r="F5658">
        <v>0</v>
      </c>
      <c r="G5658">
        <v>11.43</v>
      </c>
      <c r="H5658">
        <v>1531.62</v>
      </c>
    </row>
    <row r="5659" spans="1:8" x14ac:dyDescent="0.35">
      <c r="A5659" t="s">
        <v>5</v>
      </c>
      <c r="B5659" t="s">
        <v>12</v>
      </c>
      <c r="C5659" t="s">
        <v>9</v>
      </c>
      <c r="D5659">
        <v>268</v>
      </c>
      <c r="E5659">
        <v>26</v>
      </c>
      <c r="F5659">
        <v>9.6999999999999993</v>
      </c>
      <c r="G5659">
        <v>39.97</v>
      </c>
      <c r="H5659">
        <v>10711.96</v>
      </c>
    </row>
    <row r="5660" spans="1:8" x14ac:dyDescent="0.35">
      <c r="A5660" t="s">
        <v>6</v>
      </c>
      <c r="B5660" t="s">
        <v>12</v>
      </c>
      <c r="C5660" t="s">
        <v>9</v>
      </c>
      <c r="D5660">
        <v>123</v>
      </c>
      <c r="E5660">
        <v>1</v>
      </c>
      <c r="F5660">
        <v>0.81</v>
      </c>
      <c r="G5660">
        <v>19.16</v>
      </c>
      <c r="H5660">
        <v>2356.6799999999998</v>
      </c>
    </row>
    <row r="5661" spans="1:8" x14ac:dyDescent="0.35">
      <c r="A5661" t="s">
        <v>6</v>
      </c>
      <c r="B5661" t="s">
        <v>12</v>
      </c>
      <c r="C5661" t="s">
        <v>11</v>
      </c>
      <c r="D5661">
        <v>251</v>
      </c>
      <c r="E5661">
        <v>15</v>
      </c>
      <c r="F5661">
        <v>5.98</v>
      </c>
      <c r="G5661">
        <v>36.15</v>
      </c>
      <c r="H5661">
        <v>9073.65</v>
      </c>
    </row>
    <row r="5662" spans="1:8" x14ac:dyDescent="0.35">
      <c r="A5662" t="s">
        <v>7</v>
      </c>
      <c r="B5662" t="s">
        <v>12</v>
      </c>
      <c r="C5662" t="s">
        <v>9</v>
      </c>
      <c r="D5662">
        <v>157</v>
      </c>
      <c r="E5662">
        <v>4</v>
      </c>
      <c r="F5662">
        <v>2.5499999999999998</v>
      </c>
      <c r="G5662">
        <v>56.25</v>
      </c>
      <c r="H5662">
        <v>8831.25</v>
      </c>
    </row>
    <row r="5663" spans="1:8" x14ac:dyDescent="0.35">
      <c r="A5663" t="s">
        <v>6</v>
      </c>
      <c r="B5663" t="s">
        <v>12</v>
      </c>
      <c r="C5663" t="s">
        <v>9</v>
      </c>
      <c r="D5663">
        <v>276</v>
      </c>
      <c r="E5663">
        <v>12</v>
      </c>
      <c r="F5663">
        <v>4.3499999999999996</v>
      </c>
      <c r="G5663">
        <v>14.42</v>
      </c>
      <c r="H5663">
        <v>3979.92</v>
      </c>
    </row>
    <row r="5664" spans="1:8" x14ac:dyDescent="0.35">
      <c r="A5664" t="s">
        <v>6</v>
      </c>
      <c r="B5664" t="s">
        <v>12</v>
      </c>
      <c r="C5664" t="s">
        <v>9</v>
      </c>
      <c r="D5664">
        <v>168</v>
      </c>
      <c r="E5664">
        <v>3</v>
      </c>
      <c r="F5664">
        <v>1.79</v>
      </c>
      <c r="G5664">
        <v>14.56</v>
      </c>
      <c r="H5664">
        <v>2446.08</v>
      </c>
    </row>
    <row r="5665" spans="1:8" x14ac:dyDescent="0.35">
      <c r="A5665" t="s">
        <v>6</v>
      </c>
      <c r="B5665" t="s">
        <v>12</v>
      </c>
      <c r="C5665" t="s">
        <v>11</v>
      </c>
      <c r="D5665">
        <v>74</v>
      </c>
      <c r="E5665">
        <v>5</v>
      </c>
      <c r="F5665">
        <v>6.76</v>
      </c>
      <c r="G5665">
        <v>25.69</v>
      </c>
      <c r="H5665">
        <v>1901.06</v>
      </c>
    </row>
    <row r="5666" spans="1:8" x14ac:dyDescent="0.35">
      <c r="A5666" t="s">
        <v>8</v>
      </c>
      <c r="B5666" t="s">
        <v>12</v>
      </c>
      <c r="C5666" t="s">
        <v>9</v>
      </c>
      <c r="D5666">
        <v>227</v>
      </c>
      <c r="E5666">
        <v>7</v>
      </c>
      <c r="F5666">
        <v>3.08</v>
      </c>
      <c r="G5666">
        <v>5.7</v>
      </c>
      <c r="H5666">
        <v>1293.9000000000001</v>
      </c>
    </row>
    <row r="5667" spans="1:8" x14ac:dyDescent="0.35">
      <c r="A5667" t="s">
        <v>7</v>
      </c>
      <c r="B5667" t="s">
        <v>12</v>
      </c>
      <c r="C5667" t="s">
        <v>10</v>
      </c>
      <c r="D5667">
        <v>252</v>
      </c>
      <c r="E5667">
        <v>12</v>
      </c>
      <c r="F5667">
        <v>4.76</v>
      </c>
      <c r="G5667">
        <v>8.4</v>
      </c>
      <c r="H5667">
        <v>2116.8000000000002</v>
      </c>
    </row>
    <row r="5668" spans="1:8" x14ac:dyDescent="0.35">
      <c r="A5668" t="s">
        <v>8</v>
      </c>
      <c r="B5668" t="s">
        <v>12</v>
      </c>
      <c r="C5668" t="s">
        <v>9</v>
      </c>
      <c r="D5668">
        <v>264</v>
      </c>
      <c r="E5668">
        <v>5</v>
      </c>
      <c r="F5668">
        <v>1.89</v>
      </c>
      <c r="G5668">
        <v>9.3800000000000008</v>
      </c>
      <c r="H5668">
        <v>2476.3200000000002</v>
      </c>
    </row>
    <row r="5669" spans="1:8" x14ac:dyDescent="0.35">
      <c r="A5669" t="s">
        <v>7</v>
      </c>
      <c r="B5669" t="s">
        <v>12</v>
      </c>
      <c r="C5669" t="s">
        <v>10</v>
      </c>
      <c r="D5669">
        <v>71</v>
      </c>
      <c r="E5669">
        <v>6</v>
      </c>
      <c r="F5669">
        <v>8.4499999999999993</v>
      </c>
      <c r="G5669">
        <v>56.85</v>
      </c>
      <c r="H5669">
        <v>4036.35</v>
      </c>
    </row>
    <row r="5670" spans="1:8" x14ac:dyDescent="0.35">
      <c r="A5670" t="s">
        <v>7</v>
      </c>
      <c r="B5670" t="s">
        <v>12</v>
      </c>
      <c r="C5670" t="s">
        <v>9</v>
      </c>
      <c r="D5670">
        <v>250</v>
      </c>
      <c r="E5670">
        <v>19</v>
      </c>
      <c r="F5670">
        <v>7.6</v>
      </c>
      <c r="G5670">
        <v>47.7</v>
      </c>
      <c r="H5670">
        <v>11925</v>
      </c>
    </row>
    <row r="5671" spans="1:8" x14ac:dyDescent="0.35">
      <c r="A5671" t="s">
        <v>8</v>
      </c>
      <c r="B5671" t="s">
        <v>12</v>
      </c>
      <c r="C5671" t="s">
        <v>9</v>
      </c>
      <c r="D5671">
        <v>220</v>
      </c>
      <c r="E5671">
        <v>9</v>
      </c>
      <c r="F5671">
        <v>4.09</v>
      </c>
      <c r="G5671">
        <v>13.19</v>
      </c>
      <c r="H5671">
        <v>2901.8</v>
      </c>
    </row>
    <row r="5672" spans="1:8" x14ac:dyDescent="0.35">
      <c r="A5672" t="s">
        <v>6</v>
      </c>
      <c r="B5672" t="s">
        <v>12</v>
      </c>
      <c r="C5672" t="s">
        <v>11</v>
      </c>
      <c r="D5672">
        <v>114</v>
      </c>
      <c r="E5672">
        <v>6</v>
      </c>
      <c r="F5672">
        <v>5.26</v>
      </c>
      <c r="G5672">
        <v>5.9</v>
      </c>
      <c r="H5672">
        <v>672.6</v>
      </c>
    </row>
    <row r="5673" spans="1:8" x14ac:dyDescent="0.35">
      <c r="A5673" t="s">
        <v>6</v>
      </c>
      <c r="B5673" t="s">
        <v>12</v>
      </c>
      <c r="C5673" t="s">
        <v>11</v>
      </c>
      <c r="D5673">
        <v>212</v>
      </c>
      <c r="E5673">
        <v>15</v>
      </c>
      <c r="F5673">
        <v>7.08</v>
      </c>
      <c r="G5673">
        <v>51</v>
      </c>
      <c r="H5673">
        <v>10812</v>
      </c>
    </row>
    <row r="5674" spans="1:8" x14ac:dyDescent="0.35">
      <c r="A5674" t="s">
        <v>7</v>
      </c>
      <c r="B5674" t="s">
        <v>12</v>
      </c>
      <c r="C5674" t="s">
        <v>9</v>
      </c>
      <c r="D5674">
        <v>290</v>
      </c>
      <c r="E5674">
        <v>11</v>
      </c>
      <c r="F5674">
        <v>3.79</v>
      </c>
      <c r="G5674">
        <v>61.2</v>
      </c>
      <c r="H5674">
        <v>17748</v>
      </c>
    </row>
    <row r="5675" spans="1:8" x14ac:dyDescent="0.35">
      <c r="A5675" t="s">
        <v>6</v>
      </c>
      <c r="B5675" t="s">
        <v>12</v>
      </c>
      <c r="C5675" t="s">
        <v>9</v>
      </c>
      <c r="D5675">
        <v>165</v>
      </c>
      <c r="E5675">
        <v>3</v>
      </c>
      <c r="F5675">
        <v>1.82</v>
      </c>
      <c r="G5675">
        <v>17.87</v>
      </c>
      <c r="H5675">
        <v>2948.55</v>
      </c>
    </row>
    <row r="5676" spans="1:8" x14ac:dyDescent="0.35">
      <c r="A5676" t="s">
        <v>6</v>
      </c>
      <c r="B5676" t="s">
        <v>12</v>
      </c>
      <c r="C5676" t="s">
        <v>11</v>
      </c>
      <c r="D5676">
        <v>127</v>
      </c>
      <c r="E5676">
        <v>7</v>
      </c>
      <c r="F5676">
        <v>5.51</v>
      </c>
      <c r="G5676">
        <v>32.979999999999997</v>
      </c>
      <c r="H5676">
        <v>4188.46</v>
      </c>
    </row>
    <row r="5677" spans="1:8" x14ac:dyDescent="0.35">
      <c r="A5677" t="s">
        <v>8</v>
      </c>
      <c r="B5677" t="s">
        <v>12</v>
      </c>
      <c r="C5677" t="s">
        <v>9</v>
      </c>
      <c r="D5677">
        <v>251</v>
      </c>
      <c r="E5677">
        <v>16</v>
      </c>
      <c r="F5677">
        <v>6.37</v>
      </c>
      <c r="G5677">
        <v>10.26</v>
      </c>
      <c r="H5677">
        <v>2575.2600000000002</v>
      </c>
    </row>
    <row r="5678" spans="1:8" x14ac:dyDescent="0.35">
      <c r="A5678" t="s">
        <v>6</v>
      </c>
      <c r="B5678" t="s">
        <v>12</v>
      </c>
      <c r="C5678" t="s">
        <v>9</v>
      </c>
      <c r="D5678">
        <v>167</v>
      </c>
      <c r="E5678">
        <v>13</v>
      </c>
      <c r="F5678">
        <v>7.78</v>
      </c>
      <c r="G5678">
        <v>38.869999999999997</v>
      </c>
      <c r="H5678">
        <v>6491.29</v>
      </c>
    </row>
    <row r="5679" spans="1:8" x14ac:dyDescent="0.35">
      <c r="A5679" t="s">
        <v>7</v>
      </c>
      <c r="B5679" t="s">
        <v>12</v>
      </c>
      <c r="C5679" t="s">
        <v>9</v>
      </c>
      <c r="D5679">
        <v>226</v>
      </c>
      <c r="E5679">
        <v>14</v>
      </c>
      <c r="F5679">
        <v>6.19</v>
      </c>
      <c r="G5679">
        <v>20.7</v>
      </c>
      <c r="H5679">
        <v>4678.2</v>
      </c>
    </row>
    <row r="5680" spans="1:8" x14ac:dyDescent="0.35">
      <c r="A5680" t="s">
        <v>7</v>
      </c>
      <c r="B5680" t="s">
        <v>12</v>
      </c>
      <c r="C5680" t="s">
        <v>10</v>
      </c>
      <c r="D5680">
        <v>203</v>
      </c>
      <c r="E5680">
        <v>18</v>
      </c>
      <c r="F5680">
        <v>8.8699999999999992</v>
      </c>
      <c r="G5680">
        <v>23.11</v>
      </c>
      <c r="H5680">
        <v>4691.33</v>
      </c>
    </row>
    <row r="5681" spans="1:8" x14ac:dyDescent="0.35">
      <c r="A5681" t="s">
        <v>5</v>
      </c>
      <c r="B5681" t="s">
        <v>12</v>
      </c>
      <c r="C5681" t="s">
        <v>9</v>
      </c>
      <c r="D5681">
        <v>204</v>
      </c>
      <c r="E5681">
        <v>13</v>
      </c>
      <c r="F5681">
        <v>6.37</v>
      </c>
      <c r="G5681">
        <v>6.63</v>
      </c>
      <c r="H5681">
        <v>1352.52</v>
      </c>
    </row>
    <row r="5682" spans="1:8" x14ac:dyDescent="0.35">
      <c r="A5682" t="s">
        <v>7</v>
      </c>
      <c r="B5682" t="s">
        <v>12</v>
      </c>
      <c r="C5682" t="s">
        <v>9</v>
      </c>
      <c r="D5682">
        <v>101</v>
      </c>
      <c r="E5682">
        <v>9</v>
      </c>
      <c r="F5682">
        <v>8.91</v>
      </c>
      <c r="G5682">
        <v>56.54</v>
      </c>
      <c r="H5682">
        <v>5710.54</v>
      </c>
    </row>
    <row r="5683" spans="1:8" x14ac:dyDescent="0.35">
      <c r="A5683" t="s">
        <v>5</v>
      </c>
      <c r="B5683" t="s">
        <v>12</v>
      </c>
      <c r="C5683" t="s">
        <v>9</v>
      </c>
      <c r="D5683">
        <v>298</v>
      </c>
      <c r="E5683">
        <v>22</v>
      </c>
      <c r="F5683">
        <v>7.38</v>
      </c>
      <c r="G5683">
        <v>40.47</v>
      </c>
      <c r="H5683">
        <v>12060.06</v>
      </c>
    </row>
    <row r="5684" spans="1:8" x14ac:dyDescent="0.35">
      <c r="A5684" t="s">
        <v>8</v>
      </c>
      <c r="B5684" t="s">
        <v>12</v>
      </c>
      <c r="C5684" t="s">
        <v>9</v>
      </c>
      <c r="D5684">
        <v>145</v>
      </c>
      <c r="E5684">
        <v>12</v>
      </c>
      <c r="F5684">
        <v>8.2799999999999994</v>
      </c>
      <c r="G5684">
        <v>55.48</v>
      </c>
      <c r="H5684">
        <v>8044.6</v>
      </c>
    </row>
    <row r="5685" spans="1:8" x14ac:dyDescent="0.35">
      <c r="A5685" t="s">
        <v>6</v>
      </c>
      <c r="B5685" t="s">
        <v>12</v>
      </c>
      <c r="C5685" t="s">
        <v>9</v>
      </c>
      <c r="D5685">
        <v>146</v>
      </c>
      <c r="E5685">
        <v>1</v>
      </c>
      <c r="F5685">
        <v>0.68</v>
      </c>
      <c r="G5685">
        <v>49.53</v>
      </c>
      <c r="H5685">
        <v>7231.38</v>
      </c>
    </row>
    <row r="5686" spans="1:8" x14ac:dyDescent="0.35">
      <c r="A5686" t="s">
        <v>7</v>
      </c>
      <c r="B5686" t="s">
        <v>12</v>
      </c>
      <c r="C5686" t="s">
        <v>9</v>
      </c>
      <c r="D5686">
        <v>211</v>
      </c>
      <c r="E5686">
        <v>4</v>
      </c>
      <c r="F5686">
        <v>1.9</v>
      </c>
      <c r="G5686">
        <v>36.020000000000003</v>
      </c>
      <c r="H5686">
        <v>7600.22</v>
      </c>
    </row>
    <row r="5687" spans="1:8" x14ac:dyDescent="0.35">
      <c r="A5687" t="s">
        <v>7</v>
      </c>
      <c r="B5687" t="s">
        <v>12</v>
      </c>
      <c r="C5687" t="s">
        <v>9</v>
      </c>
      <c r="D5687">
        <v>105</v>
      </c>
      <c r="E5687">
        <v>0</v>
      </c>
      <c r="F5687">
        <v>0</v>
      </c>
      <c r="G5687">
        <v>29.07</v>
      </c>
      <c r="H5687">
        <v>3052.35</v>
      </c>
    </row>
    <row r="5688" spans="1:8" x14ac:dyDescent="0.35">
      <c r="A5688" t="s">
        <v>7</v>
      </c>
      <c r="B5688" t="s">
        <v>12</v>
      </c>
      <c r="C5688" t="s">
        <v>9</v>
      </c>
      <c r="D5688">
        <v>225</v>
      </c>
      <c r="E5688">
        <v>4</v>
      </c>
      <c r="F5688">
        <v>1.78</v>
      </c>
      <c r="G5688">
        <v>7.42</v>
      </c>
      <c r="H5688">
        <v>1669.5</v>
      </c>
    </row>
    <row r="5689" spans="1:8" x14ac:dyDescent="0.35">
      <c r="A5689" t="s">
        <v>6</v>
      </c>
      <c r="B5689" t="s">
        <v>12</v>
      </c>
      <c r="C5689" t="s">
        <v>9</v>
      </c>
      <c r="D5689">
        <v>281</v>
      </c>
      <c r="E5689">
        <v>16</v>
      </c>
      <c r="F5689">
        <v>5.69</v>
      </c>
      <c r="G5689">
        <v>18.53</v>
      </c>
      <c r="H5689">
        <v>5206.93</v>
      </c>
    </row>
    <row r="5690" spans="1:8" x14ac:dyDescent="0.35">
      <c r="A5690" t="s">
        <v>7</v>
      </c>
      <c r="B5690" t="s">
        <v>12</v>
      </c>
      <c r="C5690" t="s">
        <v>10</v>
      </c>
      <c r="D5690">
        <v>289</v>
      </c>
      <c r="E5690">
        <v>17</v>
      </c>
      <c r="F5690">
        <v>5.88</v>
      </c>
      <c r="G5690">
        <v>40.68</v>
      </c>
      <c r="H5690">
        <v>11756.52</v>
      </c>
    </row>
    <row r="5691" spans="1:8" x14ac:dyDescent="0.35">
      <c r="A5691" t="s">
        <v>7</v>
      </c>
      <c r="B5691" t="s">
        <v>12</v>
      </c>
      <c r="C5691" t="s">
        <v>10</v>
      </c>
      <c r="D5691">
        <v>94</v>
      </c>
      <c r="E5691">
        <v>2</v>
      </c>
      <c r="F5691">
        <v>2.13</v>
      </c>
      <c r="G5691">
        <v>11.16</v>
      </c>
      <c r="H5691">
        <v>1049.04</v>
      </c>
    </row>
    <row r="5692" spans="1:8" x14ac:dyDescent="0.35">
      <c r="A5692" t="s">
        <v>5</v>
      </c>
      <c r="B5692" t="s">
        <v>12</v>
      </c>
      <c r="C5692" t="s">
        <v>9</v>
      </c>
      <c r="D5692">
        <v>211</v>
      </c>
      <c r="E5692">
        <v>17</v>
      </c>
      <c r="F5692">
        <v>8.06</v>
      </c>
      <c r="G5692">
        <v>64.63</v>
      </c>
      <c r="H5692">
        <v>13636.93</v>
      </c>
    </row>
    <row r="5693" spans="1:8" x14ac:dyDescent="0.35">
      <c r="A5693" t="s">
        <v>5</v>
      </c>
      <c r="B5693" t="s">
        <v>12</v>
      </c>
      <c r="C5693" t="s">
        <v>9</v>
      </c>
      <c r="D5693">
        <v>230</v>
      </c>
      <c r="E5693">
        <v>4</v>
      </c>
      <c r="F5693">
        <v>1.74</v>
      </c>
      <c r="G5693">
        <v>64.239999999999995</v>
      </c>
      <c r="H5693">
        <v>14775.2</v>
      </c>
    </row>
    <row r="5694" spans="1:8" x14ac:dyDescent="0.35">
      <c r="A5694" t="s">
        <v>5</v>
      </c>
      <c r="B5694" t="s">
        <v>12</v>
      </c>
      <c r="C5694" t="s">
        <v>9</v>
      </c>
      <c r="D5694">
        <v>84</v>
      </c>
      <c r="E5694">
        <v>6</v>
      </c>
      <c r="F5694">
        <v>7.14</v>
      </c>
      <c r="G5694">
        <v>43.77</v>
      </c>
      <c r="H5694">
        <v>3676.68</v>
      </c>
    </row>
    <row r="5695" spans="1:8" x14ac:dyDescent="0.35">
      <c r="A5695" t="s">
        <v>8</v>
      </c>
      <c r="B5695" t="s">
        <v>12</v>
      </c>
      <c r="C5695" t="s">
        <v>9</v>
      </c>
      <c r="D5695">
        <v>262</v>
      </c>
      <c r="E5695">
        <v>17</v>
      </c>
      <c r="F5695">
        <v>6.49</v>
      </c>
      <c r="G5695">
        <v>67.489999999999995</v>
      </c>
      <c r="H5695">
        <v>17682.38</v>
      </c>
    </row>
    <row r="5696" spans="1:8" x14ac:dyDescent="0.35">
      <c r="A5696" t="s">
        <v>8</v>
      </c>
      <c r="B5696" t="s">
        <v>12</v>
      </c>
      <c r="C5696" t="s">
        <v>9</v>
      </c>
      <c r="D5696">
        <v>145</v>
      </c>
      <c r="E5696">
        <v>5</v>
      </c>
      <c r="F5696">
        <v>3.45</v>
      </c>
      <c r="G5696">
        <v>11.54</v>
      </c>
      <c r="H5696">
        <v>1673.3</v>
      </c>
    </row>
    <row r="5697" spans="1:8" x14ac:dyDescent="0.35">
      <c r="A5697" t="s">
        <v>7</v>
      </c>
      <c r="B5697" t="s">
        <v>12</v>
      </c>
      <c r="C5697" t="s">
        <v>9</v>
      </c>
      <c r="D5697">
        <v>265</v>
      </c>
      <c r="E5697">
        <v>0</v>
      </c>
      <c r="F5697">
        <v>0</v>
      </c>
      <c r="G5697">
        <v>23.91</v>
      </c>
      <c r="H5697">
        <v>6336.15</v>
      </c>
    </row>
    <row r="5698" spans="1:8" x14ac:dyDescent="0.35">
      <c r="A5698" t="s">
        <v>8</v>
      </c>
      <c r="B5698" t="s">
        <v>12</v>
      </c>
      <c r="C5698" t="s">
        <v>9</v>
      </c>
      <c r="D5698">
        <v>227</v>
      </c>
      <c r="E5698">
        <v>15</v>
      </c>
      <c r="F5698">
        <v>6.61</v>
      </c>
      <c r="G5698">
        <v>32.33</v>
      </c>
      <c r="H5698">
        <v>7338.91</v>
      </c>
    </row>
    <row r="5699" spans="1:8" x14ac:dyDescent="0.35">
      <c r="A5699" t="s">
        <v>8</v>
      </c>
      <c r="B5699" t="s">
        <v>12</v>
      </c>
      <c r="C5699" t="s">
        <v>9</v>
      </c>
      <c r="D5699">
        <v>280</v>
      </c>
      <c r="E5699">
        <v>12</v>
      </c>
      <c r="F5699">
        <v>4.29</v>
      </c>
      <c r="G5699">
        <v>33.479999999999997</v>
      </c>
      <c r="H5699">
        <v>9374.4</v>
      </c>
    </row>
    <row r="5700" spans="1:8" x14ac:dyDescent="0.35">
      <c r="A5700" t="s">
        <v>6</v>
      </c>
      <c r="B5700" t="s">
        <v>12</v>
      </c>
      <c r="C5700" t="s">
        <v>11</v>
      </c>
      <c r="D5700">
        <v>161</v>
      </c>
      <c r="E5700">
        <v>8</v>
      </c>
      <c r="F5700">
        <v>4.97</v>
      </c>
      <c r="G5700">
        <v>20.45</v>
      </c>
      <c r="H5700">
        <v>3292.45</v>
      </c>
    </row>
    <row r="5701" spans="1:8" x14ac:dyDescent="0.35">
      <c r="A5701" t="s">
        <v>5</v>
      </c>
      <c r="B5701" t="s">
        <v>12</v>
      </c>
      <c r="C5701" t="s">
        <v>9</v>
      </c>
      <c r="D5701">
        <v>142</v>
      </c>
      <c r="E5701">
        <v>9</v>
      </c>
      <c r="F5701">
        <v>6.34</v>
      </c>
      <c r="G5701">
        <v>54.33</v>
      </c>
      <c r="H5701">
        <v>7714.86</v>
      </c>
    </row>
    <row r="5702" spans="1:8" x14ac:dyDescent="0.35">
      <c r="A5702" t="s">
        <v>7</v>
      </c>
      <c r="B5702" t="s">
        <v>12</v>
      </c>
      <c r="C5702" t="s">
        <v>10</v>
      </c>
      <c r="D5702">
        <v>69</v>
      </c>
      <c r="E5702">
        <v>0</v>
      </c>
      <c r="F5702">
        <v>0</v>
      </c>
      <c r="G5702">
        <v>23.78</v>
      </c>
      <c r="H5702">
        <v>1640.82</v>
      </c>
    </row>
    <row r="5703" spans="1:8" x14ac:dyDescent="0.35">
      <c r="A5703" t="s">
        <v>6</v>
      </c>
      <c r="B5703" t="s">
        <v>12</v>
      </c>
      <c r="C5703" t="s">
        <v>9</v>
      </c>
      <c r="D5703">
        <v>147</v>
      </c>
      <c r="E5703">
        <v>6</v>
      </c>
      <c r="F5703">
        <v>4.08</v>
      </c>
      <c r="G5703">
        <v>24.92</v>
      </c>
      <c r="H5703">
        <v>3663.24</v>
      </c>
    </row>
    <row r="5704" spans="1:8" x14ac:dyDescent="0.35">
      <c r="A5704" t="s">
        <v>8</v>
      </c>
      <c r="B5704" t="s">
        <v>12</v>
      </c>
      <c r="C5704" t="s">
        <v>9</v>
      </c>
      <c r="D5704">
        <v>135</v>
      </c>
      <c r="E5704">
        <v>5</v>
      </c>
      <c r="F5704">
        <v>3.7</v>
      </c>
      <c r="G5704">
        <v>42.46</v>
      </c>
      <c r="H5704">
        <v>5732.1</v>
      </c>
    </row>
    <row r="5705" spans="1:8" x14ac:dyDescent="0.35">
      <c r="A5705" t="s">
        <v>5</v>
      </c>
      <c r="B5705" t="s">
        <v>12</v>
      </c>
      <c r="C5705" t="s">
        <v>9</v>
      </c>
      <c r="D5705">
        <v>274</v>
      </c>
      <c r="E5705">
        <v>1</v>
      </c>
      <c r="F5705">
        <v>0.36</v>
      </c>
      <c r="G5705">
        <v>12.74</v>
      </c>
      <c r="H5705">
        <v>3490.76</v>
      </c>
    </row>
    <row r="5706" spans="1:8" x14ac:dyDescent="0.35">
      <c r="A5706" t="s">
        <v>7</v>
      </c>
      <c r="B5706" t="s">
        <v>12</v>
      </c>
      <c r="C5706" t="s">
        <v>10</v>
      </c>
      <c r="D5706">
        <v>67</v>
      </c>
      <c r="E5706">
        <v>6</v>
      </c>
      <c r="F5706">
        <v>8.9600000000000009</v>
      </c>
      <c r="G5706">
        <v>14.35</v>
      </c>
      <c r="H5706">
        <v>961.45</v>
      </c>
    </row>
    <row r="5707" spans="1:8" x14ac:dyDescent="0.35">
      <c r="A5707" t="s">
        <v>5</v>
      </c>
      <c r="B5707" t="s">
        <v>12</v>
      </c>
      <c r="C5707" t="s">
        <v>9</v>
      </c>
      <c r="D5707">
        <v>216</v>
      </c>
      <c r="E5707">
        <v>15</v>
      </c>
      <c r="F5707">
        <v>6.94</v>
      </c>
      <c r="G5707">
        <v>50.25</v>
      </c>
      <c r="H5707">
        <v>10854</v>
      </c>
    </row>
    <row r="5708" spans="1:8" x14ac:dyDescent="0.35">
      <c r="A5708" t="s">
        <v>5</v>
      </c>
      <c r="B5708" t="s">
        <v>12</v>
      </c>
      <c r="C5708" t="s">
        <v>9</v>
      </c>
      <c r="D5708">
        <v>175</v>
      </c>
      <c r="E5708">
        <v>11</v>
      </c>
      <c r="F5708">
        <v>6.29</v>
      </c>
      <c r="G5708">
        <v>59.01</v>
      </c>
      <c r="H5708">
        <v>10326.75</v>
      </c>
    </row>
    <row r="5709" spans="1:8" x14ac:dyDescent="0.35">
      <c r="A5709" t="s">
        <v>7</v>
      </c>
      <c r="B5709" t="s">
        <v>12</v>
      </c>
      <c r="C5709" t="s">
        <v>9</v>
      </c>
      <c r="D5709">
        <v>120</v>
      </c>
      <c r="E5709">
        <v>1</v>
      </c>
      <c r="F5709">
        <v>0.83</v>
      </c>
      <c r="G5709">
        <v>28.02</v>
      </c>
      <c r="H5709">
        <v>3362.4</v>
      </c>
    </row>
    <row r="5710" spans="1:8" x14ac:dyDescent="0.35">
      <c r="A5710" t="s">
        <v>7</v>
      </c>
      <c r="B5710" t="s">
        <v>12</v>
      </c>
      <c r="C5710" t="s">
        <v>9</v>
      </c>
      <c r="D5710">
        <v>85</v>
      </c>
      <c r="E5710">
        <v>8</v>
      </c>
      <c r="F5710">
        <v>9.41</v>
      </c>
      <c r="G5710">
        <v>37.78</v>
      </c>
      <c r="H5710">
        <v>3211.3</v>
      </c>
    </row>
    <row r="5711" spans="1:8" x14ac:dyDescent="0.35">
      <c r="A5711" t="s">
        <v>8</v>
      </c>
      <c r="B5711" t="s">
        <v>12</v>
      </c>
      <c r="C5711" t="s">
        <v>9</v>
      </c>
      <c r="D5711">
        <v>299</v>
      </c>
      <c r="E5711">
        <v>2</v>
      </c>
      <c r="F5711">
        <v>0.67</v>
      </c>
      <c r="G5711">
        <v>53.78</v>
      </c>
      <c r="H5711">
        <v>16080.22</v>
      </c>
    </row>
    <row r="5712" spans="1:8" x14ac:dyDescent="0.35">
      <c r="A5712" t="s">
        <v>7</v>
      </c>
      <c r="B5712" t="s">
        <v>12</v>
      </c>
      <c r="C5712" t="s">
        <v>9</v>
      </c>
      <c r="D5712">
        <v>294</v>
      </c>
      <c r="E5712">
        <v>26</v>
      </c>
      <c r="F5712">
        <v>8.84</v>
      </c>
      <c r="G5712">
        <v>68.19</v>
      </c>
      <c r="H5712">
        <v>20047.86</v>
      </c>
    </row>
    <row r="5713" spans="1:8" x14ac:dyDescent="0.35">
      <c r="A5713" t="s">
        <v>7</v>
      </c>
      <c r="B5713" t="s">
        <v>12</v>
      </c>
      <c r="C5713" t="s">
        <v>9</v>
      </c>
      <c r="D5713">
        <v>166</v>
      </c>
      <c r="E5713">
        <v>4</v>
      </c>
      <c r="F5713">
        <v>2.41</v>
      </c>
      <c r="G5713">
        <v>31.31</v>
      </c>
      <c r="H5713">
        <v>5197.46</v>
      </c>
    </row>
    <row r="5714" spans="1:8" x14ac:dyDescent="0.35">
      <c r="A5714" t="s">
        <v>7</v>
      </c>
      <c r="B5714" t="s">
        <v>12</v>
      </c>
      <c r="C5714" t="s">
        <v>10</v>
      </c>
      <c r="D5714">
        <v>265</v>
      </c>
      <c r="E5714">
        <v>6</v>
      </c>
      <c r="F5714">
        <v>2.2599999999999998</v>
      </c>
      <c r="G5714">
        <v>16.78</v>
      </c>
      <c r="H5714">
        <v>4446.7</v>
      </c>
    </row>
    <row r="5715" spans="1:8" x14ac:dyDescent="0.35">
      <c r="A5715" t="s">
        <v>6</v>
      </c>
      <c r="B5715" t="s">
        <v>12</v>
      </c>
      <c r="C5715" t="s">
        <v>9</v>
      </c>
      <c r="D5715">
        <v>53</v>
      </c>
      <c r="E5715">
        <v>2</v>
      </c>
      <c r="F5715">
        <v>3.77</v>
      </c>
      <c r="G5715">
        <v>6.57</v>
      </c>
      <c r="H5715">
        <v>348.21</v>
      </c>
    </row>
    <row r="5716" spans="1:8" x14ac:dyDescent="0.35">
      <c r="A5716" t="s">
        <v>8</v>
      </c>
      <c r="B5716" t="s">
        <v>12</v>
      </c>
      <c r="C5716" t="s">
        <v>9</v>
      </c>
      <c r="D5716">
        <v>158</v>
      </c>
      <c r="E5716">
        <v>4</v>
      </c>
      <c r="F5716">
        <v>2.5299999999999998</v>
      </c>
      <c r="G5716">
        <v>17.86</v>
      </c>
      <c r="H5716">
        <v>2821.88</v>
      </c>
    </row>
    <row r="5717" spans="1:8" x14ac:dyDescent="0.35">
      <c r="A5717" t="s">
        <v>6</v>
      </c>
      <c r="B5717" t="s">
        <v>12</v>
      </c>
      <c r="C5717" t="s">
        <v>9</v>
      </c>
      <c r="D5717">
        <v>61</v>
      </c>
      <c r="E5717">
        <v>1</v>
      </c>
      <c r="F5717">
        <v>1.64</v>
      </c>
      <c r="G5717">
        <v>54.5</v>
      </c>
      <c r="H5717">
        <v>3324.5</v>
      </c>
    </row>
    <row r="5718" spans="1:8" x14ac:dyDescent="0.35">
      <c r="A5718" t="s">
        <v>6</v>
      </c>
      <c r="B5718" t="s">
        <v>12</v>
      </c>
      <c r="C5718" t="s">
        <v>11</v>
      </c>
      <c r="D5718">
        <v>239</v>
      </c>
      <c r="E5718">
        <v>22</v>
      </c>
      <c r="F5718">
        <v>9.2100000000000009</v>
      </c>
      <c r="G5718">
        <v>10.63</v>
      </c>
      <c r="H5718">
        <v>2540.5700000000002</v>
      </c>
    </row>
    <row r="5719" spans="1:8" x14ac:dyDescent="0.35">
      <c r="A5719" t="s">
        <v>7</v>
      </c>
      <c r="B5719" t="s">
        <v>12</v>
      </c>
      <c r="C5719" t="s">
        <v>10</v>
      </c>
      <c r="D5719">
        <v>165</v>
      </c>
      <c r="E5719">
        <v>13</v>
      </c>
      <c r="F5719">
        <v>7.88</v>
      </c>
      <c r="G5719">
        <v>31.84</v>
      </c>
      <c r="H5719">
        <v>5253.6</v>
      </c>
    </row>
    <row r="5720" spans="1:8" x14ac:dyDescent="0.35">
      <c r="A5720" t="s">
        <v>8</v>
      </c>
      <c r="B5720" t="s">
        <v>12</v>
      </c>
      <c r="C5720" t="s">
        <v>9</v>
      </c>
      <c r="D5720">
        <v>214</v>
      </c>
      <c r="E5720">
        <v>16</v>
      </c>
      <c r="F5720">
        <v>7.48</v>
      </c>
      <c r="G5720">
        <v>27.97</v>
      </c>
      <c r="H5720">
        <v>5985.58</v>
      </c>
    </row>
    <row r="5721" spans="1:8" x14ac:dyDescent="0.35">
      <c r="A5721" t="s">
        <v>5</v>
      </c>
      <c r="B5721" t="s">
        <v>12</v>
      </c>
      <c r="C5721" t="s">
        <v>9</v>
      </c>
      <c r="D5721">
        <v>59</v>
      </c>
      <c r="E5721">
        <v>3</v>
      </c>
      <c r="F5721">
        <v>5.08</v>
      </c>
      <c r="G5721">
        <v>60.35</v>
      </c>
      <c r="H5721">
        <v>3560.65</v>
      </c>
    </row>
    <row r="5722" spans="1:8" x14ac:dyDescent="0.35">
      <c r="A5722" t="s">
        <v>5</v>
      </c>
      <c r="B5722" t="s">
        <v>12</v>
      </c>
      <c r="C5722" t="s">
        <v>9</v>
      </c>
      <c r="D5722">
        <v>122</v>
      </c>
      <c r="E5722">
        <v>2</v>
      </c>
      <c r="F5722">
        <v>1.64</v>
      </c>
      <c r="G5722">
        <v>47.94</v>
      </c>
      <c r="H5722">
        <v>5848.68</v>
      </c>
    </row>
    <row r="5723" spans="1:8" x14ac:dyDescent="0.35">
      <c r="A5723" t="s">
        <v>7</v>
      </c>
      <c r="B5723" t="s">
        <v>12</v>
      </c>
      <c r="C5723" t="s">
        <v>10</v>
      </c>
      <c r="D5723">
        <v>135</v>
      </c>
      <c r="E5723">
        <v>7</v>
      </c>
      <c r="F5723">
        <v>5.19</v>
      </c>
      <c r="G5723">
        <v>62.2</v>
      </c>
      <c r="H5723">
        <v>8397</v>
      </c>
    </row>
    <row r="5724" spans="1:8" x14ac:dyDescent="0.35">
      <c r="A5724" t="s">
        <v>5</v>
      </c>
      <c r="B5724" t="s">
        <v>12</v>
      </c>
      <c r="C5724" t="s">
        <v>9</v>
      </c>
      <c r="D5724">
        <v>54</v>
      </c>
      <c r="E5724">
        <v>2</v>
      </c>
      <c r="F5724">
        <v>3.7</v>
      </c>
      <c r="G5724">
        <v>48.35</v>
      </c>
      <c r="H5724">
        <v>2610.9</v>
      </c>
    </row>
    <row r="5725" spans="1:8" x14ac:dyDescent="0.35">
      <c r="A5725" t="s">
        <v>7</v>
      </c>
      <c r="B5725" t="s">
        <v>12</v>
      </c>
      <c r="C5725" t="s">
        <v>9</v>
      </c>
      <c r="D5725">
        <v>254</v>
      </c>
      <c r="E5725">
        <v>23</v>
      </c>
      <c r="F5725">
        <v>9.06</v>
      </c>
      <c r="G5725">
        <v>31.93</v>
      </c>
      <c r="H5725">
        <v>8110.22</v>
      </c>
    </row>
    <row r="5726" spans="1:8" x14ac:dyDescent="0.35">
      <c r="A5726" t="s">
        <v>8</v>
      </c>
      <c r="B5726" t="s">
        <v>12</v>
      </c>
      <c r="C5726" t="s">
        <v>9</v>
      </c>
      <c r="D5726">
        <v>257</v>
      </c>
      <c r="E5726">
        <v>18</v>
      </c>
      <c r="F5726">
        <v>7</v>
      </c>
      <c r="G5726">
        <v>58.77</v>
      </c>
      <c r="H5726">
        <v>15103.89</v>
      </c>
    </row>
    <row r="5727" spans="1:8" x14ac:dyDescent="0.35">
      <c r="A5727" t="s">
        <v>5</v>
      </c>
      <c r="B5727" t="s">
        <v>12</v>
      </c>
      <c r="C5727" t="s">
        <v>9</v>
      </c>
      <c r="D5727">
        <v>75</v>
      </c>
      <c r="E5727">
        <v>5</v>
      </c>
      <c r="F5727">
        <v>6.67</v>
      </c>
      <c r="G5727">
        <v>49.7</v>
      </c>
      <c r="H5727">
        <v>3727.5</v>
      </c>
    </row>
    <row r="5728" spans="1:8" x14ac:dyDescent="0.35">
      <c r="A5728" t="s">
        <v>7</v>
      </c>
      <c r="B5728" t="s">
        <v>12</v>
      </c>
      <c r="C5728" t="s">
        <v>9</v>
      </c>
      <c r="D5728">
        <v>70</v>
      </c>
      <c r="E5728">
        <v>4</v>
      </c>
      <c r="F5728">
        <v>5.71</v>
      </c>
      <c r="G5728">
        <v>62.99</v>
      </c>
      <c r="H5728">
        <v>4409.3</v>
      </c>
    </row>
    <row r="5729" spans="1:8" x14ac:dyDescent="0.35">
      <c r="A5729" t="s">
        <v>7</v>
      </c>
      <c r="B5729" t="s">
        <v>12</v>
      </c>
      <c r="C5729" t="s">
        <v>10</v>
      </c>
      <c r="D5729">
        <v>112</v>
      </c>
      <c r="E5729">
        <v>10</v>
      </c>
      <c r="F5729">
        <v>8.93</v>
      </c>
      <c r="G5729">
        <v>29.16</v>
      </c>
      <c r="H5729">
        <v>3265.92</v>
      </c>
    </row>
    <row r="5730" spans="1:8" x14ac:dyDescent="0.35">
      <c r="A5730" t="s">
        <v>5</v>
      </c>
      <c r="B5730" t="s">
        <v>12</v>
      </c>
      <c r="C5730" t="s">
        <v>9</v>
      </c>
      <c r="D5730">
        <v>225</v>
      </c>
      <c r="E5730">
        <v>8</v>
      </c>
      <c r="F5730">
        <v>3.56</v>
      </c>
      <c r="G5730">
        <v>42.85</v>
      </c>
      <c r="H5730">
        <v>9641.25</v>
      </c>
    </row>
    <row r="5731" spans="1:8" x14ac:dyDescent="0.35">
      <c r="A5731" t="s">
        <v>7</v>
      </c>
      <c r="B5731" t="s">
        <v>12</v>
      </c>
      <c r="C5731" t="s">
        <v>10</v>
      </c>
      <c r="D5731">
        <v>186</v>
      </c>
      <c r="E5731">
        <v>10</v>
      </c>
      <c r="F5731">
        <v>5.38</v>
      </c>
      <c r="G5731">
        <v>38.229999999999997</v>
      </c>
      <c r="H5731">
        <v>7110.78</v>
      </c>
    </row>
    <row r="5732" spans="1:8" x14ac:dyDescent="0.35">
      <c r="A5732" t="s">
        <v>6</v>
      </c>
      <c r="B5732" t="s">
        <v>12</v>
      </c>
      <c r="C5732" t="s">
        <v>9</v>
      </c>
      <c r="D5732">
        <v>164</v>
      </c>
      <c r="E5732">
        <v>11</v>
      </c>
      <c r="F5732">
        <v>6.71</v>
      </c>
      <c r="G5732">
        <v>60.67</v>
      </c>
      <c r="H5732">
        <v>9949.8799999999992</v>
      </c>
    </row>
    <row r="5733" spans="1:8" x14ac:dyDescent="0.35">
      <c r="A5733" t="s">
        <v>6</v>
      </c>
      <c r="B5733" t="s">
        <v>12</v>
      </c>
      <c r="C5733" t="s">
        <v>9</v>
      </c>
      <c r="D5733">
        <v>280</v>
      </c>
      <c r="E5733">
        <v>14</v>
      </c>
      <c r="F5733">
        <v>5</v>
      </c>
      <c r="G5733">
        <v>23.31</v>
      </c>
      <c r="H5733">
        <v>6526.8</v>
      </c>
    </row>
    <row r="5734" spans="1:8" x14ac:dyDescent="0.35">
      <c r="A5734" t="s">
        <v>7</v>
      </c>
      <c r="B5734" t="s">
        <v>12</v>
      </c>
      <c r="C5734" t="s">
        <v>10</v>
      </c>
      <c r="D5734">
        <v>229</v>
      </c>
      <c r="E5734">
        <v>4</v>
      </c>
      <c r="F5734">
        <v>1.75</v>
      </c>
      <c r="G5734">
        <v>46.35</v>
      </c>
      <c r="H5734">
        <v>10614.15</v>
      </c>
    </row>
    <row r="5735" spans="1:8" x14ac:dyDescent="0.35">
      <c r="A5735" t="s">
        <v>6</v>
      </c>
      <c r="B5735" t="s">
        <v>12</v>
      </c>
      <c r="C5735" t="s">
        <v>11</v>
      </c>
      <c r="D5735">
        <v>53</v>
      </c>
      <c r="E5735">
        <v>3</v>
      </c>
      <c r="F5735">
        <v>5.66</v>
      </c>
      <c r="G5735">
        <v>31.85</v>
      </c>
      <c r="H5735">
        <v>1688.05</v>
      </c>
    </row>
    <row r="5736" spans="1:8" x14ac:dyDescent="0.35">
      <c r="A5736" t="s">
        <v>8</v>
      </c>
      <c r="B5736" t="s">
        <v>12</v>
      </c>
      <c r="C5736" t="s">
        <v>9</v>
      </c>
      <c r="D5736">
        <v>279</v>
      </c>
      <c r="E5736">
        <v>16</v>
      </c>
      <c r="F5736">
        <v>5.73</v>
      </c>
      <c r="G5736">
        <v>69.88</v>
      </c>
      <c r="H5736">
        <v>19496.52</v>
      </c>
    </row>
    <row r="5737" spans="1:8" x14ac:dyDescent="0.35">
      <c r="A5737" t="s">
        <v>7</v>
      </c>
      <c r="B5737" t="s">
        <v>12</v>
      </c>
      <c r="C5737" t="s">
        <v>10</v>
      </c>
      <c r="D5737">
        <v>172</v>
      </c>
      <c r="E5737">
        <v>4</v>
      </c>
      <c r="F5737">
        <v>2.33</v>
      </c>
      <c r="G5737">
        <v>18.38</v>
      </c>
      <c r="H5737">
        <v>3161.36</v>
      </c>
    </row>
    <row r="5738" spans="1:8" x14ac:dyDescent="0.35">
      <c r="A5738" t="s">
        <v>7</v>
      </c>
      <c r="B5738" t="s">
        <v>12</v>
      </c>
      <c r="C5738" t="s">
        <v>9</v>
      </c>
      <c r="D5738">
        <v>82</v>
      </c>
      <c r="E5738">
        <v>4</v>
      </c>
      <c r="F5738">
        <v>4.88</v>
      </c>
      <c r="G5738">
        <v>15.68</v>
      </c>
      <c r="H5738">
        <v>1285.76</v>
      </c>
    </row>
    <row r="5739" spans="1:8" x14ac:dyDescent="0.35">
      <c r="A5739" t="s">
        <v>6</v>
      </c>
      <c r="B5739" t="s">
        <v>12</v>
      </c>
      <c r="C5739" t="s">
        <v>9</v>
      </c>
      <c r="D5739">
        <v>191</v>
      </c>
      <c r="E5739">
        <v>13</v>
      </c>
      <c r="F5739">
        <v>6.81</v>
      </c>
      <c r="G5739">
        <v>29.25</v>
      </c>
      <c r="H5739">
        <v>5586.75</v>
      </c>
    </row>
    <row r="5740" spans="1:8" x14ac:dyDescent="0.35">
      <c r="A5740" t="s">
        <v>5</v>
      </c>
      <c r="B5740" t="s">
        <v>12</v>
      </c>
      <c r="C5740" t="s">
        <v>9</v>
      </c>
      <c r="D5740">
        <v>252</v>
      </c>
      <c r="E5740">
        <v>6</v>
      </c>
      <c r="F5740">
        <v>2.38</v>
      </c>
      <c r="G5740">
        <v>64.260000000000005</v>
      </c>
      <c r="H5740">
        <v>16193.52</v>
      </c>
    </row>
    <row r="5741" spans="1:8" x14ac:dyDescent="0.35">
      <c r="A5741" t="s">
        <v>8</v>
      </c>
      <c r="B5741" t="s">
        <v>12</v>
      </c>
      <c r="C5741" t="s">
        <v>9</v>
      </c>
      <c r="D5741">
        <v>202</v>
      </c>
      <c r="E5741">
        <v>4</v>
      </c>
      <c r="F5741">
        <v>1.98</v>
      </c>
      <c r="G5741">
        <v>68.45</v>
      </c>
      <c r="H5741">
        <v>13826.9</v>
      </c>
    </row>
    <row r="5742" spans="1:8" x14ac:dyDescent="0.35">
      <c r="A5742" t="s">
        <v>7</v>
      </c>
      <c r="B5742" t="s">
        <v>12</v>
      </c>
      <c r="C5742" t="s">
        <v>9</v>
      </c>
      <c r="D5742">
        <v>206</v>
      </c>
      <c r="E5742">
        <v>20</v>
      </c>
      <c r="F5742">
        <v>9.7100000000000009</v>
      </c>
      <c r="G5742">
        <v>46.72</v>
      </c>
      <c r="H5742">
        <v>9624.32</v>
      </c>
    </row>
    <row r="5743" spans="1:8" x14ac:dyDescent="0.35">
      <c r="A5743" t="s">
        <v>7</v>
      </c>
      <c r="B5743" t="s">
        <v>12</v>
      </c>
      <c r="C5743" t="s">
        <v>9</v>
      </c>
      <c r="D5743">
        <v>241</v>
      </c>
      <c r="E5743">
        <v>15</v>
      </c>
      <c r="F5743">
        <v>6.22</v>
      </c>
      <c r="G5743">
        <v>27.82</v>
      </c>
      <c r="H5743">
        <v>6704.62</v>
      </c>
    </row>
    <row r="5744" spans="1:8" x14ac:dyDescent="0.35">
      <c r="A5744" t="s">
        <v>7</v>
      </c>
      <c r="B5744" t="s">
        <v>12</v>
      </c>
      <c r="C5744" t="s">
        <v>9</v>
      </c>
      <c r="D5744">
        <v>292</v>
      </c>
      <c r="E5744">
        <v>27</v>
      </c>
      <c r="F5744">
        <v>9.25</v>
      </c>
      <c r="G5744">
        <v>66.55</v>
      </c>
      <c r="H5744">
        <v>19432.599999999999</v>
      </c>
    </row>
    <row r="5745" spans="1:8" x14ac:dyDescent="0.35">
      <c r="A5745" t="s">
        <v>6</v>
      </c>
      <c r="B5745" t="s">
        <v>12</v>
      </c>
      <c r="C5745" t="s">
        <v>11</v>
      </c>
      <c r="D5745">
        <v>148</v>
      </c>
      <c r="E5745">
        <v>2</v>
      </c>
      <c r="F5745">
        <v>1.35</v>
      </c>
      <c r="G5745">
        <v>34.83</v>
      </c>
      <c r="H5745">
        <v>5154.84</v>
      </c>
    </row>
    <row r="5746" spans="1:8" x14ac:dyDescent="0.35">
      <c r="A5746" t="s">
        <v>8</v>
      </c>
      <c r="B5746" t="s">
        <v>12</v>
      </c>
      <c r="C5746" t="s">
        <v>9</v>
      </c>
      <c r="D5746">
        <v>232</v>
      </c>
      <c r="E5746">
        <v>21</v>
      </c>
      <c r="F5746">
        <v>9.0500000000000007</v>
      </c>
      <c r="G5746">
        <v>63.98</v>
      </c>
      <c r="H5746">
        <v>14843.36</v>
      </c>
    </row>
    <row r="5747" spans="1:8" x14ac:dyDescent="0.35">
      <c r="A5747" t="s">
        <v>7</v>
      </c>
      <c r="B5747" t="s">
        <v>12</v>
      </c>
      <c r="C5747" t="s">
        <v>10</v>
      </c>
      <c r="D5747">
        <v>113</v>
      </c>
      <c r="E5747">
        <v>5</v>
      </c>
      <c r="F5747">
        <v>4.42</v>
      </c>
      <c r="G5747">
        <v>44.32</v>
      </c>
      <c r="H5747">
        <v>5008.16</v>
      </c>
    </row>
    <row r="5748" spans="1:8" x14ac:dyDescent="0.35">
      <c r="A5748" t="s">
        <v>8</v>
      </c>
      <c r="B5748" t="s">
        <v>12</v>
      </c>
      <c r="C5748" t="s">
        <v>9</v>
      </c>
      <c r="D5748">
        <v>62</v>
      </c>
      <c r="E5748">
        <v>3</v>
      </c>
      <c r="F5748">
        <v>4.84</v>
      </c>
      <c r="G5748">
        <v>63.85</v>
      </c>
      <c r="H5748">
        <v>3958.7</v>
      </c>
    </row>
    <row r="5749" spans="1:8" x14ac:dyDescent="0.35">
      <c r="A5749" t="s">
        <v>6</v>
      </c>
      <c r="B5749" t="s">
        <v>12</v>
      </c>
      <c r="C5749" t="s">
        <v>11</v>
      </c>
      <c r="D5749">
        <v>118</v>
      </c>
      <c r="E5749">
        <v>3</v>
      </c>
      <c r="F5749">
        <v>2.54</v>
      </c>
      <c r="G5749">
        <v>8.56</v>
      </c>
      <c r="H5749">
        <v>1010.08</v>
      </c>
    </row>
    <row r="5750" spans="1:8" x14ac:dyDescent="0.35">
      <c r="A5750" t="s">
        <v>6</v>
      </c>
      <c r="B5750" t="s">
        <v>12</v>
      </c>
      <c r="C5750" t="s">
        <v>9</v>
      </c>
      <c r="D5750">
        <v>151</v>
      </c>
      <c r="E5750">
        <v>7</v>
      </c>
      <c r="F5750">
        <v>4.6399999999999997</v>
      </c>
      <c r="G5750">
        <v>36.799999999999997</v>
      </c>
      <c r="H5750">
        <v>5556.8</v>
      </c>
    </row>
    <row r="5751" spans="1:8" x14ac:dyDescent="0.35">
      <c r="A5751" t="s">
        <v>6</v>
      </c>
      <c r="B5751" t="s">
        <v>12</v>
      </c>
      <c r="C5751" t="s">
        <v>11</v>
      </c>
      <c r="D5751">
        <v>211</v>
      </c>
      <c r="E5751">
        <v>9</v>
      </c>
      <c r="F5751">
        <v>4.2699999999999996</v>
      </c>
      <c r="G5751">
        <v>13.42</v>
      </c>
      <c r="H5751">
        <v>2831.62</v>
      </c>
    </row>
    <row r="5752" spans="1:8" x14ac:dyDescent="0.35">
      <c r="A5752" t="s">
        <v>7</v>
      </c>
      <c r="B5752" t="s">
        <v>12</v>
      </c>
      <c r="C5752" t="s">
        <v>10</v>
      </c>
      <c r="D5752">
        <v>233</v>
      </c>
      <c r="E5752">
        <v>15</v>
      </c>
      <c r="F5752">
        <v>6.44</v>
      </c>
      <c r="G5752">
        <v>18.059999999999999</v>
      </c>
      <c r="H5752">
        <v>4207.9799999999996</v>
      </c>
    </row>
    <row r="5753" spans="1:8" x14ac:dyDescent="0.35">
      <c r="A5753" t="s">
        <v>7</v>
      </c>
      <c r="B5753" t="s">
        <v>12</v>
      </c>
      <c r="C5753" t="s">
        <v>10</v>
      </c>
      <c r="D5753">
        <v>85</v>
      </c>
      <c r="E5753">
        <v>3</v>
      </c>
      <c r="F5753">
        <v>3.53</v>
      </c>
      <c r="G5753">
        <v>44.25</v>
      </c>
      <c r="H5753">
        <v>3761.25</v>
      </c>
    </row>
    <row r="5754" spans="1:8" x14ac:dyDescent="0.35">
      <c r="A5754" t="s">
        <v>7</v>
      </c>
      <c r="B5754" t="s">
        <v>12</v>
      </c>
      <c r="C5754" t="s">
        <v>10</v>
      </c>
      <c r="D5754">
        <v>224</v>
      </c>
      <c r="E5754">
        <v>21</v>
      </c>
      <c r="F5754">
        <v>9.3800000000000008</v>
      </c>
      <c r="G5754">
        <v>6.87</v>
      </c>
      <c r="H5754">
        <v>1538.88</v>
      </c>
    </row>
    <row r="5755" spans="1:8" x14ac:dyDescent="0.35">
      <c r="A5755" t="s">
        <v>8</v>
      </c>
      <c r="B5755" t="s">
        <v>12</v>
      </c>
      <c r="C5755" t="s">
        <v>9</v>
      </c>
      <c r="D5755">
        <v>212</v>
      </c>
      <c r="E5755">
        <v>5</v>
      </c>
      <c r="F5755">
        <v>2.36</v>
      </c>
      <c r="G5755">
        <v>61.7</v>
      </c>
      <c r="H5755">
        <v>13080.4</v>
      </c>
    </row>
    <row r="5756" spans="1:8" x14ac:dyDescent="0.35">
      <c r="A5756" t="s">
        <v>5</v>
      </c>
      <c r="B5756" t="s">
        <v>12</v>
      </c>
      <c r="C5756" t="s">
        <v>9</v>
      </c>
      <c r="D5756">
        <v>170</v>
      </c>
      <c r="E5756">
        <v>12</v>
      </c>
      <c r="F5756">
        <v>7.06</v>
      </c>
      <c r="G5756">
        <v>15.56</v>
      </c>
      <c r="H5756">
        <v>2645.2</v>
      </c>
    </row>
    <row r="5757" spans="1:8" x14ac:dyDescent="0.35">
      <c r="A5757" t="s">
        <v>6</v>
      </c>
      <c r="B5757" t="s">
        <v>12</v>
      </c>
      <c r="C5757" t="s">
        <v>9</v>
      </c>
      <c r="D5757">
        <v>280</v>
      </c>
      <c r="E5757">
        <v>19</v>
      </c>
      <c r="F5757">
        <v>6.79</v>
      </c>
      <c r="G5757">
        <v>62.09</v>
      </c>
      <c r="H5757">
        <v>17385.2</v>
      </c>
    </row>
    <row r="5758" spans="1:8" x14ac:dyDescent="0.35">
      <c r="A5758" t="s">
        <v>6</v>
      </c>
      <c r="B5758" t="s">
        <v>12</v>
      </c>
      <c r="C5758" t="s">
        <v>11</v>
      </c>
      <c r="D5758">
        <v>285</v>
      </c>
      <c r="E5758">
        <v>22</v>
      </c>
      <c r="F5758">
        <v>7.72</v>
      </c>
      <c r="G5758">
        <v>67.61</v>
      </c>
      <c r="H5758">
        <v>19268.849999999999</v>
      </c>
    </row>
    <row r="5759" spans="1:8" x14ac:dyDescent="0.35">
      <c r="A5759" t="s">
        <v>7</v>
      </c>
      <c r="B5759" t="s">
        <v>12</v>
      </c>
      <c r="C5759" t="s">
        <v>10</v>
      </c>
      <c r="D5759">
        <v>126</v>
      </c>
      <c r="E5759">
        <v>6</v>
      </c>
      <c r="F5759">
        <v>4.76</v>
      </c>
      <c r="G5759">
        <v>51.23</v>
      </c>
      <c r="H5759">
        <v>6454.98</v>
      </c>
    </row>
    <row r="5760" spans="1:8" x14ac:dyDescent="0.35">
      <c r="A5760" t="s">
        <v>8</v>
      </c>
      <c r="B5760" t="s">
        <v>12</v>
      </c>
      <c r="C5760" t="s">
        <v>9</v>
      </c>
      <c r="D5760">
        <v>110</v>
      </c>
      <c r="E5760">
        <v>5</v>
      </c>
      <c r="F5760">
        <v>4.55</v>
      </c>
      <c r="G5760">
        <v>7.24</v>
      </c>
      <c r="H5760">
        <v>796.4</v>
      </c>
    </row>
    <row r="5761" spans="1:8" x14ac:dyDescent="0.35">
      <c r="A5761" t="s">
        <v>6</v>
      </c>
      <c r="B5761" t="s">
        <v>12</v>
      </c>
      <c r="C5761" t="s">
        <v>9</v>
      </c>
      <c r="D5761">
        <v>269</v>
      </c>
      <c r="E5761">
        <v>13</v>
      </c>
      <c r="F5761">
        <v>4.83</v>
      </c>
      <c r="G5761">
        <v>49.29</v>
      </c>
      <c r="H5761">
        <v>13259.01</v>
      </c>
    </row>
    <row r="5762" spans="1:8" x14ac:dyDescent="0.35">
      <c r="A5762" t="s">
        <v>6</v>
      </c>
      <c r="B5762" t="s">
        <v>12</v>
      </c>
      <c r="C5762" t="s">
        <v>11</v>
      </c>
      <c r="D5762">
        <v>234</v>
      </c>
      <c r="E5762">
        <v>18</v>
      </c>
      <c r="F5762">
        <v>7.69</v>
      </c>
      <c r="G5762">
        <v>24.96</v>
      </c>
      <c r="H5762">
        <v>5840.64</v>
      </c>
    </row>
    <row r="5763" spans="1:8" x14ac:dyDescent="0.35">
      <c r="A5763" t="s">
        <v>6</v>
      </c>
      <c r="B5763" t="s">
        <v>12</v>
      </c>
      <c r="C5763" t="s">
        <v>9</v>
      </c>
      <c r="D5763">
        <v>107</v>
      </c>
      <c r="E5763">
        <v>1</v>
      </c>
      <c r="F5763">
        <v>0.93</v>
      </c>
      <c r="G5763">
        <v>16.14</v>
      </c>
      <c r="H5763">
        <v>1726.98</v>
      </c>
    </row>
    <row r="5764" spans="1:8" x14ac:dyDescent="0.35">
      <c r="A5764" t="s">
        <v>7</v>
      </c>
      <c r="B5764" t="s">
        <v>12</v>
      </c>
      <c r="C5764" t="s">
        <v>9</v>
      </c>
      <c r="D5764">
        <v>193</v>
      </c>
      <c r="E5764">
        <v>14</v>
      </c>
      <c r="F5764">
        <v>7.25</v>
      </c>
      <c r="G5764">
        <v>65.400000000000006</v>
      </c>
      <c r="H5764">
        <v>12622.2</v>
      </c>
    </row>
    <row r="5765" spans="1:8" x14ac:dyDescent="0.35">
      <c r="A5765" t="s">
        <v>6</v>
      </c>
      <c r="B5765" t="s">
        <v>12</v>
      </c>
      <c r="C5765" t="s">
        <v>9</v>
      </c>
      <c r="D5765">
        <v>165</v>
      </c>
      <c r="E5765">
        <v>3</v>
      </c>
      <c r="F5765">
        <v>1.82</v>
      </c>
      <c r="G5765">
        <v>43.67</v>
      </c>
      <c r="H5765">
        <v>7205.55</v>
      </c>
    </row>
    <row r="5766" spans="1:8" x14ac:dyDescent="0.35">
      <c r="A5766" t="s">
        <v>5</v>
      </c>
      <c r="B5766" t="s">
        <v>12</v>
      </c>
      <c r="C5766" t="s">
        <v>9</v>
      </c>
      <c r="D5766">
        <v>248</v>
      </c>
      <c r="E5766">
        <v>10</v>
      </c>
      <c r="F5766">
        <v>4.03</v>
      </c>
      <c r="G5766">
        <v>56.65</v>
      </c>
      <c r="H5766">
        <v>14049.2</v>
      </c>
    </row>
    <row r="5767" spans="1:8" x14ac:dyDescent="0.35">
      <c r="A5767" t="s">
        <v>5</v>
      </c>
      <c r="B5767" t="s">
        <v>12</v>
      </c>
      <c r="C5767" t="s">
        <v>9</v>
      </c>
      <c r="D5767">
        <v>220</v>
      </c>
      <c r="E5767">
        <v>15</v>
      </c>
      <c r="F5767">
        <v>6.82</v>
      </c>
      <c r="G5767">
        <v>52.42</v>
      </c>
      <c r="H5767">
        <v>11532.4</v>
      </c>
    </row>
    <row r="5768" spans="1:8" x14ac:dyDescent="0.35">
      <c r="A5768" t="s">
        <v>6</v>
      </c>
      <c r="B5768" t="s">
        <v>12</v>
      </c>
      <c r="C5768" t="s">
        <v>11</v>
      </c>
      <c r="D5768">
        <v>143</v>
      </c>
      <c r="E5768">
        <v>5</v>
      </c>
      <c r="F5768">
        <v>3.5</v>
      </c>
      <c r="G5768">
        <v>58.99</v>
      </c>
      <c r="H5768">
        <v>8435.57</v>
      </c>
    </row>
    <row r="5769" spans="1:8" x14ac:dyDescent="0.35">
      <c r="A5769" t="s">
        <v>6</v>
      </c>
      <c r="B5769" t="s">
        <v>12</v>
      </c>
      <c r="C5769" t="s">
        <v>9</v>
      </c>
      <c r="D5769">
        <v>296</v>
      </c>
      <c r="E5769">
        <v>2</v>
      </c>
      <c r="F5769">
        <v>0.68</v>
      </c>
      <c r="G5769">
        <v>26.75</v>
      </c>
      <c r="H5769">
        <v>7918</v>
      </c>
    </row>
    <row r="5770" spans="1:8" x14ac:dyDescent="0.35">
      <c r="A5770" t="s">
        <v>7</v>
      </c>
      <c r="B5770" t="s">
        <v>12</v>
      </c>
      <c r="C5770" t="s">
        <v>10</v>
      </c>
      <c r="D5770">
        <v>206</v>
      </c>
      <c r="E5770">
        <v>3</v>
      </c>
      <c r="F5770">
        <v>1.46</v>
      </c>
      <c r="G5770">
        <v>36.99</v>
      </c>
      <c r="H5770">
        <v>7619.94</v>
      </c>
    </row>
    <row r="5771" spans="1:8" x14ac:dyDescent="0.35">
      <c r="A5771" t="s">
        <v>6</v>
      </c>
      <c r="B5771" t="s">
        <v>12</v>
      </c>
      <c r="C5771" t="s">
        <v>9</v>
      </c>
      <c r="D5771">
        <v>79</v>
      </c>
      <c r="E5771">
        <v>5</v>
      </c>
      <c r="F5771">
        <v>6.33</v>
      </c>
      <c r="G5771">
        <v>62.69</v>
      </c>
      <c r="H5771">
        <v>4952.51</v>
      </c>
    </row>
    <row r="5772" spans="1:8" x14ac:dyDescent="0.35">
      <c r="A5772" t="s">
        <v>8</v>
      </c>
      <c r="B5772" t="s">
        <v>12</v>
      </c>
      <c r="C5772" t="s">
        <v>9</v>
      </c>
      <c r="D5772">
        <v>207</v>
      </c>
      <c r="E5772">
        <v>9</v>
      </c>
      <c r="F5772">
        <v>4.3499999999999996</v>
      </c>
      <c r="G5772">
        <v>58.84</v>
      </c>
      <c r="H5772">
        <v>12179.88</v>
      </c>
    </row>
    <row r="5773" spans="1:8" x14ac:dyDescent="0.35">
      <c r="A5773" t="s">
        <v>5</v>
      </c>
      <c r="B5773" t="s">
        <v>12</v>
      </c>
      <c r="C5773" t="s">
        <v>9</v>
      </c>
      <c r="D5773">
        <v>86</v>
      </c>
      <c r="E5773">
        <v>1</v>
      </c>
      <c r="F5773">
        <v>1.1599999999999999</v>
      </c>
      <c r="G5773">
        <v>56.14</v>
      </c>
      <c r="H5773">
        <v>4828.04</v>
      </c>
    </row>
    <row r="5774" spans="1:8" x14ac:dyDescent="0.35">
      <c r="A5774" t="s">
        <v>8</v>
      </c>
      <c r="B5774" t="s">
        <v>12</v>
      </c>
      <c r="C5774" t="s">
        <v>9</v>
      </c>
      <c r="D5774">
        <v>257</v>
      </c>
      <c r="E5774">
        <v>1</v>
      </c>
      <c r="F5774">
        <v>0.39</v>
      </c>
      <c r="G5774">
        <v>48.16</v>
      </c>
      <c r="H5774">
        <v>12377.12</v>
      </c>
    </row>
    <row r="5775" spans="1:8" x14ac:dyDescent="0.35">
      <c r="A5775" t="s">
        <v>7</v>
      </c>
      <c r="B5775" t="s">
        <v>12</v>
      </c>
      <c r="C5775" t="s">
        <v>10</v>
      </c>
      <c r="D5775">
        <v>185</v>
      </c>
      <c r="E5775">
        <v>1</v>
      </c>
      <c r="F5775">
        <v>0.54</v>
      </c>
      <c r="G5775">
        <v>66.27</v>
      </c>
      <c r="H5775">
        <v>12259.95</v>
      </c>
    </row>
    <row r="5776" spans="1:8" x14ac:dyDescent="0.35">
      <c r="A5776" t="s">
        <v>7</v>
      </c>
      <c r="B5776" t="s">
        <v>12</v>
      </c>
      <c r="C5776" t="s">
        <v>10</v>
      </c>
      <c r="D5776">
        <v>149</v>
      </c>
      <c r="E5776">
        <v>9</v>
      </c>
      <c r="F5776">
        <v>6.04</v>
      </c>
      <c r="G5776">
        <v>49.75</v>
      </c>
      <c r="H5776">
        <v>7412.75</v>
      </c>
    </row>
    <row r="5777" spans="1:8" x14ac:dyDescent="0.35">
      <c r="A5777" t="s">
        <v>7</v>
      </c>
      <c r="B5777" t="s">
        <v>12</v>
      </c>
      <c r="C5777" t="s">
        <v>10</v>
      </c>
      <c r="D5777">
        <v>300</v>
      </c>
      <c r="E5777">
        <v>12</v>
      </c>
      <c r="F5777">
        <v>4</v>
      </c>
      <c r="G5777">
        <v>28.48</v>
      </c>
      <c r="H5777">
        <v>8544</v>
      </c>
    </row>
    <row r="5778" spans="1:8" x14ac:dyDescent="0.35">
      <c r="A5778" t="s">
        <v>5</v>
      </c>
      <c r="B5778" t="s">
        <v>12</v>
      </c>
      <c r="C5778" t="s">
        <v>9</v>
      </c>
      <c r="D5778">
        <v>200</v>
      </c>
      <c r="E5778">
        <v>7</v>
      </c>
      <c r="F5778">
        <v>3.5</v>
      </c>
      <c r="G5778">
        <v>27.06</v>
      </c>
      <c r="H5778">
        <v>5412</v>
      </c>
    </row>
    <row r="5779" spans="1:8" x14ac:dyDescent="0.35">
      <c r="A5779" t="s">
        <v>7</v>
      </c>
      <c r="B5779" t="s">
        <v>12</v>
      </c>
      <c r="C5779" t="s">
        <v>10</v>
      </c>
      <c r="D5779">
        <v>124</v>
      </c>
      <c r="E5779">
        <v>7</v>
      </c>
      <c r="F5779">
        <v>5.65</v>
      </c>
      <c r="G5779">
        <v>43.92</v>
      </c>
      <c r="H5779">
        <v>5446.08</v>
      </c>
    </row>
    <row r="5780" spans="1:8" x14ac:dyDescent="0.35">
      <c r="A5780" t="s">
        <v>6</v>
      </c>
      <c r="B5780" t="s">
        <v>12</v>
      </c>
      <c r="C5780" t="s">
        <v>9</v>
      </c>
      <c r="D5780">
        <v>129</v>
      </c>
      <c r="E5780">
        <v>11</v>
      </c>
      <c r="F5780">
        <v>8.5299999999999994</v>
      </c>
      <c r="G5780">
        <v>24.02</v>
      </c>
      <c r="H5780">
        <v>3098.58</v>
      </c>
    </row>
    <row r="5781" spans="1:8" x14ac:dyDescent="0.35">
      <c r="A5781" t="s">
        <v>8</v>
      </c>
      <c r="B5781" t="s">
        <v>12</v>
      </c>
      <c r="C5781" t="s">
        <v>9</v>
      </c>
      <c r="D5781">
        <v>179</v>
      </c>
      <c r="E5781">
        <v>17</v>
      </c>
      <c r="F5781">
        <v>9.5</v>
      </c>
      <c r="G5781">
        <v>19.64</v>
      </c>
      <c r="H5781">
        <v>3515.56</v>
      </c>
    </row>
    <row r="5782" spans="1:8" x14ac:dyDescent="0.35">
      <c r="A5782" t="s">
        <v>7</v>
      </c>
      <c r="B5782" t="s">
        <v>12</v>
      </c>
      <c r="C5782" t="s">
        <v>9</v>
      </c>
      <c r="D5782">
        <v>240</v>
      </c>
      <c r="E5782">
        <v>10</v>
      </c>
      <c r="F5782">
        <v>4.17</v>
      </c>
      <c r="G5782">
        <v>6.12</v>
      </c>
      <c r="H5782">
        <v>1468.8</v>
      </c>
    </row>
    <row r="5783" spans="1:8" x14ac:dyDescent="0.35">
      <c r="A5783" t="s">
        <v>7</v>
      </c>
      <c r="B5783" t="s">
        <v>12</v>
      </c>
      <c r="C5783" t="s">
        <v>9</v>
      </c>
      <c r="D5783">
        <v>110</v>
      </c>
      <c r="E5783">
        <v>9</v>
      </c>
      <c r="F5783">
        <v>8.18</v>
      </c>
      <c r="G5783">
        <v>56.63</v>
      </c>
      <c r="H5783">
        <v>6229.3</v>
      </c>
    </row>
    <row r="5784" spans="1:8" x14ac:dyDescent="0.35">
      <c r="A5784" t="s">
        <v>7</v>
      </c>
      <c r="B5784" t="s">
        <v>12</v>
      </c>
      <c r="C5784" t="s">
        <v>9</v>
      </c>
      <c r="D5784">
        <v>247</v>
      </c>
      <c r="E5784">
        <v>3</v>
      </c>
      <c r="F5784">
        <v>1.21</v>
      </c>
      <c r="G5784">
        <v>39.450000000000003</v>
      </c>
      <c r="H5784">
        <v>9744.15</v>
      </c>
    </row>
    <row r="5785" spans="1:8" x14ac:dyDescent="0.35">
      <c r="A5785" t="s">
        <v>6</v>
      </c>
      <c r="B5785" t="s">
        <v>12</v>
      </c>
      <c r="C5785" t="s">
        <v>9</v>
      </c>
      <c r="D5785">
        <v>70</v>
      </c>
      <c r="E5785">
        <v>4</v>
      </c>
      <c r="F5785">
        <v>5.71</v>
      </c>
      <c r="G5785">
        <v>26.78</v>
      </c>
      <c r="H5785">
        <v>1874.6</v>
      </c>
    </row>
    <row r="5786" spans="1:8" x14ac:dyDescent="0.35">
      <c r="A5786" t="s">
        <v>5</v>
      </c>
      <c r="B5786" t="s">
        <v>12</v>
      </c>
      <c r="C5786" t="s">
        <v>9</v>
      </c>
      <c r="D5786">
        <v>295</v>
      </c>
      <c r="E5786">
        <v>2</v>
      </c>
      <c r="F5786">
        <v>0.68</v>
      </c>
      <c r="G5786">
        <v>25.07</v>
      </c>
      <c r="H5786">
        <v>7395.65</v>
      </c>
    </row>
    <row r="5787" spans="1:8" x14ac:dyDescent="0.35">
      <c r="A5787" t="s">
        <v>8</v>
      </c>
      <c r="B5787" t="s">
        <v>12</v>
      </c>
      <c r="C5787" t="s">
        <v>9</v>
      </c>
      <c r="D5787">
        <v>207</v>
      </c>
      <c r="E5787">
        <v>13</v>
      </c>
      <c r="F5787">
        <v>6.28</v>
      </c>
      <c r="G5787">
        <v>31.74</v>
      </c>
      <c r="H5787">
        <v>6570.18</v>
      </c>
    </row>
    <row r="5788" spans="1:8" x14ac:dyDescent="0.35">
      <c r="A5788" t="s">
        <v>6</v>
      </c>
      <c r="B5788" t="s">
        <v>12</v>
      </c>
      <c r="C5788" t="s">
        <v>9</v>
      </c>
      <c r="D5788">
        <v>213</v>
      </c>
      <c r="E5788">
        <v>21</v>
      </c>
      <c r="F5788">
        <v>9.86</v>
      </c>
      <c r="G5788">
        <v>44.18</v>
      </c>
      <c r="H5788">
        <v>9410.34</v>
      </c>
    </row>
    <row r="5789" spans="1:8" x14ac:dyDescent="0.35">
      <c r="A5789" t="s">
        <v>7</v>
      </c>
      <c r="B5789" t="s">
        <v>12</v>
      </c>
      <c r="C5789" t="s">
        <v>9</v>
      </c>
      <c r="D5789">
        <v>186</v>
      </c>
      <c r="E5789">
        <v>15</v>
      </c>
      <c r="F5789">
        <v>8.06</v>
      </c>
      <c r="G5789">
        <v>26.63</v>
      </c>
      <c r="H5789">
        <v>4953.18</v>
      </c>
    </row>
    <row r="5790" spans="1:8" x14ac:dyDescent="0.35">
      <c r="A5790" t="s">
        <v>7</v>
      </c>
      <c r="B5790" t="s">
        <v>12</v>
      </c>
      <c r="C5790" t="s">
        <v>9</v>
      </c>
      <c r="D5790">
        <v>241</v>
      </c>
      <c r="E5790">
        <v>23</v>
      </c>
      <c r="F5790">
        <v>9.5399999999999991</v>
      </c>
      <c r="G5790">
        <v>62.78</v>
      </c>
      <c r="H5790">
        <v>15129.98</v>
      </c>
    </row>
    <row r="5791" spans="1:8" x14ac:dyDescent="0.35">
      <c r="A5791" t="s">
        <v>5</v>
      </c>
      <c r="B5791" t="s">
        <v>12</v>
      </c>
      <c r="C5791" t="s">
        <v>9</v>
      </c>
      <c r="D5791">
        <v>154</v>
      </c>
      <c r="E5791">
        <v>8</v>
      </c>
      <c r="F5791">
        <v>5.19</v>
      </c>
      <c r="G5791">
        <v>54.4</v>
      </c>
      <c r="H5791">
        <v>8377.6</v>
      </c>
    </row>
    <row r="5792" spans="1:8" x14ac:dyDescent="0.35">
      <c r="A5792" t="s">
        <v>6</v>
      </c>
      <c r="B5792" t="s">
        <v>12</v>
      </c>
      <c r="C5792" t="s">
        <v>11</v>
      </c>
      <c r="D5792">
        <v>144</v>
      </c>
      <c r="E5792">
        <v>6</v>
      </c>
      <c r="F5792">
        <v>4.17</v>
      </c>
      <c r="G5792">
        <v>35.090000000000003</v>
      </c>
      <c r="H5792">
        <v>5052.96</v>
      </c>
    </row>
    <row r="5793" spans="1:8" x14ac:dyDescent="0.35">
      <c r="A5793" t="s">
        <v>6</v>
      </c>
      <c r="B5793" t="s">
        <v>12</v>
      </c>
      <c r="C5793" t="s">
        <v>9</v>
      </c>
      <c r="D5793">
        <v>86</v>
      </c>
      <c r="E5793">
        <v>2</v>
      </c>
      <c r="F5793">
        <v>2.33</v>
      </c>
      <c r="G5793">
        <v>38.39</v>
      </c>
      <c r="H5793">
        <v>3301.54</v>
      </c>
    </row>
    <row r="5794" spans="1:8" x14ac:dyDescent="0.35">
      <c r="A5794" t="s">
        <v>7</v>
      </c>
      <c r="B5794" t="s">
        <v>12</v>
      </c>
      <c r="C5794" t="s">
        <v>9</v>
      </c>
      <c r="D5794">
        <v>257</v>
      </c>
      <c r="E5794">
        <v>25</v>
      </c>
      <c r="F5794">
        <v>9.73</v>
      </c>
      <c r="G5794">
        <v>23.88</v>
      </c>
      <c r="H5794">
        <v>6137.16</v>
      </c>
    </row>
    <row r="5795" spans="1:8" x14ac:dyDescent="0.35">
      <c r="A5795" t="s">
        <v>8</v>
      </c>
      <c r="B5795" t="s">
        <v>12</v>
      </c>
      <c r="C5795" t="s">
        <v>9</v>
      </c>
      <c r="D5795">
        <v>114</v>
      </c>
      <c r="E5795">
        <v>11</v>
      </c>
      <c r="F5795">
        <v>9.65</v>
      </c>
      <c r="G5795">
        <v>12.36</v>
      </c>
      <c r="H5795">
        <v>1409.04</v>
      </c>
    </row>
    <row r="5796" spans="1:8" x14ac:dyDescent="0.35">
      <c r="A5796" t="s">
        <v>7</v>
      </c>
      <c r="B5796" t="s">
        <v>12</v>
      </c>
      <c r="C5796" t="s">
        <v>9</v>
      </c>
      <c r="D5796">
        <v>153</v>
      </c>
      <c r="E5796">
        <v>9</v>
      </c>
      <c r="F5796">
        <v>5.88</v>
      </c>
      <c r="G5796">
        <v>21.17</v>
      </c>
      <c r="H5796">
        <v>3239.01</v>
      </c>
    </row>
    <row r="5797" spans="1:8" x14ac:dyDescent="0.35">
      <c r="A5797" t="s">
        <v>7</v>
      </c>
      <c r="B5797" t="s">
        <v>12</v>
      </c>
      <c r="C5797" t="s">
        <v>10</v>
      </c>
      <c r="D5797">
        <v>292</v>
      </c>
      <c r="E5797">
        <v>24</v>
      </c>
      <c r="F5797">
        <v>8.2200000000000006</v>
      </c>
      <c r="G5797">
        <v>50.65</v>
      </c>
      <c r="H5797">
        <v>14789.8</v>
      </c>
    </row>
    <row r="5798" spans="1:8" x14ac:dyDescent="0.35">
      <c r="A5798" t="s">
        <v>6</v>
      </c>
      <c r="B5798" t="s">
        <v>12</v>
      </c>
      <c r="C5798" t="s">
        <v>11</v>
      </c>
      <c r="D5798">
        <v>188</v>
      </c>
      <c r="E5798">
        <v>2</v>
      </c>
      <c r="F5798">
        <v>1.06</v>
      </c>
      <c r="G5798">
        <v>48.39</v>
      </c>
      <c r="H5798">
        <v>9097.32</v>
      </c>
    </row>
    <row r="5799" spans="1:8" x14ac:dyDescent="0.35">
      <c r="A5799" t="s">
        <v>5</v>
      </c>
      <c r="B5799" t="s">
        <v>12</v>
      </c>
      <c r="C5799" t="s">
        <v>9</v>
      </c>
      <c r="D5799">
        <v>269</v>
      </c>
      <c r="E5799">
        <v>3</v>
      </c>
      <c r="F5799">
        <v>1.1200000000000001</v>
      </c>
      <c r="G5799">
        <v>59.04</v>
      </c>
      <c r="H5799">
        <v>15881.76</v>
      </c>
    </row>
    <row r="5800" spans="1:8" x14ac:dyDescent="0.35">
      <c r="A5800" t="s">
        <v>6</v>
      </c>
      <c r="B5800" t="s">
        <v>12</v>
      </c>
      <c r="C5800" t="s">
        <v>9</v>
      </c>
      <c r="D5800">
        <v>271</v>
      </c>
      <c r="E5800">
        <v>14</v>
      </c>
      <c r="F5800">
        <v>5.17</v>
      </c>
      <c r="G5800">
        <v>42.36</v>
      </c>
      <c r="H5800">
        <v>11479.56</v>
      </c>
    </row>
    <row r="5801" spans="1:8" x14ac:dyDescent="0.35">
      <c r="A5801" t="s">
        <v>8</v>
      </c>
      <c r="B5801" t="s">
        <v>12</v>
      </c>
      <c r="C5801" t="s">
        <v>9</v>
      </c>
      <c r="D5801">
        <v>253</v>
      </c>
      <c r="E5801">
        <v>19</v>
      </c>
      <c r="F5801">
        <v>7.51</v>
      </c>
      <c r="G5801">
        <v>16.7</v>
      </c>
      <c r="H5801">
        <v>4225.1000000000004</v>
      </c>
    </row>
    <row r="5802" spans="1:8" x14ac:dyDescent="0.35">
      <c r="A5802" t="s">
        <v>7</v>
      </c>
      <c r="B5802" t="s">
        <v>12</v>
      </c>
      <c r="C5802" t="s">
        <v>9</v>
      </c>
      <c r="D5802">
        <v>170</v>
      </c>
      <c r="E5802">
        <v>6</v>
      </c>
      <c r="F5802">
        <v>3.53</v>
      </c>
      <c r="G5802">
        <v>9.68</v>
      </c>
      <c r="H5802">
        <v>1645.6</v>
      </c>
    </row>
    <row r="5803" spans="1:8" x14ac:dyDescent="0.35">
      <c r="A5803" t="s">
        <v>5</v>
      </c>
      <c r="B5803" t="s">
        <v>12</v>
      </c>
      <c r="C5803" t="s">
        <v>9</v>
      </c>
      <c r="D5803">
        <v>256</v>
      </c>
      <c r="E5803">
        <v>15</v>
      </c>
      <c r="F5803">
        <v>5.86</v>
      </c>
      <c r="G5803">
        <v>52.94</v>
      </c>
      <c r="H5803">
        <v>13552.64</v>
      </c>
    </row>
    <row r="5804" spans="1:8" x14ac:dyDescent="0.35">
      <c r="A5804" t="s">
        <v>8</v>
      </c>
      <c r="B5804" t="s">
        <v>12</v>
      </c>
      <c r="C5804" t="s">
        <v>9</v>
      </c>
      <c r="D5804">
        <v>117</v>
      </c>
      <c r="E5804">
        <v>3</v>
      </c>
      <c r="F5804">
        <v>2.56</v>
      </c>
      <c r="G5804">
        <v>16.55</v>
      </c>
      <c r="H5804">
        <v>1936.35</v>
      </c>
    </row>
    <row r="5805" spans="1:8" x14ac:dyDescent="0.35">
      <c r="A5805" t="s">
        <v>7</v>
      </c>
      <c r="B5805" t="s">
        <v>12</v>
      </c>
      <c r="C5805" t="s">
        <v>9</v>
      </c>
      <c r="D5805">
        <v>277</v>
      </c>
      <c r="E5805">
        <v>26</v>
      </c>
      <c r="F5805">
        <v>9.39</v>
      </c>
      <c r="G5805">
        <v>27.29</v>
      </c>
      <c r="H5805">
        <v>7559.33</v>
      </c>
    </row>
    <row r="5806" spans="1:8" x14ac:dyDescent="0.35">
      <c r="A5806" t="s">
        <v>6</v>
      </c>
      <c r="B5806" t="s">
        <v>12</v>
      </c>
      <c r="C5806" t="s">
        <v>11</v>
      </c>
      <c r="D5806">
        <v>299</v>
      </c>
      <c r="E5806">
        <v>25</v>
      </c>
      <c r="F5806">
        <v>8.36</v>
      </c>
      <c r="G5806">
        <v>13.91</v>
      </c>
      <c r="H5806">
        <v>4159.09</v>
      </c>
    </row>
    <row r="5807" spans="1:8" x14ac:dyDescent="0.35">
      <c r="A5807" t="s">
        <v>5</v>
      </c>
      <c r="B5807" t="s">
        <v>12</v>
      </c>
      <c r="C5807" t="s">
        <v>9</v>
      </c>
      <c r="D5807">
        <v>268</v>
      </c>
      <c r="E5807">
        <v>18</v>
      </c>
      <c r="F5807">
        <v>6.72</v>
      </c>
      <c r="G5807">
        <v>49.97</v>
      </c>
      <c r="H5807">
        <v>13391.96</v>
      </c>
    </row>
    <row r="5808" spans="1:8" x14ac:dyDescent="0.35">
      <c r="A5808" t="s">
        <v>7</v>
      </c>
      <c r="B5808" t="s">
        <v>12</v>
      </c>
      <c r="C5808" t="s">
        <v>9</v>
      </c>
      <c r="D5808">
        <v>51</v>
      </c>
      <c r="E5808">
        <v>2</v>
      </c>
      <c r="F5808">
        <v>3.92</v>
      </c>
      <c r="G5808">
        <v>67.260000000000005</v>
      </c>
      <c r="H5808">
        <v>3430.26</v>
      </c>
    </row>
    <row r="5809" spans="1:8" x14ac:dyDescent="0.35">
      <c r="A5809" t="s">
        <v>5</v>
      </c>
      <c r="B5809" t="s">
        <v>12</v>
      </c>
      <c r="C5809" t="s">
        <v>9</v>
      </c>
      <c r="D5809">
        <v>169</v>
      </c>
      <c r="E5809">
        <v>10</v>
      </c>
      <c r="F5809">
        <v>5.92</v>
      </c>
      <c r="G5809">
        <v>45.65</v>
      </c>
      <c r="H5809">
        <v>7714.85</v>
      </c>
    </row>
    <row r="5810" spans="1:8" x14ac:dyDescent="0.35">
      <c r="A5810" t="s">
        <v>7</v>
      </c>
      <c r="B5810" t="s">
        <v>12</v>
      </c>
      <c r="C5810" t="s">
        <v>10</v>
      </c>
      <c r="D5810">
        <v>184</v>
      </c>
      <c r="E5810">
        <v>16</v>
      </c>
      <c r="F5810">
        <v>8.6999999999999993</v>
      </c>
      <c r="G5810">
        <v>47.94</v>
      </c>
      <c r="H5810">
        <v>8820.9599999999991</v>
      </c>
    </row>
    <row r="5811" spans="1:8" x14ac:dyDescent="0.35">
      <c r="A5811" t="s">
        <v>7</v>
      </c>
      <c r="B5811" t="s">
        <v>12</v>
      </c>
      <c r="C5811" t="s">
        <v>10</v>
      </c>
      <c r="D5811">
        <v>65</v>
      </c>
      <c r="E5811">
        <v>6</v>
      </c>
      <c r="F5811">
        <v>9.23</v>
      </c>
      <c r="G5811">
        <v>20.56</v>
      </c>
      <c r="H5811">
        <v>1336.4</v>
      </c>
    </row>
    <row r="5812" spans="1:8" x14ac:dyDescent="0.35">
      <c r="A5812" t="s">
        <v>6</v>
      </c>
      <c r="B5812" t="s">
        <v>12</v>
      </c>
      <c r="C5812" t="s">
        <v>9</v>
      </c>
      <c r="D5812">
        <v>180</v>
      </c>
      <c r="E5812">
        <v>7</v>
      </c>
      <c r="F5812">
        <v>3.89</v>
      </c>
      <c r="G5812">
        <v>9.08</v>
      </c>
      <c r="H5812">
        <v>1634.4</v>
      </c>
    </row>
    <row r="5813" spans="1:8" x14ac:dyDescent="0.35">
      <c r="A5813" t="s">
        <v>7</v>
      </c>
      <c r="B5813" t="s">
        <v>12</v>
      </c>
      <c r="C5813" t="s">
        <v>9</v>
      </c>
      <c r="D5813">
        <v>268</v>
      </c>
      <c r="E5813">
        <v>22</v>
      </c>
      <c r="F5813">
        <v>8.2100000000000009</v>
      </c>
      <c r="G5813">
        <v>50.07</v>
      </c>
      <c r="H5813">
        <v>13418.76</v>
      </c>
    </row>
    <row r="5814" spans="1:8" x14ac:dyDescent="0.35">
      <c r="A5814" t="s">
        <v>5</v>
      </c>
      <c r="B5814" t="s">
        <v>12</v>
      </c>
      <c r="C5814" t="s">
        <v>9</v>
      </c>
      <c r="D5814">
        <v>218</v>
      </c>
      <c r="E5814">
        <v>13</v>
      </c>
      <c r="F5814">
        <v>5.96</v>
      </c>
      <c r="G5814">
        <v>45.41</v>
      </c>
      <c r="H5814">
        <v>9899.3799999999992</v>
      </c>
    </row>
    <row r="5815" spans="1:8" x14ac:dyDescent="0.35">
      <c r="A5815" t="s">
        <v>6</v>
      </c>
      <c r="B5815" t="s">
        <v>12</v>
      </c>
      <c r="C5815" t="s">
        <v>11</v>
      </c>
      <c r="D5815">
        <v>226</v>
      </c>
      <c r="E5815">
        <v>12</v>
      </c>
      <c r="F5815">
        <v>5.31</v>
      </c>
      <c r="G5815">
        <v>8.5299999999999994</v>
      </c>
      <c r="H5815">
        <v>1927.78</v>
      </c>
    </row>
    <row r="5816" spans="1:8" x14ac:dyDescent="0.35">
      <c r="A5816" t="s">
        <v>7</v>
      </c>
      <c r="B5816" t="s">
        <v>12</v>
      </c>
      <c r="C5816" t="s">
        <v>9</v>
      </c>
      <c r="D5816">
        <v>58</v>
      </c>
      <c r="E5816">
        <v>1</v>
      </c>
      <c r="F5816">
        <v>1.72</v>
      </c>
      <c r="G5816">
        <v>32.21</v>
      </c>
      <c r="H5816">
        <v>1868.18</v>
      </c>
    </row>
    <row r="5817" spans="1:8" x14ac:dyDescent="0.35">
      <c r="A5817" t="s">
        <v>6</v>
      </c>
      <c r="B5817" t="s">
        <v>12</v>
      </c>
      <c r="C5817" t="s">
        <v>9</v>
      </c>
      <c r="D5817">
        <v>268</v>
      </c>
      <c r="E5817">
        <v>9</v>
      </c>
      <c r="F5817">
        <v>3.36</v>
      </c>
      <c r="G5817">
        <v>21.26</v>
      </c>
      <c r="H5817">
        <v>5697.68</v>
      </c>
    </row>
    <row r="5818" spans="1:8" x14ac:dyDescent="0.35">
      <c r="A5818" t="s">
        <v>6</v>
      </c>
      <c r="B5818" t="s">
        <v>12</v>
      </c>
      <c r="C5818" t="s">
        <v>11</v>
      </c>
      <c r="D5818">
        <v>152</v>
      </c>
      <c r="E5818">
        <v>1</v>
      </c>
      <c r="F5818">
        <v>0.66</v>
      </c>
      <c r="G5818">
        <v>39.26</v>
      </c>
      <c r="H5818">
        <v>5967.52</v>
      </c>
    </row>
    <row r="5819" spans="1:8" x14ac:dyDescent="0.35">
      <c r="A5819" t="s">
        <v>5</v>
      </c>
      <c r="B5819" t="s">
        <v>12</v>
      </c>
      <c r="C5819" t="s">
        <v>9</v>
      </c>
      <c r="D5819">
        <v>175</v>
      </c>
      <c r="E5819">
        <v>11</v>
      </c>
      <c r="F5819">
        <v>6.29</v>
      </c>
      <c r="G5819">
        <v>51.42</v>
      </c>
      <c r="H5819">
        <v>8998.5</v>
      </c>
    </row>
    <row r="5820" spans="1:8" x14ac:dyDescent="0.35">
      <c r="A5820" t="s">
        <v>5</v>
      </c>
      <c r="B5820" t="s">
        <v>12</v>
      </c>
      <c r="C5820" t="s">
        <v>9</v>
      </c>
      <c r="D5820">
        <v>214</v>
      </c>
      <c r="E5820">
        <v>2</v>
      </c>
      <c r="F5820">
        <v>0.93</v>
      </c>
      <c r="G5820">
        <v>65.849999999999994</v>
      </c>
      <c r="H5820">
        <v>14091.9</v>
      </c>
    </row>
    <row r="5821" spans="1:8" x14ac:dyDescent="0.35">
      <c r="A5821" t="s">
        <v>5</v>
      </c>
      <c r="B5821" t="s">
        <v>12</v>
      </c>
      <c r="C5821" t="s">
        <v>9</v>
      </c>
      <c r="D5821">
        <v>240</v>
      </c>
      <c r="E5821">
        <v>18</v>
      </c>
      <c r="F5821">
        <v>7.5</v>
      </c>
      <c r="G5821">
        <v>45.89</v>
      </c>
      <c r="H5821">
        <v>11013.6</v>
      </c>
    </row>
    <row r="5822" spans="1:8" x14ac:dyDescent="0.35">
      <c r="A5822" t="s">
        <v>6</v>
      </c>
      <c r="B5822" t="s">
        <v>12</v>
      </c>
      <c r="C5822" t="s">
        <v>11</v>
      </c>
      <c r="D5822">
        <v>281</v>
      </c>
      <c r="E5822">
        <v>4</v>
      </c>
      <c r="F5822">
        <v>1.42</v>
      </c>
      <c r="G5822">
        <v>27.27</v>
      </c>
      <c r="H5822">
        <v>7662.87</v>
      </c>
    </row>
    <row r="5823" spans="1:8" x14ac:dyDescent="0.35">
      <c r="A5823" t="s">
        <v>5</v>
      </c>
      <c r="B5823" t="s">
        <v>12</v>
      </c>
      <c r="C5823" t="s">
        <v>9</v>
      </c>
      <c r="D5823">
        <v>238</v>
      </c>
      <c r="E5823">
        <v>5</v>
      </c>
      <c r="F5823">
        <v>2.1</v>
      </c>
      <c r="G5823">
        <v>69.55</v>
      </c>
      <c r="H5823">
        <v>16552.900000000001</v>
      </c>
    </row>
    <row r="5824" spans="1:8" x14ac:dyDescent="0.35">
      <c r="A5824" t="s">
        <v>8</v>
      </c>
      <c r="B5824" t="s">
        <v>12</v>
      </c>
      <c r="C5824" t="s">
        <v>9</v>
      </c>
      <c r="D5824">
        <v>50</v>
      </c>
      <c r="E5824">
        <v>4</v>
      </c>
      <c r="F5824">
        <v>8</v>
      </c>
      <c r="G5824">
        <v>27.17</v>
      </c>
      <c r="H5824">
        <v>1358.5</v>
      </c>
    </row>
    <row r="5825" spans="1:8" x14ac:dyDescent="0.35">
      <c r="A5825" t="s">
        <v>8</v>
      </c>
      <c r="B5825" t="s">
        <v>12</v>
      </c>
      <c r="C5825" t="s">
        <v>9</v>
      </c>
      <c r="D5825">
        <v>233</v>
      </c>
      <c r="E5825">
        <v>0</v>
      </c>
      <c r="F5825">
        <v>0</v>
      </c>
      <c r="G5825">
        <v>68.790000000000006</v>
      </c>
      <c r="H5825">
        <v>16028.07</v>
      </c>
    </row>
    <row r="5826" spans="1:8" x14ac:dyDescent="0.35">
      <c r="A5826" t="s">
        <v>5</v>
      </c>
      <c r="B5826" t="s">
        <v>12</v>
      </c>
      <c r="C5826" t="s">
        <v>9</v>
      </c>
      <c r="D5826">
        <v>53</v>
      </c>
      <c r="E5826">
        <v>1</v>
      </c>
      <c r="F5826">
        <v>1.89</v>
      </c>
      <c r="G5826">
        <v>61.1</v>
      </c>
      <c r="H5826">
        <v>3238.3</v>
      </c>
    </row>
    <row r="5827" spans="1:8" x14ac:dyDescent="0.35">
      <c r="A5827" t="s">
        <v>7</v>
      </c>
      <c r="B5827" t="s">
        <v>12</v>
      </c>
      <c r="C5827" t="s">
        <v>10</v>
      </c>
      <c r="D5827">
        <v>298</v>
      </c>
      <c r="E5827">
        <v>20</v>
      </c>
      <c r="F5827">
        <v>6.71</v>
      </c>
      <c r="G5827">
        <v>24.41</v>
      </c>
      <c r="H5827">
        <v>7274.18</v>
      </c>
    </row>
    <row r="5828" spans="1:8" x14ac:dyDescent="0.35">
      <c r="A5828" t="s">
        <v>6</v>
      </c>
      <c r="B5828" t="s">
        <v>12</v>
      </c>
      <c r="C5828" t="s">
        <v>11</v>
      </c>
      <c r="D5828">
        <v>183</v>
      </c>
      <c r="E5828">
        <v>4</v>
      </c>
      <c r="F5828">
        <v>2.19</v>
      </c>
      <c r="G5828">
        <v>5.35</v>
      </c>
      <c r="H5828">
        <v>979.05</v>
      </c>
    </row>
    <row r="5829" spans="1:8" x14ac:dyDescent="0.35">
      <c r="A5829" t="s">
        <v>6</v>
      </c>
      <c r="B5829" t="s">
        <v>12</v>
      </c>
      <c r="C5829" t="s">
        <v>9</v>
      </c>
      <c r="D5829">
        <v>269</v>
      </c>
      <c r="E5829">
        <v>5</v>
      </c>
      <c r="F5829">
        <v>1.86</v>
      </c>
      <c r="G5829">
        <v>62.05</v>
      </c>
      <c r="H5829">
        <v>16691.45</v>
      </c>
    </row>
    <row r="5830" spans="1:8" x14ac:dyDescent="0.35">
      <c r="A5830" t="s">
        <v>7</v>
      </c>
      <c r="B5830" t="s">
        <v>12</v>
      </c>
      <c r="C5830" t="s">
        <v>9</v>
      </c>
      <c r="D5830">
        <v>164</v>
      </c>
      <c r="E5830">
        <v>10</v>
      </c>
      <c r="F5830">
        <v>6.1</v>
      </c>
      <c r="G5830">
        <v>10.26</v>
      </c>
      <c r="H5830">
        <v>1682.64</v>
      </c>
    </row>
    <row r="5831" spans="1:8" x14ac:dyDescent="0.35">
      <c r="A5831" t="s">
        <v>5</v>
      </c>
      <c r="B5831" t="s">
        <v>12</v>
      </c>
      <c r="C5831" t="s">
        <v>9</v>
      </c>
      <c r="D5831">
        <v>241</v>
      </c>
      <c r="E5831">
        <v>15</v>
      </c>
      <c r="F5831">
        <v>6.22</v>
      </c>
      <c r="G5831">
        <v>56.41</v>
      </c>
      <c r="H5831">
        <v>13594.81</v>
      </c>
    </row>
    <row r="5832" spans="1:8" x14ac:dyDescent="0.35">
      <c r="A5832" t="s">
        <v>8</v>
      </c>
      <c r="B5832" t="s">
        <v>12</v>
      </c>
      <c r="C5832" t="s">
        <v>9</v>
      </c>
      <c r="D5832">
        <v>90</v>
      </c>
      <c r="E5832">
        <v>4</v>
      </c>
      <c r="F5832">
        <v>4.4400000000000004</v>
      </c>
      <c r="G5832">
        <v>29.46</v>
      </c>
      <c r="H5832">
        <v>2651.4</v>
      </c>
    </row>
    <row r="5833" spans="1:8" x14ac:dyDescent="0.35">
      <c r="A5833" t="s">
        <v>7</v>
      </c>
      <c r="B5833" t="s">
        <v>12</v>
      </c>
      <c r="C5833" t="s">
        <v>10</v>
      </c>
      <c r="D5833">
        <v>90</v>
      </c>
      <c r="E5833">
        <v>9</v>
      </c>
      <c r="F5833">
        <v>10</v>
      </c>
      <c r="G5833">
        <v>69.22</v>
      </c>
      <c r="H5833">
        <v>6229.8</v>
      </c>
    </row>
    <row r="5834" spans="1:8" x14ac:dyDescent="0.35">
      <c r="A5834" t="s">
        <v>7</v>
      </c>
      <c r="B5834" t="s">
        <v>12</v>
      </c>
      <c r="C5834" t="s">
        <v>10</v>
      </c>
      <c r="D5834">
        <v>174</v>
      </c>
      <c r="E5834">
        <v>15</v>
      </c>
      <c r="F5834">
        <v>8.6199999999999992</v>
      </c>
      <c r="G5834">
        <v>41.71</v>
      </c>
      <c r="H5834">
        <v>7257.54</v>
      </c>
    </row>
    <row r="5835" spans="1:8" x14ac:dyDescent="0.35">
      <c r="A5835" t="s">
        <v>5</v>
      </c>
      <c r="B5835" t="s">
        <v>12</v>
      </c>
      <c r="C5835" t="s">
        <v>9</v>
      </c>
      <c r="D5835">
        <v>78</v>
      </c>
      <c r="E5835">
        <v>6</v>
      </c>
      <c r="F5835">
        <v>7.69</v>
      </c>
      <c r="G5835">
        <v>68.400000000000006</v>
      </c>
      <c r="H5835">
        <v>5335.2</v>
      </c>
    </row>
    <row r="5836" spans="1:8" x14ac:dyDescent="0.35">
      <c r="A5836" t="s">
        <v>7</v>
      </c>
      <c r="B5836" t="s">
        <v>12</v>
      </c>
      <c r="C5836" t="s">
        <v>10</v>
      </c>
      <c r="D5836">
        <v>150</v>
      </c>
      <c r="E5836">
        <v>0</v>
      </c>
      <c r="F5836">
        <v>0</v>
      </c>
      <c r="G5836">
        <v>63.58</v>
      </c>
      <c r="H5836">
        <v>9537</v>
      </c>
    </row>
    <row r="5837" spans="1:8" x14ac:dyDescent="0.35">
      <c r="A5837" t="s">
        <v>6</v>
      </c>
      <c r="B5837" t="s">
        <v>12</v>
      </c>
      <c r="C5837" t="s">
        <v>11</v>
      </c>
      <c r="D5837">
        <v>149</v>
      </c>
      <c r="E5837">
        <v>14</v>
      </c>
      <c r="F5837">
        <v>9.4</v>
      </c>
      <c r="G5837">
        <v>12.89</v>
      </c>
      <c r="H5837">
        <v>1920.61</v>
      </c>
    </row>
    <row r="5838" spans="1:8" x14ac:dyDescent="0.35">
      <c r="A5838" t="s">
        <v>6</v>
      </c>
      <c r="B5838" t="s">
        <v>12</v>
      </c>
      <c r="C5838" t="s">
        <v>9</v>
      </c>
      <c r="D5838">
        <v>62</v>
      </c>
      <c r="E5838">
        <v>0</v>
      </c>
      <c r="F5838">
        <v>0</v>
      </c>
      <c r="G5838">
        <v>14.26</v>
      </c>
      <c r="H5838">
        <v>884.12</v>
      </c>
    </row>
    <row r="5839" spans="1:8" x14ac:dyDescent="0.35">
      <c r="A5839" t="s">
        <v>6</v>
      </c>
      <c r="B5839" t="s">
        <v>12</v>
      </c>
      <c r="C5839" t="s">
        <v>11</v>
      </c>
      <c r="D5839">
        <v>295</v>
      </c>
      <c r="E5839">
        <v>18</v>
      </c>
      <c r="F5839">
        <v>6.1</v>
      </c>
      <c r="G5839">
        <v>45.66</v>
      </c>
      <c r="H5839">
        <v>13469.7</v>
      </c>
    </row>
    <row r="5840" spans="1:8" x14ac:dyDescent="0.35">
      <c r="A5840" t="s">
        <v>5</v>
      </c>
      <c r="B5840" t="s">
        <v>12</v>
      </c>
      <c r="C5840" t="s">
        <v>9</v>
      </c>
      <c r="D5840">
        <v>93</v>
      </c>
      <c r="E5840">
        <v>2</v>
      </c>
      <c r="F5840">
        <v>2.15</v>
      </c>
      <c r="G5840">
        <v>31.16</v>
      </c>
      <c r="H5840">
        <v>2897.88</v>
      </c>
    </row>
    <row r="5841" spans="1:8" x14ac:dyDescent="0.35">
      <c r="A5841" t="s">
        <v>6</v>
      </c>
      <c r="B5841" t="s">
        <v>12</v>
      </c>
      <c r="C5841" t="s">
        <v>9</v>
      </c>
      <c r="D5841">
        <v>87</v>
      </c>
      <c r="E5841">
        <v>5</v>
      </c>
      <c r="F5841">
        <v>5.75</v>
      </c>
      <c r="G5841">
        <v>30.88</v>
      </c>
      <c r="H5841">
        <v>2686.56</v>
      </c>
    </row>
    <row r="5842" spans="1:8" x14ac:dyDescent="0.35">
      <c r="A5842" t="s">
        <v>6</v>
      </c>
      <c r="B5842" t="s">
        <v>12</v>
      </c>
      <c r="C5842" t="s">
        <v>11</v>
      </c>
      <c r="D5842">
        <v>87</v>
      </c>
      <c r="E5842">
        <v>2</v>
      </c>
      <c r="F5842">
        <v>2.2999999999999998</v>
      </c>
      <c r="G5842">
        <v>66.12</v>
      </c>
      <c r="H5842">
        <v>5752.44</v>
      </c>
    </row>
    <row r="5843" spans="1:8" x14ac:dyDescent="0.35">
      <c r="A5843" t="s">
        <v>6</v>
      </c>
      <c r="B5843" t="s">
        <v>12</v>
      </c>
      <c r="C5843" t="s">
        <v>9</v>
      </c>
      <c r="D5843">
        <v>51</v>
      </c>
      <c r="E5843">
        <v>0</v>
      </c>
      <c r="F5843">
        <v>0</v>
      </c>
      <c r="G5843">
        <v>37.450000000000003</v>
      </c>
      <c r="H5843">
        <v>1909.95</v>
      </c>
    </row>
    <row r="5844" spans="1:8" x14ac:dyDescent="0.35">
      <c r="A5844" t="s">
        <v>7</v>
      </c>
      <c r="B5844" t="s">
        <v>12</v>
      </c>
      <c r="C5844" t="s">
        <v>10</v>
      </c>
      <c r="D5844">
        <v>228</v>
      </c>
      <c r="E5844">
        <v>7</v>
      </c>
      <c r="F5844">
        <v>3.07</v>
      </c>
      <c r="G5844">
        <v>65.180000000000007</v>
      </c>
      <c r="H5844">
        <v>14861.04</v>
      </c>
    </row>
    <row r="5845" spans="1:8" x14ac:dyDescent="0.35">
      <c r="A5845" t="s">
        <v>5</v>
      </c>
      <c r="B5845" t="s">
        <v>12</v>
      </c>
      <c r="C5845" t="s">
        <v>9</v>
      </c>
      <c r="D5845">
        <v>82</v>
      </c>
      <c r="E5845">
        <v>2</v>
      </c>
      <c r="F5845">
        <v>2.44</v>
      </c>
      <c r="G5845">
        <v>53.46</v>
      </c>
      <c r="H5845">
        <v>4383.72</v>
      </c>
    </row>
    <row r="5846" spans="1:8" x14ac:dyDescent="0.35">
      <c r="A5846" t="s">
        <v>6</v>
      </c>
      <c r="B5846" t="s">
        <v>12</v>
      </c>
      <c r="C5846" t="s">
        <v>9</v>
      </c>
      <c r="D5846">
        <v>175</v>
      </c>
      <c r="E5846">
        <v>5</v>
      </c>
      <c r="F5846">
        <v>2.86</v>
      </c>
      <c r="G5846">
        <v>16.25</v>
      </c>
      <c r="H5846">
        <v>2843.75</v>
      </c>
    </row>
    <row r="5847" spans="1:8" x14ac:dyDescent="0.35">
      <c r="A5847" t="s">
        <v>8</v>
      </c>
      <c r="B5847" t="s">
        <v>12</v>
      </c>
      <c r="C5847" t="s">
        <v>9</v>
      </c>
      <c r="D5847">
        <v>88</v>
      </c>
      <c r="E5847">
        <v>5</v>
      </c>
      <c r="F5847">
        <v>5.68</v>
      </c>
      <c r="G5847">
        <v>22.76</v>
      </c>
      <c r="H5847">
        <v>2002.88</v>
      </c>
    </row>
    <row r="5848" spans="1:8" x14ac:dyDescent="0.35">
      <c r="A5848" t="s">
        <v>6</v>
      </c>
      <c r="B5848" t="s">
        <v>12</v>
      </c>
      <c r="C5848" t="s">
        <v>9</v>
      </c>
      <c r="D5848">
        <v>149</v>
      </c>
      <c r="E5848">
        <v>10</v>
      </c>
      <c r="F5848">
        <v>6.71</v>
      </c>
      <c r="G5848">
        <v>43.95</v>
      </c>
      <c r="H5848">
        <v>6548.55</v>
      </c>
    </row>
    <row r="5849" spans="1:8" x14ac:dyDescent="0.35">
      <c r="A5849" t="s">
        <v>8</v>
      </c>
      <c r="B5849" t="s">
        <v>12</v>
      </c>
      <c r="C5849" t="s">
        <v>9</v>
      </c>
      <c r="D5849">
        <v>106</v>
      </c>
      <c r="E5849">
        <v>4</v>
      </c>
      <c r="F5849">
        <v>3.77</v>
      </c>
      <c r="G5849">
        <v>60.16</v>
      </c>
      <c r="H5849">
        <v>6376.96</v>
      </c>
    </row>
    <row r="5850" spans="1:8" x14ac:dyDescent="0.35">
      <c r="A5850" t="s">
        <v>6</v>
      </c>
      <c r="B5850" t="s">
        <v>12</v>
      </c>
      <c r="C5850" t="s">
        <v>9</v>
      </c>
      <c r="D5850">
        <v>295</v>
      </c>
      <c r="E5850">
        <v>16</v>
      </c>
      <c r="F5850">
        <v>5.42</v>
      </c>
      <c r="G5850">
        <v>31.69</v>
      </c>
      <c r="H5850">
        <v>9348.5499999999993</v>
      </c>
    </row>
    <row r="5851" spans="1:8" x14ac:dyDescent="0.35">
      <c r="A5851" t="s">
        <v>5</v>
      </c>
      <c r="B5851" t="s">
        <v>12</v>
      </c>
      <c r="C5851" t="s">
        <v>9</v>
      </c>
      <c r="D5851">
        <v>180</v>
      </c>
      <c r="E5851">
        <v>5</v>
      </c>
      <c r="F5851">
        <v>2.78</v>
      </c>
      <c r="G5851">
        <v>43.56</v>
      </c>
      <c r="H5851">
        <v>7840.8</v>
      </c>
    </row>
    <row r="5852" spans="1:8" x14ac:dyDescent="0.35">
      <c r="A5852" t="s">
        <v>7</v>
      </c>
      <c r="B5852" t="s">
        <v>12</v>
      </c>
      <c r="C5852" t="s">
        <v>9</v>
      </c>
      <c r="D5852">
        <v>97</v>
      </c>
      <c r="E5852">
        <v>1</v>
      </c>
      <c r="F5852">
        <v>1.03</v>
      </c>
      <c r="G5852">
        <v>37.840000000000003</v>
      </c>
      <c r="H5852">
        <v>3670.48</v>
      </c>
    </row>
    <row r="5853" spans="1:8" x14ac:dyDescent="0.35">
      <c r="A5853" t="s">
        <v>6</v>
      </c>
      <c r="B5853" t="s">
        <v>12</v>
      </c>
      <c r="C5853" t="s">
        <v>11</v>
      </c>
      <c r="D5853">
        <v>273</v>
      </c>
      <c r="E5853">
        <v>12</v>
      </c>
      <c r="F5853">
        <v>4.4000000000000004</v>
      </c>
      <c r="G5853">
        <v>68.45</v>
      </c>
      <c r="H5853">
        <v>18686.849999999999</v>
      </c>
    </row>
    <row r="5854" spans="1:8" x14ac:dyDescent="0.35">
      <c r="A5854" t="s">
        <v>6</v>
      </c>
      <c r="B5854" t="s">
        <v>12</v>
      </c>
      <c r="C5854" t="s">
        <v>9</v>
      </c>
      <c r="D5854">
        <v>271</v>
      </c>
      <c r="E5854">
        <v>2</v>
      </c>
      <c r="F5854">
        <v>0.74</v>
      </c>
      <c r="G5854">
        <v>48.53</v>
      </c>
      <c r="H5854">
        <v>13151.63</v>
      </c>
    </row>
    <row r="5855" spans="1:8" x14ac:dyDescent="0.35">
      <c r="A5855" t="s">
        <v>6</v>
      </c>
      <c r="B5855" t="s">
        <v>12</v>
      </c>
      <c r="C5855" t="s">
        <v>11</v>
      </c>
      <c r="D5855">
        <v>65</v>
      </c>
      <c r="E5855">
        <v>4</v>
      </c>
      <c r="F5855">
        <v>6.15</v>
      </c>
      <c r="G5855">
        <v>28.69</v>
      </c>
      <c r="H5855">
        <v>1864.85</v>
      </c>
    </row>
    <row r="5856" spans="1:8" x14ac:dyDescent="0.35">
      <c r="A5856" t="s">
        <v>7</v>
      </c>
      <c r="B5856" t="s">
        <v>12</v>
      </c>
      <c r="C5856" t="s">
        <v>10</v>
      </c>
      <c r="D5856">
        <v>159</v>
      </c>
      <c r="E5856">
        <v>0</v>
      </c>
      <c r="F5856">
        <v>0</v>
      </c>
      <c r="G5856">
        <v>15.73</v>
      </c>
      <c r="H5856">
        <v>2501.0700000000002</v>
      </c>
    </row>
    <row r="5857" spans="1:8" x14ac:dyDescent="0.35">
      <c r="A5857" t="s">
        <v>6</v>
      </c>
      <c r="B5857" t="s">
        <v>12</v>
      </c>
      <c r="C5857" t="s">
        <v>11</v>
      </c>
      <c r="D5857">
        <v>218</v>
      </c>
      <c r="E5857">
        <v>13</v>
      </c>
      <c r="F5857">
        <v>5.96</v>
      </c>
      <c r="G5857">
        <v>20.49</v>
      </c>
      <c r="H5857">
        <v>4466.82</v>
      </c>
    </row>
    <row r="5858" spans="1:8" x14ac:dyDescent="0.35">
      <c r="A5858" t="s">
        <v>7</v>
      </c>
      <c r="B5858" t="s">
        <v>12</v>
      </c>
      <c r="C5858" t="s">
        <v>9</v>
      </c>
      <c r="D5858">
        <v>261</v>
      </c>
      <c r="E5858">
        <v>25</v>
      </c>
      <c r="F5858">
        <v>9.58</v>
      </c>
      <c r="G5858">
        <v>42.21</v>
      </c>
      <c r="H5858">
        <v>11016.81</v>
      </c>
    </row>
    <row r="5859" spans="1:8" x14ac:dyDescent="0.35">
      <c r="A5859" t="s">
        <v>5</v>
      </c>
      <c r="B5859" t="s">
        <v>12</v>
      </c>
      <c r="C5859" t="s">
        <v>9</v>
      </c>
      <c r="D5859">
        <v>201</v>
      </c>
      <c r="E5859">
        <v>2</v>
      </c>
      <c r="F5859">
        <v>1</v>
      </c>
      <c r="G5859">
        <v>19.47</v>
      </c>
      <c r="H5859">
        <v>3913.47</v>
      </c>
    </row>
    <row r="5860" spans="1:8" x14ac:dyDescent="0.35">
      <c r="A5860" t="s">
        <v>5</v>
      </c>
      <c r="B5860" t="s">
        <v>12</v>
      </c>
      <c r="C5860" t="s">
        <v>9</v>
      </c>
      <c r="D5860">
        <v>258</v>
      </c>
      <c r="E5860">
        <v>0</v>
      </c>
      <c r="F5860">
        <v>0</v>
      </c>
      <c r="G5860">
        <v>8.16</v>
      </c>
      <c r="H5860">
        <v>2105.2800000000002</v>
      </c>
    </row>
    <row r="5861" spans="1:8" x14ac:dyDescent="0.35">
      <c r="A5861" t="s">
        <v>6</v>
      </c>
      <c r="B5861" t="s">
        <v>12</v>
      </c>
      <c r="C5861" t="s">
        <v>11</v>
      </c>
      <c r="D5861">
        <v>173</v>
      </c>
      <c r="E5861">
        <v>8</v>
      </c>
      <c r="F5861">
        <v>4.62</v>
      </c>
      <c r="G5861">
        <v>54.27</v>
      </c>
      <c r="H5861">
        <v>9388.7099999999991</v>
      </c>
    </row>
    <row r="5862" spans="1:8" x14ac:dyDescent="0.35">
      <c r="A5862" t="s">
        <v>6</v>
      </c>
      <c r="B5862" t="s">
        <v>12</v>
      </c>
      <c r="C5862" t="s">
        <v>9</v>
      </c>
      <c r="D5862">
        <v>96</v>
      </c>
      <c r="E5862">
        <v>2</v>
      </c>
      <c r="F5862">
        <v>2.08</v>
      </c>
      <c r="G5862">
        <v>21.4</v>
      </c>
      <c r="H5862">
        <v>2054.4</v>
      </c>
    </row>
    <row r="5863" spans="1:8" x14ac:dyDescent="0.35">
      <c r="A5863" t="s">
        <v>7</v>
      </c>
      <c r="B5863" t="s">
        <v>12</v>
      </c>
      <c r="C5863" t="s">
        <v>9</v>
      </c>
      <c r="D5863">
        <v>108</v>
      </c>
      <c r="E5863">
        <v>0</v>
      </c>
      <c r="F5863">
        <v>0</v>
      </c>
      <c r="G5863">
        <v>44.47</v>
      </c>
      <c r="H5863">
        <v>4802.76</v>
      </c>
    </row>
    <row r="5864" spans="1:8" x14ac:dyDescent="0.35">
      <c r="A5864" t="s">
        <v>6</v>
      </c>
      <c r="B5864" t="s">
        <v>12</v>
      </c>
      <c r="C5864" t="s">
        <v>9</v>
      </c>
      <c r="D5864">
        <v>143</v>
      </c>
      <c r="E5864">
        <v>11</v>
      </c>
      <c r="F5864">
        <v>7.69</v>
      </c>
      <c r="G5864">
        <v>43.03</v>
      </c>
      <c r="H5864">
        <v>6153.29</v>
      </c>
    </row>
    <row r="5865" spans="1:8" x14ac:dyDescent="0.35">
      <c r="A5865" t="s">
        <v>6</v>
      </c>
      <c r="B5865" t="s">
        <v>12</v>
      </c>
      <c r="C5865" t="s">
        <v>9</v>
      </c>
      <c r="D5865">
        <v>259</v>
      </c>
      <c r="E5865">
        <v>17</v>
      </c>
      <c r="F5865">
        <v>6.56</v>
      </c>
      <c r="G5865">
        <v>17.84</v>
      </c>
      <c r="H5865">
        <v>4620.5600000000004</v>
      </c>
    </row>
    <row r="5866" spans="1:8" x14ac:dyDescent="0.35">
      <c r="A5866" t="s">
        <v>8</v>
      </c>
      <c r="B5866" t="s">
        <v>12</v>
      </c>
      <c r="C5866" t="s">
        <v>9</v>
      </c>
      <c r="D5866">
        <v>217</v>
      </c>
      <c r="E5866">
        <v>16</v>
      </c>
      <c r="F5866">
        <v>7.37</v>
      </c>
      <c r="G5866">
        <v>55.3</v>
      </c>
      <c r="H5866">
        <v>12000.1</v>
      </c>
    </row>
    <row r="5867" spans="1:8" x14ac:dyDescent="0.35">
      <c r="A5867" t="s">
        <v>8</v>
      </c>
      <c r="B5867" t="s">
        <v>12</v>
      </c>
      <c r="C5867" t="s">
        <v>9</v>
      </c>
      <c r="D5867">
        <v>291</v>
      </c>
      <c r="E5867">
        <v>15</v>
      </c>
      <c r="F5867">
        <v>5.15</v>
      </c>
      <c r="G5867">
        <v>52.24</v>
      </c>
      <c r="H5867">
        <v>15201.84</v>
      </c>
    </row>
    <row r="5868" spans="1:8" x14ac:dyDescent="0.35">
      <c r="A5868" t="s">
        <v>8</v>
      </c>
      <c r="B5868" t="s">
        <v>12</v>
      </c>
      <c r="C5868" t="s">
        <v>9</v>
      </c>
      <c r="D5868">
        <v>203</v>
      </c>
      <c r="E5868">
        <v>5</v>
      </c>
      <c r="F5868">
        <v>2.46</v>
      </c>
      <c r="G5868">
        <v>25.5</v>
      </c>
      <c r="H5868">
        <v>5176.5</v>
      </c>
    </row>
    <row r="5869" spans="1:8" x14ac:dyDescent="0.35">
      <c r="A5869" t="s">
        <v>6</v>
      </c>
      <c r="B5869" t="s">
        <v>12</v>
      </c>
      <c r="C5869" t="s">
        <v>9</v>
      </c>
      <c r="D5869">
        <v>75</v>
      </c>
      <c r="E5869">
        <v>0</v>
      </c>
      <c r="F5869">
        <v>0</v>
      </c>
      <c r="G5869">
        <v>20.27</v>
      </c>
      <c r="H5869">
        <v>1520.25</v>
      </c>
    </row>
    <row r="5870" spans="1:8" x14ac:dyDescent="0.35">
      <c r="A5870" t="s">
        <v>6</v>
      </c>
      <c r="B5870" t="s">
        <v>12</v>
      </c>
      <c r="C5870" t="s">
        <v>11</v>
      </c>
      <c r="D5870">
        <v>83</v>
      </c>
      <c r="E5870">
        <v>2</v>
      </c>
      <c r="F5870">
        <v>2.41</v>
      </c>
      <c r="G5870">
        <v>21.42</v>
      </c>
      <c r="H5870">
        <v>1777.86</v>
      </c>
    </row>
    <row r="5871" spans="1:8" x14ac:dyDescent="0.35">
      <c r="A5871" t="s">
        <v>6</v>
      </c>
      <c r="B5871" t="s">
        <v>12</v>
      </c>
      <c r="C5871" t="s">
        <v>9</v>
      </c>
      <c r="D5871">
        <v>144</v>
      </c>
      <c r="E5871">
        <v>4</v>
      </c>
      <c r="F5871">
        <v>2.78</v>
      </c>
      <c r="G5871">
        <v>52.01</v>
      </c>
      <c r="H5871">
        <v>7489.44</v>
      </c>
    </row>
    <row r="5872" spans="1:8" x14ac:dyDescent="0.35">
      <c r="A5872" t="s">
        <v>8</v>
      </c>
      <c r="B5872" t="s">
        <v>12</v>
      </c>
      <c r="C5872" t="s">
        <v>9</v>
      </c>
      <c r="D5872">
        <v>133</v>
      </c>
      <c r="E5872">
        <v>12</v>
      </c>
      <c r="F5872">
        <v>9.02</v>
      </c>
      <c r="G5872">
        <v>33.619999999999997</v>
      </c>
      <c r="H5872">
        <v>4471.46</v>
      </c>
    </row>
    <row r="5873" spans="1:8" x14ac:dyDescent="0.35">
      <c r="A5873" t="s">
        <v>6</v>
      </c>
      <c r="B5873" t="s">
        <v>12</v>
      </c>
      <c r="C5873" t="s">
        <v>11</v>
      </c>
      <c r="D5873">
        <v>201</v>
      </c>
      <c r="E5873">
        <v>8</v>
      </c>
      <c r="F5873">
        <v>3.98</v>
      </c>
      <c r="G5873">
        <v>62.93</v>
      </c>
      <c r="H5873">
        <v>12648.93</v>
      </c>
    </row>
    <row r="5874" spans="1:8" x14ac:dyDescent="0.35">
      <c r="A5874" t="s">
        <v>7</v>
      </c>
      <c r="B5874" t="s">
        <v>12</v>
      </c>
      <c r="C5874" t="s">
        <v>10</v>
      </c>
      <c r="D5874">
        <v>196</v>
      </c>
      <c r="E5874">
        <v>19</v>
      </c>
      <c r="F5874">
        <v>9.69</v>
      </c>
      <c r="G5874">
        <v>33.340000000000003</v>
      </c>
      <c r="H5874">
        <v>6534.64</v>
      </c>
    </row>
    <row r="5875" spans="1:8" x14ac:dyDescent="0.35">
      <c r="A5875" t="s">
        <v>6</v>
      </c>
      <c r="B5875" t="s">
        <v>12</v>
      </c>
      <c r="C5875" t="s">
        <v>11</v>
      </c>
      <c r="D5875">
        <v>268</v>
      </c>
      <c r="E5875">
        <v>25</v>
      </c>
      <c r="F5875">
        <v>9.33</v>
      </c>
      <c r="G5875">
        <v>64.489999999999995</v>
      </c>
      <c r="H5875">
        <v>17283.32</v>
      </c>
    </row>
    <row r="5876" spans="1:8" x14ac:dyDescent="0.35">
      <c r="A5876" t="s">
        <v>8</v>
      </c>
      <c r="B5876" t="s">
        <v>12</v>
      </c>
      <c r="C5876" t="s">
        <v>9</v>
      </c>
      <c r="D5876">
        <v>271</v>
      </c>
      <c r="E5876">
        <v>23</v>
      </c>
      <c r="F5876">
        <v>8.49</v>
      </c>
      <c r="G5876">
        <v>19.73</v>
      </c>
      <c r="H5876">
        <v>5346.83</v>
      </c>
    </row>
    <row r="5877" spans="1:8" x14ac:dyDescent="0.35">
      <c r="A5877" t="s">
        <v>8</v>
      </c>
      <c r="B5877" t="s">
        <v>12</v>
      </c>
      <c r="C5877" t="s">
        <v>9</v>
      </c>
      <c r="D5877">
        <v>61</v>
      </c>
      <c r="E5877">
        <v>2</v>
      </c>
      <c r="F5877">
        <v>3.28</v>
      </c>
      <c r="G5877">
        <v>42.49</v>
      </c>
      <c r="H5877">
        <v>2591.89</v>
      </c>
    </row>
    <row r="5878" spans="1:8" x14ac:dyDescent="0.35">
      <c r="A5878" t="s">
        <v>8</v>
      </c>
      <c r="B5878" t="s">
        <v>12</v>
      </c>
      <c r="C5878" t="s">
        <v>9</v>
      </c>
      <c r="D5878">
        <v>87</v>
      </c>
      <c r="E5878">
        <v>8</v>
      </c>
      <c r="F5878">
        <v>9.1999999999999993</v>
      </c>
      <c r="G5878">
        <v>27.14</v>
      </c>
      <c r="H5878">
        <v>2361.1799999999998</v>
      </c>
    </row>
    <row r="5879" spans="1:8" x14ac:dyDescent="0.35">
      <c r="A5879" t="s">
        <v>7</v>
      </c>
      <c r="B5879" t="s">
        <v>12</v>
      </c>
      <c r="C5879" t="s">
        <v>10</v>
      </c>
      <c r="D5879">
        <v>208</v>
      </c>
      <c r="E5879">
        <v>6</v>
      </c>
      <c r="F5879">
        <v>2.88</v>
      </c>
      <c r="G5879">
        <v>11.35</v>
      </c>
      <c r="H5879">
        <v>2360.8000000000002</v>
      </c>
    </row>
    <row r="5880" spans="1:8" x14ac:dyDescent="0.35">
      <c r="A5880" t="s">
        <v>7</v>
      </c>
      <c r="B5880" t="s">
        <v>12</v>
      </c>
      <c r="C5880" t="s">
        <v>9</v>
      </c>
      <c r="D5880">
        <v>193</v>
      </c>
      <c r="E5880">
        <v>11</v>
      </c>
      <c r="F5880">
        <v>5.7</v>
      </c>
      <c r="G5880">
        <v>41.13</v>
      </c>
      <c r="H5880">
        <v>7938.09</v>
      </c>
    </row>
    <row r="5881" spans="1:8" x14ac:dyDescent="0.35">
      <c r="A5881" t="s">
        <v>5</v>
      </c>
      <c r="B5881" t="s">
        <v>12</v>
      </c>
      <c r="C5881" t="s">
        <v>9</v>
      </c>
      <c r="D5881">
        <v>102</v>
      </c>
      <c r="E5881">
        <v>2</v>
      </c>
      <c r="F5881">
        <v>1.96</v>
      </c>
      <c r="G5881">
        <v>35.61</v>
      </c>
      <c r="H5881">
        <v>3632.22</v>
      </c>
    </row>
    <row r="5882" spans="1:8" x14ac:dyDescent="0.35">
      <c r="A5882" t="s">
        <v>5</v>
      </c>
      <c r="B5882" t="s">
        <v>12</v>
      </c>
      <c r="C5882" t="s">
        <v>9</v>
      </c>
      <c r="D5882">
        <v>170</v>
      </c>
      <c r="E5882">
        <v>1</v>
      </c>
      <c r="F5882">
        <v>0.59</v>
      </c>
      <c r="G5882">
        <v>28.41</v>
      </c>
      <c r="H5882">
        <v>4829.7</v>
      </c>
    </row>
    <row r="5883" spans="1:8" x14ac:dyDescent="0.35">
      <c r="A5883" t="s">
        <v>6</v>
      </c>
      <c r="B5883" t="s">
        <v>12</v>
      </c>
      <c r="C5883" t="s">
        <v>11</v>
      </c>
      <c r="D5883">
        <v>241</v>
      </c>
      <c r="E5883">
        <v>16</v>
      </c>
      <c r="F5883">
        <v>6.64</v>
      </c>
      <c r="G5883">
        <v>38.53</v>
      </c>
      <c r="H5883">
        <v>9285.73</v>
      </c>
    </row>
    <row r="5884" spans="1:8" x14ac:dyDescent="0.35">
      <c r="A5884" t="s">
        <v>7</v>
      </c>
      <c r="B5884" t="s">
        <v>12</v>
      </c>
      <c r="C5884" t="s">
        <v>10</v>
      </c>
      <c r="D5884">
        <v>211</v>
      </c>
      <c r="E5884">
        <v>18</v>
      </c>
      <c r="F5884">
        <v>8.5299999999999994</v>
      </c>
      <c r="G5884">
        <v>51.91</v>
      </c>
      <c r="H5884">
        <v>10953.01</v>
      </c>
    </row>
    <row r="5885" spans="1:8" x14ac:dyDescent="0.35">
      <c r="A5885" t="s">
        <v>8</v>
      </c>
      <c r="B5885" t="s">
        <v>12</v>
      </c>
      <c r="C5885" t="s">
        <v>9</v>
      </c>
      <c r="D5885">
        <v>93</v>
      </c>
      <c r="E5885">
        <v>8</v>
      </c>
      <c r="F5885">
        <v>8.6</v>
      </c>
      <c r="G5885">
        <v>64.03</v>
      </c>
      <c r="H5885">
        <v>5954.79</v>
      </c>
    </row>
    <row r="5886" spans="1:8" x14ac:dyDescent="0.35">
      <c r="A5886" t="s">
        <v>8</v>
      </c>
      <c r="B5886" t="s">
        <v>12</v>
      </c>
      <c r="C5886" t="s">
        <v>9</v>
      </c>
      <c r="D5886">
        <v>210</v>
      </c>
      <c r="E5886">
        <v>0</v>
      </c>
      <c r="F5886">
        <v>0</v>
      </c>
      <c r="G5886">
        <v>57.42</v>
      </c>
      <c r="H5886">
        <v>12058.2</v>
      </c>
    </row>
    <row r="5887" spans="1:8" x14ac:dyDescent="0.35">
      <c r="A5887" t="s">
        <v>8</v>
      </c>
      <c r="B5887" t="s">
        <v>12</v>
      </c>
      <c r="C5887" t="s">
        <v>9</v>
      </c>
      <c r="D5887">
        <v>160</v>
      </c>
      <c r="E5887">
        <v>1</v>
      </c>
      <c r="F5887">
        <v>0.62</v>
      </c>
      <c r="G5887">
        <v>51.86</v>
      </c>
      <c r="H5887">
        <v>8297.6</v>
      </c>
    </row>
    <row r="5888" spans="1:8" x14ac:dyDescent="0.35">
      <c r="A5888" t="s">
        <v>5</v>
      </c>
      <c r="B5888" t="s">
        <v>12</v>
      </c>
      <c r="C5888" t="s">
        <v>9</v>
      </c>
      <c r="D5888">
        <v>288</v>
      </c>
      <c r="E5888">
        <v>20</v>
      </c>
      <c r="F5888">
        <v>6.94</v>
      </c>
      <c r="G5888">
        <v>57.4</v>
      </c>
      <c r="H5888">
        <v>16531.2</v>
      </c>
    </row>
    <row r="5889" spans="1:8" x14ac:dyDescent="0.35">
      <c r="A5889" t="s">
        <v>7</v>
      </c>
      <c r="B5889" t="s">
        <v>12</v>
      </c>
      <c r="C5889" t="s">
        <v>10</v>
      </c>
      <c r="D5889">
        <v>131</v>
      </c>
      <c r="E5889">
        <v>1</v>
      </c>
      <c r="F5889">
        <v>0.76</v>
      </c>
      <c r="G5889">
        <v>47.76</v>
      </c>
      <c r="H5889">
        <v>6256.56</v>
      </c>
    </row>
    <row r="5890" spans="1:8" x14ac:dyDescent="0.35">
      <c r="A5890" t="s">
        <v>8</v>
      </c>
      <c r="B5890" t="s">
        <v>12</v>
      </c>
      <c r="C5890" t="s">
        <v>9</v>
      </c>
      <c r="D5890">
        <v>282</v>
      </c>
      <c r="E5890">
        <v>22</v>
      </c>
      <c r="F5890">
        <v>7.8</v>
      </c>
      <c r="G5890">
        <v>24.16</v>
      </c>
      <c r="H5890">
        <v>6813.12</v>
      </c>
    </row>
    <row r="5891" spans="1:8" x14ac:dyDescent="0.35">
      <c r="A5891" t="s">
        <v>8</v>
      </c>
      <c r="B5891" t="s">
        <v>12</v>
      </c>
      <c r="C5891" t="s">
        <v>9</v>
      </c>
      <c r="D5891">
        <v>241</v>
      </c>
      <c r="E5891">
        <v>13</v>
      </c>
      <c r="F5891">
        <v>5.39</v>
      </c>
      <c r="G5891">
        <v>20.99</v>
      </c>
      <c r="H5891">
        <v>5058.59</v>
      </c>
    </row>
    <row r="5892" spans="1:8" x14ac:dyDescent="0.35">
      <c r="A5892" t="s">
        <v>5</v>
      </c>
      <c r="B5892" t="s">
        <v>12</v>
      </c>
      <c r="C5892" t="s">
        <v>9</v>
      </c>
      <c r="D5892">
        <v>229</v>
      </c>
      <c r="E5892">
        <v>15</v>
      </c>
      <c r="F5892">
        <v>6.55</v>
      </c>
      <c r="G5892">
        <v>20.97</v>
      </c>
      <c r="H5892">
        <v>4802.13</v>
      </c>
    </row>
    <row r="5893" spans="1:8" x14ac:dyDescent="0.35">
      <c r="A5893" t="s">
        <v>7</v>
      </c>
      <c r="B5893" t="s">
        <v>12</v>
      </c>
      <c r="C5893" t="s">
        <v>9</v>
      </c>
      <c r="D5893">
        <v>158</v>
      </c>
      <c r="E5893">
        <v>12</v>
      </c>
      <c r="F5893">
        <v>7.59</v>
      </c>
      <c r="G5893">
        <v>39.47</v>
      </c>
      <c r="H5893">
        <v>6236.26</v>
      </c>
    </row>
    <row r="5894" spans="1:8" x14ac:dyDescent="0.35">
      <c r="A5894" t="s">
        <v>6</v>
      </c>
      <c r="B5894" t="s">
        <v>12</v>
      </c>
      <c r="C5894" t="s">
        <v>9</v>
      </c>
      <c r="D5894">
        <v>64</v>
      </c>
      <c r="E5894">
        <v>0</v>
      </c>
      <c r="F5894">
        <v>0</v>
      </c>
      <c r="G5894">
        <v>50.08</v>
      </c>
      <c r="H5894">
        <v>3205.12</v>
      </c>
    </row>
    <row r="5895" spans="1:8" x14ac:dyDescent="0.35">
      <c r="A5895" t="s">
        <v>5</v>
      </c>
      <c r="B5895" t="s">
        <v>12</v>
      </c>
      <c r="C5895" t="s">
        <v>9</v>
      </c>
      <c r="D5895">
        <v>286</v>
      </c>
      <c r="E5895">
        <v>12</v>
      </c>
      <c r="F5895">
        <v>4.2</v>
      </c>
      <c r="G5895">
        <v>21.75</v>
      </c>
      <c r="H5895">
        <v>6220.5</v>
      </c>
    </row>
    <row r="5896" spans="1:8" x14ac:dyDescent="0.35">
      <c r="A5896" t="s">
        <v>7</v>
      </c>
      <c r="B5896" t="s">
        <v>12</v>
      </c>
      <c r="C5896" t="s">
        <v>9</v>
      </c>
      <c r="D5896">
        <v>66</v>
      </c>
      <c r="E5896">
        <v>3</v>
      </c>
      <c r="F5896">
        <v>4.55</v>
      </c>
      <c r="G5896">
        <v>49.42</v>
      </c>
      <c r="H5896">
        <v>3261.72</v>
      </c>
    </row>
    <row r="5897" spans="1:8" x14ac:dyDescent="0.35">
      <c r="A5897" t="s">
        <v>5</v>
      </c>
      <c r="B5897" t="s">
        <v>12</v>
      </c>
      <c r="C5897" t="s">
        <v>9</v>
      </c>
      <c r="D5897">
        <v>130</v>
      </c>
      <c r="E5897">
        <v>7</v>
      </c>
      <c r="F5897">
        <v>5.38</v>
      </c>
      <c r="G5897">
        <v>9.73</v>
      </c>
      <c r="H5897">
        <v>1264.9000000000001</v>
      </c>
    </row>
    <row r="5898" spans="1:8" x14ac:dyDescent="0.35">
      <c r="A5898" t="s">
        <v>8</v>
      </c>
      <c r="B5898" t="s">
        <v>12</v>
      </c>
      <c r="C5898" t="s">
        <v>9</v>
      </c>
      <c r="D5898">
        <v>102</v>
      </c>
      <c r="E5898">
        <v>6</v>
      </c>
      <c r="F5898">
        <v>5.88</v>
      </c>
      <c r="G5898">
        <v>22.12</v>
      </c>
      <c r="H5898">
        <v>2256.2399999999998</v>
      </c>
    </row>
    <row r="5899" spans="1:8" x14ac:dyDescent="0.35">
      <c r="A5899" t="s">
        <v>6</v>
      </c>
      <c r="B5899" t="s">
        <v>12</v>
      </c>
      <c r="C5899" t="s">
        <v>9</v>
      </c>
      <c r="D5899">
        <v>131</v>
      </c>
      <c r="E5899">
        <v>9</v>
      </c>
      <c r="F5899">
        <v>6.87</v>
      </c>
      <c r="G5899">
        <v>12.29</v>
      </c>
      <c r="H5899">
        <v>1609.99</v>
      </c>
    </row>
    <row r="5900" spans="1:8" x14ac:dyDescent="0.35">
      <c r="A5900" t="s">
        <v>7</v>
      </c>
      <c r="B5900" t="s">
        <v>12</v>
      </c>
      <c r="C5900" t="s">
        <v>10</v>
      </c>
      <c r="D5900">
        <v>141</v>
      </c>
      <c r="E5900">
        <v>0</v>
      </c>
      <c r="F5900">
        <v>0</v>
      </c>
      <c r="G5900">
        <v>35.229999999999997</v>
      </c>
      <c r="H5900">
        <v>4967.43</v>
      </c>
    </row>
    <row r="5901" spans="1:8" x14ac:dyDescent="0.35">
      <c r="A5901" t="s">
        <v>7</v>
      </c>
      <c r="B5901" t="s">
        <v>12</v>
      </c>
      <c r="C5901" t="s">
        <v>9</v>
      </c>
      <c r="D5901">
        <v>85</v>
      </c>
      <c r="E5901">
        <v>3</v>
      </c>
      <c r="F5901">
        <v>3.53</v>
      </c>
      <c r="G5901">
        <v>32.03</v>
      </c>
      <c r="H5901">
        <v>2722.55</v>
      </c>
    </row>
    <row r="5902" spans="1:8" x14ac:dyDescent="0.35">
      <c r="A5902" t="s">
        <v>7</v>
      </c>
      <c r="B5902" t="s">
        <v>12</v>
      </c>
      <c r="C5902" t="s">
        <v>10</v>
      </c>
      <c r="D5902">
        <v>183</v>
      </c>
      <c r="E5902">
        <v>3</v>
      </c>
      <c r="F5902">
        <v>1.64</v>
      </c>
      <c r="G5902">
        <v>22.27</v>
      </c>
      <c r="H5902">
        <v>4075.41</v>
      </c>
    </row>
    <row r="5903" spans="1:8" x14ac:dyDescent="0.35">
      <c r="A5903" t="s">
        <v>7</v>
      </c>
      <c r="B5903" t="s">
        <v>12</v>
      </c>
      <c r="C5903" t="s">
        <v>9</v>
      </c>
      <c r="D5903">
        <v>244</v>
      </c>
      <c r="E5903">
        <v>5</v>
      </c>
      <c r="F5903">
        <v>2.0499999999999998</v>
      </c>
      <c r="G5903">
        <v>20.29</v>
      </c>
      <c r="H5903">
        <v>4950.76</v>
      </c>
    </row>
    <row r="5904" spans="1:8" x14ac:dyDescent="0.35">
      <c r="A5904" t="s">
        <v>6</v>
      </c>
      <c r="B5904" t="s">
        <v>12</v>
      </c>
      <c r="C5904" t="s">
        <v>9</v>
      </c>
      <c r="D5904">
        <v>206</v>
      </c>
      <c r="E5904">
        <v>0</v>
      </c>
      <c r="F5904">
        <v>0</v>
      </c>
      <c r="G5904">
        <v>27.22</v>
      </c>
      <c r="H5904">
        <v>5607.32</v>
      </c>
    </row>
    <row r="5905" spans="1:8" x14ac:dyDescent="0.35">
      <c r="A5905" t="s">
        <v>5</v>
      </c>
      <c r="B5905" t="s">
        <v>12</v>
      </c>
      <c r="C5905" t="s">
        <v>9</v>
      </c>
      <c r="D5905">
        <v>254</v>
      </c>
      <c r="E5905">
        <v>3</v>
      </c>
      <c r="F5905">
        <v>1.18</v>
      </c>
      <c r="G5905">
        <v>48.39</v>
      </c>
      <c r="H5905">
        <v>12291.06</v>
      </c>
    </row>
    <row r="5906" spans="1:8" x14ac:dyDescent="0.35">
      <c r="A5906" t="s">
        <v>7</v>
      </c>
      <c r="B5906" t="s">
        <v>12</v>
      </c>
      <c r="C5906" t="s">
        <v>10</v>
      </c>
      <c r="D5906">
        <v>299</v>
      </c>
      <c r="E5906">
        <v>22</v>
      </c>
      <c r="F5906">
        <v>7.36</v>
      </c>
      <c r="G5906">
        <v>46.42</v>
      </c>
      <c r="H5906">
        <v>13879.58</v>
      </c>
    </row>
    <row r="5907" spans="1:8" x14ac:dyDescent="0.35">
      <c r="A5907" t="s">
        <v>7</v>
      </c>
      <c r="B5907" t="s">
        <v>12</v>
      </c>
      <c r="C5907" t="s">
        <v>10</v>
      </c>
      <c r="D5907">
        <v>263</v>
      </c>
      <c r="E5907">
        <v>13</v>
      </c>
      <c r="F5907">
        <v>4.9400000000000004</v>
      </c>
      <c r="G5907">
        <v>61.74</v>
      </c>
      <c r="H5907">
        <v>16237.62</v>
      </c>
    </row>
    <row r="5908" spans="1:8" x14ac:dyDescent="0.35">
      <c r="A5908" t="s">
        <v>6</v>
      </c>
      <c r="B5908" t="s">
        <v>12</v>
      </c>
      <c r="C5908" t="s">
        <v>11</v>
      </c>
      <c r="D5908">
        <v>72</v>
      </c>
      <c r="E5908">
        <v>1</v>
      </c>
      <c r="F5908">
        <v>1.39</v>
      </c>
      <c r="G5908">
        <v>53.01</v>
      </c>
      <c r="H5908">
        <v>3816.72</v>
      </c>
    </row>
    <row r="5909" spans="1:8" x14ac:dyDescent="0.35">
      <c r="A5909" t="s">
        <v>5</v>
      </c>
      <c r="B5909" t="s">
        <v>12</v>
      </c>
      <c r="C5909" t="s">
        <v>9</v>
      </c>
      <c r="D5909">
        <v>287</v>
      </c>
      <c r="E5909">
        <v>4</v>
      </c>
      <c r="F5909">
        <v>1.39</v>
      </c>
      <c r="G5909">
        <v>31.92</v>
      </c>
      <c r="H5909">
        <v>9161.0400000000009</v>
      </c>
    </row>
    <row r="5910" spans="1:8" x14ac:dyDescent="0.35">
      <c r="A5910" t="s">
        <v>5</v>
      </c>
      <c r="B5910" t="s">
        <v>12</v>
      </c>
      <c r="C5910" t="s">
        <v>9</v>
      </c>
      <c r="D5910">
        <v>212</v>
      </c>
      <c r="E5910">
        <v>8</v>
      </c>
      <c r="F5910">
        <v>3.77</v>
      </c>
      <c r="G5910">
        <v>39.06</v>
      </c>
      <c r="H5910">
        <v>8280.7199999999993</v>
      </c>
    </row>
    <row r="5911" spans="1:8" x14ac:dyDescent="0.35">
      <c r="A5911" t="s">
        <v>6</v>
      </c>
      <c r="B5911" t="s">
        <v>12</v>
      </c>
      <c r="C5911" t="s">
        <v>9</v>
      </c>
      <c r="D5911">
        <v>275</v>
      </c>
      <c r="E5911">
        <v>13</v>
      </c>
      <c r="F5911">
        <v>4.7300000000000004</v>
      </c>
      <c r="G5911">
        <v>6.25</v>
      </c>
      <c r="H5911">
        <v>1718.75</v>
      </c>
    </row>
    <row r="5912" spans="1:8" x14ac:dyDescent="0.35">
      <c r="A5912" t="s">
        <v>6</v>
      </c>
      <c r="B5912" t="s">
        <v>12</v>
      </c>
      <c r="C5912" t="s">
        <v>9</v>
      </c>
      <c r="D5912">
        <v>234</v>
      </c>
      <c r="E5912">
        <v>6</v>
      </c>
      <c r="F5912">
        <v>2.56</v>
      </c>
      <c r="G5912">
        <v>26.19</v>
      </c>
      <c r="H5912">
        <v>6128.46</v>
      </c>
    </row>
    <row r="5913" spans="1:8" x14ac:dyDescent="0.35">
      <c r="A5913" t="s">
        <v>8</v>
      </c>
      <c r="B5913" t="s">
        <v>12</v>
      </c>
      <c r="C5913" t="s">
        <v>9</v>
      </c>
      <c r="D5913">
        <v>191</v>
      </c>
      <c r="E5913">
        <v>6</v>
      </c>
      <c r="F5913">
        <v>3.14</v>
      </c>
      <c r="G5913">
        <v>13.74</v>
      </c>
      <c r="H5913">
        <v>2624.34</v>
      </c>
    </row>
    <row r="5914" spans="1:8" x14ac:dyDescent="0.35">
      <c r="A5914" t="s">
        <v>8</v>
      </c>
      <c r="B5914" t="s">
        <v>12</v>
      </c>
      <c r="C5914" t="s">
        <v>9</v>
      </c>
      <c r="D5914">
        <v>256</v>
      </c>
      <c r="E5914">
        <v>21</v>
      </c>
      <c r="F5914">
        <v>8.1999999999999993</v>
      </c>
      <c r="G5914">
        <v>18.670000000000002</v>
      </c>
      <c r="H5914">
        <v>4779.5200000000004</v>
      </c>
    </row>
    <row r="5915" spans="1:8" x14ac:dyDescent="0.35">
      <c r="A5915" t="s">
        <v>6</v>
      </c>
      <c r="B5915" t="s">
        <v>12</v>
      </c>
      <c r="C5915" t="s">
        <v>11</v>
      </c>
      <c r="D5915">
        <v>235</v>
      </c>
      <c r="E5915">
        <v>1</v>
      </c>
      <c r="F5915">
        <v>0.43</v>
      </c>
      <c r="G5915">
        <v>42.71</v>
      </c>
      <c r="H5915">
        <v>10036.85</v>
      </c>
    </row>
    <row r="5916" spans="1:8" x14ac:dyDescent="0.35">
      <c r="A5916" t="s">
        <v>7</v>
      </c>
      <c r="B5916" t="s">
        <v>12</v>
      </c>
      <c r="C5916" t="s">
        <v>9</v>
      </c>
      <c r="D5916">
        <v>141</v>
      </c>
      <c r="E5916">
        <v>12</v>
      </c>
      <c r="F5916">
        <v>8.51</v>
      </c>
      <c r="G5916">
        <v>67.989999999999995</v>
      </c>
      <c r="H5916">
        <v>9586.59</v>
      </c>
    </row>
    <row r="5917" spans="1:8" x14ac:dyDescent="0.35">
      <c r="A5917" t="s">
        <v>8</v>
      </c>
      <c r="B5917" t="s">
        <v>12</v>
      </c>
      <c r="C5917" t="s">
        <v>9</v>
      </c>
      <c r="D5917">
        <v>255</v>
      </c>
      <c r="E5917">
        <v>20</v>
      </c>
      <c r="F5917">
        <v>7.84</v>
      </c>
      <c r="G5917">
        <v>23.86</v>
      </c>
      <c r="H5917">
        <v>6084.3</v>
      </c>
    </row>
    <row r="5918" spans="1:8" x14ac:dyDescent="0.35">
      <c r="A5918" t="s">
        <v>7</v>
      </c>
      <c r="B5918" t="s">
        <v>12</v>
      </c>
      <c r="C5918" t="s">
        <v>10</v>
      </c>
      <c r="D5918">
        <v>246</v>
      </c>
      <c r="E5918">
        <v>13</v>
      </c>
      <c r="F5918">
        <v>5.28</v>
      </c>
      <c r="G5918">
        <v>26.64</v>
      </c>
      <c r="H5918">
        <v>6553.44</v>
      </c>
    </row>
    <row r="5919" spans="1:8" x14ac:dyDescent="0.35">
      <c r="A5919" t="s">
        <v>7</v>
      </c>
      <c r="B5919" t="s">
        <v>12</v>
      </c>
      <c r="C5919" t="s">
        <v>9</v>
      </c>
      <c r="D5919">
        <v>95</v>
      </c>
      <c r="E5919">
        <v>0</v>
      </c>
      <c r="F5919">
        <v>0</v>
      </c>
      <c r="G5919">
        <v>5.53</v>
      </c>
      <c r="H5919">
        <v>525.35</v>
      </c>
    </row>
    <row r="5920" spans="1:8" x14ac:dyDescent="0.35">
      <c r="A5920" t="s">
        <v>5</v>
      </c>
      <c r="B5920" t="s">
        <v>12</v>
      </c>
      <c r="C5920" t="s">
        <v>9</v>
      </c>
      <c r="D5920">
        <v>142</v>
      </c>
      <c r="E5920">
        <v>0</v>
      </c>
      <c r="F5920">
        <v>0</v>
      </c>
      <c r="G5920">
        <v>22.92</v>
      </c>
      <c r="H5920">
        <v>3254.64</v>
      </c>
    </row>
    <row r="5921" spans="1:8" x14ac:dyDescent="0.35">
      <c r="A5921" t="s">
        <v>7</v>
      </c>
      <c r="B5921" t="s">
        <v>12</v>
      </c>
      <c r="C5921" t="s">
        <v>9</v>
      </c>
      <c r="D5921">
        <v>161</v>
      </c>
      <c r="E5921">
        <v>11</v>
      </c>
      <c r="F5921">
        <v>6.83</v>
      </c>
      <c r="G5921">
        <v>38.11</v>
      </c>
      <c r="H5921">
        <v>6135.71</v>
      </c>
    </row>
    <row r="5922" spans="1:8" x14ac:dyDescent="0.35">
      <c r="A5922" t="s">
        <v>5</v>
      </c>
      <c r="B5922" t="s">
        <v>12</v>
      </c>
      <c r="C5922" t="s">
        <v>9</v>
      </c>
      <c r="D5922">
        <v>220</v>
      </c>
      <c r="E5922">
        <v>16</v>
      </c>
      <c r="F5922">
        <v>7.27</v>
      </c>
      <c r="G5922">
        <v>33.909999999999997</v>
      </c>
      <c r="H5922">
        <v>7460.2</v>
      </c>
    </row>
    <row r="5923" spans="1:8" x14ac:dyDescent="0.35">
      <c r="A5923" t="s">
        <v>5</v>
      </c>
      <c r="B5923" t="s">
        <v>12</v>
      </c>
      <c r="C5923" t="s">
        <v>9</v>
      </c>
      <c r="D5923">
        <v>287</v>
      </c>
      <c r="E5923">
        <v>24</v>
      </c>
      <c r="F5923">
        <v>8.36</v>
      </c>
      <c r="G5923">
        <v>63.66</v>
      </c>
      <c r="H5923">
        <v>18270.419999999998</v>
      </c>
    </row>
    <row r="5924" spans="1:8" x14ac:dyDescent="0.35">
      <c r="A5924" t="s">
        <v>6</v>
      </c>
      <c r="B5924" t="s">
        <v>12</v>
      </c>
      <c r="C5924" t="s">
        <v>9</v>
      </c>
      <c r="D5924">
        <v>295</v>
      </c>
      <c r="E5924">
        <v>21</v>
      </c>
      <c r="F5924">
        <v>7.12</v>
      </c>
      <c r="G5924">
        <v>46.9</v>
      </c>
      <c r="H5924">
        <v>13835.5</v>
      </c>
    </row>
    <row r="5925" spans="1:8" x14ac:dyDescent="0.35">
      <c r="A5925" t="s">
        <v>8</v>
      </c>
      <c r="B5925" t="s">
        <v>12</v>
      </c>
      <c r="C5925" t="s">
        <v>9</v>
      </c>
      <c r="D5925">
        <v>131</v>
      </c>
      <c r="E5925">
        <v>5</v>
      </c>
      <c r="F5925">
        <v>3.82</v>
      </c>
      <c r="G5925">
        <v>40.090000000000003</v>
      </c>
      <c r="H5925">
        <v>5251.79</v>
      </c>
    </row>
    <row r="5926" spans="1:8" x14ac:dyDescent="0.35">
      <c r="A5926" t="s">
        <v>7</v>
      </c>
      <c r="B5926" t="s">
        <v>12</v>
      </c>
      <c r="C5926" t="s">
        <v>9</v>
      </c>
      <c r="D5926">
        <v>217</v>
      </c>
      <c r="E5926">
        <v>11</v>
      </c>
      <c r="F5926">
        <v>5.07</v>
      </c>
      <c r="G5926">
        <v>41.79</v>
      </c>
      <c r="H5926">
        <v>9068.43</v>
      </c>
    </row>
    <row r="5927" spans="1:8" x14ac:dyDescent="0.35">
      <c r="A5927" t="s">
        <v>6</v>
      </c>
      <c r="B5927" t="s">
        <v>12</v>
      </c>
      <c r="C5927" t="s">
        <v>11</v>
      </c>
      <c r="D5927">
        <v>115</v>
      </c>
      <c r="E5927">
        <v>3</v>
      </c>
      <c r="F5927">
        <v>2.61</v>
      </c>
      <c r="G5927">
        <v>63.24</v>
      </c>
      <c r="H5927">
        <v>7272.6</v>
      </c>
    </row>
    <row r="5928" spans="1:8" x14ac:dyDescent="0.35">
      <c r="A5928" t="s">
        <v>5</v>
      </c>
      <c r="B5928" t="s">
        <v>12</v>
      </c>
      <c r="C5928" t="s">
        <v>9</v>
      </c>
      <c r="D5928">
        <v>238</v>
      </c>
      <c r="E5928">
        <v>20</v>
      </c>
      <c r="F5928">
        <v>8.4</v>
      </c>
      <c r="G5928">
        <v>30.67</v>
      </c>
      <c r="H5928">
        <v>7299.46</v>
      </c>
    </row>
    <row r="5929" spans="1:8" x14ac:dyDescent="0.35">
      <c r="A5929" t="s">
        <v>6</v>
      </c>
      <c r="B5929" t="s">
        <v>12</v>
      </c>
      <c r="C5929" t="s">
        <v>9</v>
      </c>
      <c r="D5929">
        <v>204</v>
      </c>
      <c r="E5929">
        <v>3</v>
      </c>
      <c r="F5929">
        <v>1.47</v>
      </c>
      <c r="G5929">
        <v>5.26</v>
      </c>
      <c r="H5929">
        <v>1073.04</v>
      </c>
    </row>
    <row r="5930" spans="1:8" x14ac:dyDescent="0.35">
      <c r="A5930" t="s">
        <v>7</v>
      </c>
      <c r="B5930" t="s">
        <v>12</v>
      </c>
      <c r="C5930" t="s">
        <v>10</v>
      </c>
      <c r="D5930">
        <v>103</v>
      </c>
      <c r="E5930">
        <v>5</v>
      </c>
      <c r="F5930">
        <v>4.8499999999999996</v>
      </c>
      <c r="G5930">
        <v>42.89</v>
      </c>
      <c r="H5930">
        <v>4417.67</v>
      </c>
    </row>
    <row r="5931" spans="1:8" x14ac:dyDescent="0.35">
      <c r="A5931" t="s">
        <v>7</v>
      </c>
      <c r="B5931" t="s">
        <v>12</v>
      </c>
      <c r="C5931" t="s">
        <v>9</v>
      </c>
      <c r="D5931">
        <v>282</v>
      </c>
      <c r="E5931">
        <v>10</v>
      </c>
      <c r="F5931">
        <v>3.55</v>
      </c>
      <c r="G5931">
        <v>27.5</v>
      </c>
      <c r="H5931">
        <v>7755</v>
      </c>
    </row>
    <row r="5932" spans="1:8" x14ac:dyDescent="0.35">
      <c r="A5932" t="s">
        <v>6</v>
      </c>
      <c r="B5932" t="s">
        <v>12</v>
      </c>
      <c r="C5932" t="s">
        <v>9</v>
      </c>
      <c r="D5932">
        <v>64</v>
      </c>
      <c r="E5932">
        <v>1</v>
      </c>
      <c r="F5932">
        <v>1.56</v>
      </c>
      <c r="G5932">
        <v>37.729999999999997</v>
      </c>
      <c r="H5932">
        <v>2414.7199999999998</v>
      </c>
    </row>
    <row r="5933" spans="1:8" x14ac:dyDescent="0.35">
      <c r="A5933" t="s">
        <v>6</v>
      </c>
      <c r="B5933" t="s">
        <v>12</v>
      </c>
      <c r="C5933" t="s">
        <v>11</v>
      </c>
      <c r="D5933">
        <v>77</v>
      </c>
      <c r="E5933">
        <v>1</v>
      </c>
      <c r="F5933">
        <v>1.3</v>
      </c>
      <c r="G5933">
        <v>15.98</v>
      </c>
      <c r="H5933">
        <v>1230.46</v>
      </c>
    </row>
    <row r="5934" spans="1:8" x14ac:dyDescent="0.35">
      <c r="A5934" t="s">
        <v>8</v>
      </c>
      <c r="B5934" t="s">
        <v>12</v>
      </c>
      <c r="C5934" t="s">
        <v>9</v>
      </c>
      <c r="D5934">
        <v>133</v>
      </c>
      <c r="E5934">
        <v>7</v>
      </c>
      <c r="F5934">
        <v>5.26</v>
      </c>
      <c r="G5934">
        <v>18.559999999999999</v>
      </c>
      <c r="H5934">
        <v>2468.48</v>
      </c>
    </row>
    <row r="5935" spans="1:8" x14ac:dyDescent="0.35">
      <c r="A5935" t="s">
        <v>6</v>
      </c>
      <c r="B5935" t="s">
        <v>12</v>
      </c>
      <c r="C5935" t="s">
        <v>11</v>
      </c>
      <c r="D5935">
        <v>231</v>
      </c>
      <c r="E5935">
        <v>12</v>
      </c>
      <c r="F5935">
        <v>5.19</v>
      </c>
      <c r="G5935">
        <v>25.47</v>
      </c>
      <c r="H5935">
        <v>5883.57</v>
      </c>
    </row>
    <row r="5936" spans="1:8" x14ac:dyDescent="0.35">
      <c r="A5936" t="s">
        <v>6</v>
      </c>
      <c r="B5936" t="s">
        <v>12</v>
      </c>
      <c r="C5936" t="s">
        <v>11</v>
      </c>
      <c r="D5936">
        <v>101</v>
      </c>
      <c r="E5936">
        <v>4</v>
      </c>
      <c r="F5936">
        <v>3.96</v>
      </c>
      <c r="G5936">
        <v>15.78</v>
      </c>
      <c r="H5936">
        <v>1593.78</v>
      </c>
    </row>
    <row r="5937" spans="1:8" x14ac:dyDescent="0.35">
      <c r="A5937" t="s">
        <v>7</v>
      </c>
      <c r="B5937" t="s">
        <v>12</v>
      </c>
      <c r="C5937" t="s">
        <v>9</v>
      </c>
      <c r="D5937">
        <v>214</v>
      </c>
      <c r="E5937">
        <v>20</v>
      </c>
      <c r="F5937">
        <v>9.35</v>
      </c>
      <c r="G5937">
        <v>21.22</v>
      </c>
      <c r="H5937">
        <v>4541.08</v>
      </c>
    </row>
    <row r="5938" spans="1:8" x14ac:dyDescent="0.35">
      <c r="A5938" t="s">
        <v>7</v>
      </c>
      <c r="B5938" t="s">
        <v>12</v>
      </c>
      <c r="C5938" t="s">
        <v>10</v>
      </c>
      <c r="D5938">
        <v>157</v>
      </c>
      <c r="E5938">
        <v>13</v>
      </c>
      <c r="F5938">
        <v>8.2799999999999994</v>
      </c>
      <c r="G5938">
        <v>43.15</v>
      </c>
      <c r="H5938">
        <v>6774.55</v>
      </c>
    </row>
    <row r="5939" spans="1:8" x14ac:dyDescent="0.35">
      <c r="A5939" t="s">
        <v>7</v>
      </c>
      <c r="B5939" t="s">
        <v>12</v>
      </c>
      <c r="C5939" t="s">
        <v>10</v>
      </c>
      <c r="D5939">
        <v>270</v>
      </c>
      <c r="E5939">
        <v>6</v>
      </c>
      <c r="F5939">
        <v>2.2200000000000002</v>
      </c>
      <c r="G5939">
        <v>61.21</v>
      </c>
      <c r="H5939">
        <v>16526.7</v>
      </c>
    </row>
    <row r="5940" spans="1:8" x14ac:dyDescent="0.35">
      <c r="A5940" t="s">
        <v>5</v>
      </c>
      <c r="B5940" t="s">
        <v>12</v>
      </c>
      <c r="C5940" t="s">
        <v>9</v>
      </c>
      <c r="D5940">
        <v>202</v>
      </c>
      <c r="E5940">
        <v>4</v>
      </c>
      <c r="F5940">
        <v>1.98</v>
      </c>
      <c r="G5940">
        <v>33.81</v>
      </c>
      <c r="H5940">
        <v>6829.62</v>
      </c>
    </row>
    <row r="5941" spans="1:8" x14ac:dyDescent="0.35">
      <c r="A5941" t="s">
        <v>6</v>
      </c>
      <c r="B5941" t="s">
        <v>12</v>
      </c>
      <c r="C5941" t="s">
        <v>11</v>
      </c>
      <c r="D5941">
        <v>167</v>
      </c>
      <c r="E5941">
        <v>3</v>
      </c>
      <c r="F5941">
        <v>1.8</v>
      </c>
      <c r="G5941">
        <v>45.82</v>
      </c>
      <c r="H5941">
        <v>7651.94</v>
      </c>
    </row>
    <row r="5942" spans="1:8" x14ac:dyDescent="0.35">
      <c r="A5942" t="s">
        <v>8</v>
      </c>
      <c r="B5942" t="s">
        <v>12</v>
      </c>
      <c r="C5942" t="s">
        <v>9</v>
      </c>
      <c r="D5942">
        <v>194</v>
      </c>
      <c r="E5942">
        <v>8</v>
      </c>
      <c r="F5942">
        <v>4.12</v>
      </c>
      <c r="G5942">
        <v>54.3</v>
      </c>
      <c r="H5942">
        <v>10534.2</v>
      </c>
    </row>
    <row r="5943" spans="1:8" x14ac:dyDescent="0.35">
      <c r="A5943" t="s">
        <v>6</v>
      </c>
      <c r="B5943" t="s">
        <v>12</v>
      </c>
      <c r="C5943" t="s">
        <v>11</v>
      </c>
      <c r="D5943">
        <v>181</v>
      </c>
      <c r="E5943">
        <v>6</v>
      </c>
      <c r="F5943">
        <v>3.31</v>
      </c>
      <c r="G5943">
        <v>30.83</v>
      </c>
      <c r="H5943">
        <v>5580.23</v>
      </c>
    </row>
    <row r="5944" spans="1:8" x14ac:dyDescent="0.35">
      <c r="A5944" t="s">
        <v>8</v>
      </c>
      <c r="B5944" t="s">
        <v>12</v>
      </c>
      <c r="C5944" t="s">
        <v>9</v>
      </c>
      <c r="D5944">
        <v>189</v>
      </c>
      <c r="E5944">
        <v>0</v>
      </c>
      <c r="F5944">
        <v>0</v>
      </c>
      <c r="G5944">
        <v>47.91</v>
      </c>
      <c r="H5944">
        <v>9054.99</v>
      </c>
    </row>
    <row r="5945" spans="1:8" x14ac:dyDescent="0.35">
      <c r="A5945" t="s">
        <v>6</v>
      </c>
      <c r="B5945" t="s">
        <v>12</v>
      </c>
      <c r="C5945" t="s">
        <v>9</v>
      </c>
      <c r="D5945">
        <v>134</v>
      </c>
      <c r="E5945">
        <v>11</v>
      </c>
      <c r="F5945">
        <v>8.2100000000000009</v>
      </c>
      <c r="G5945">
        <v>58.23</v>
      </c>
      <c r="H5945">
        <v>7802.82</v>
      </c>
    </row>
    <row r="5946" spans="1:8" x14ac:dyDescent="0.35">
      <c r="A5946" t="s">
        <v>6</v>
      </c>
      <c r="B5946" t="s">
        <v>12</v>
      </c>
      <c r="C5946" t="s">
        <v>11</v>
      </c>
      <c r="D5946">
        <v>169</v>
      </c>
      <c r="E5946">
        <v>3</v>
      </c>
      <c r="F5946">
        <v>1.78</v>
      </c>
      <c r="G5946">
        <v>57.51</v>
      </c>
      <c r="H5946">
        <v>9719.19</v>
      </c>
    </row>
    <row r="5947" spans="1:8" x14ac:dyDescent="0.35">
      <c r="A5947" t="s">
        <v>6</v>
      </c>
      <c r="B5947" t="s">
        <v>12</v>
      </c>
      <c r="C5947" t="s">
        <v>9</v>
      </c>
      <c r="D5947">
        <v>88</v>
      </c>
      <c r="E5947">
        <v>0</v>
      </c>
      <c r="F5947">
        <v>0</v>
      </c>
      <c r="G5947">
        <v>63.54</v>
      </c>
      <c r="H5947">
        <v>5591.52</v>
      </c>
    </row>
    <row r="5948" spans="1:8" x14ac:dyDescent="0.35">
      <c r="A5948" t="s">
        <v>8</v>
      </c>
      <c r="B5948" t="s">
        <v>12</v>
      </c>
      <c r="C5948" t="s">
        <v>9</v>
      </c>
      <c r="D5948">
        <v>83</v>
      </c>
      <c r="E5948">
        <v>4</v>
      </c>
      <c r="F5948">
        <v>4.82</v>
      </c>
      <c r="G5948">
        <v>7.89</v>
      </c>
      <c r="H5948">
        <v>654.87</v>
      </c>
    </row>
    <row r="5949" spans="1:8" x14ac:dyDescent="0.35">
      <c r="A5949" t="s">
        <v>6</v>
      </c>
      <c r="B5949" t="s">
        <v>12</v>
      </c>
      <c r="C5949" t="s">
        <v>11</v>
      </c>
      <c r="D5949">
        <v>281</v>
      </c>
      <c r="E5949">
        <v>11</v>
      </c>
      <c r="F5949">
        <v>3.91</v>
      </c>
      <c r="G5949">
        <v>49.67</v>
      </c>
      <c r="H5949">
        <v>13957.27</v>
      </c>
    </row>
    <row r="5950" spans="1:8" x14ac:dyDescent="0.35">
      <c r="A5950" t="s">
        <v>7</v>
      </c>
      <c r="B5950" t="s">
        <v>12</v>
      </c>
      <c r="C5950" t="s">
        <v>10</v>
      </c>
      <c r="D5950">
        <v>176</v>
      </c>
      <c r="E5950">
        <v>6</v>
      </c>
      <c r="F5950">
        <v>3.41</v>
      </c>
      <c r="G5950">
        <v>38.21</v>
      </c>
      <c r="H5950">
        <v>6724.96</v>
      </c>
    </row>
    <row r="5951" spans="1:8" x14ac:dyDescent="0.35">
      <c r="A5951" t="s">
        <v>5</v>
      </c>
      <c r="B5951" t="s">
        <v>12</v>
      </c>
      <c r="C5951" t="s">
        <v>9</v>
      </c>
      <c r="D5951">
        <v>110</v>
      </c>
      <c r="E5951">
        <v>11</v>
      </c>
      <c r="F5951">
        <v>10</v>
      </c>
      <c r="G5951">
        <v>26.96</v>
      </c>
      <c r="H5951">
        <v>2965.6</v>
      </c>
    </row>
    <row r="5952" spans="1:8" x14ac:dyDescent="0.35">
      <c r="A5952" t="s">
        <v>7</v>
      </c>
      <c r="B5952" t="s">
        <v>12</v>
      </c>
      <c r="C5952" t="s">
        <v>10</v>
      </c>
      <c r="D5952">
        <v>76</v>
      </c>
      <c r="E5952">
        <v>5</v>
      </c>
      <c r="F5952">
        <v>6.58</v>
      </c>
      <c r="G5952">
        <v>61.78</v>
      </c>
      <c r="H5952">
        <v>4695.28</v>
      </c>
    </row>
    <row r="5953" spans="1:8" x14ac:dyDescent="0.35">
      <c r="A5953" t="s">
        <v>6</v>
      </c>
      <c r="B5953" t="s">
        <v>12</v>
      </c>
      <c r="C5953" t="s">
        <v>11</v>
      </c>
      <c r="D5953">
        <v>191</v>
      </c>
      <c r="E5953">
        <v>0</v>
      </c>
      <c r="F5953">
        <v>0</v>
      </c>
      <c r="G5953">
        <v>32.840000000000003</v>
      </c>
      <c r="H5953">
        <v>6272.44</v>
      </c>
    </row>
    <row r="5954" spans="1:8" x14ac:dyDescent="0.35">
      <c r="A5954" t="s">
        <v>6</v>
      </c>
      <c r="B5954" t="s">
        <v>12</v>
      </c>
      <c r="C5954" t="s">
        <v>9</v>
      </c>
      <c r="D5954">
        <v>263</v>
      </c>
      <c r="E5954">
        <v>24</v>
      </c>
      <c r="F5954">
        <v>9.1300000000000008</v>
      </c>
      <c r="G5954">
        <v>63.78</v>
      </c>
      <c r="H5954">
        <v>16774.14</v>
      </c>
    </row>
    <row r="5955" spans="1:8" x14ac:dyDescent="0.35">
      <c r="A5955" t="s">
        <v>8</v>
      </c>
      <c r="B5955" t="s">
        <v>12</v>
      </c>
      <c r="C5955" t="s">
        <v>9</v>
      </c>
      <c r="D5955">
        <v>206</v>
      </c>
      <c r="E5955">
        <v>1</v>
      </c>
      <c r="F5955">
        <v>0.49</v>
      </c>
      <c r="G5955">
        <v>39.46</v>
      </c>
      <c r="H5955">
        <v>8128.76</v>
      </c>
    </row>
    <row r="5956" spans="1:8" x14ac:dyDescent="0.35">
      <c r="A5956" t="s">
        <v>5</v>
      </c>
      <c r="B5956" t="s">
        <v>12</v>
      </c>
      <c r="C5956" t="s">
        <v>9</v>
      </c>
      <c r="D5956">
        <v>210</v>
      </c>
      <c r="E5956">
        <v>19</v>
      </c>
      <c r="F5956">
        <v>9.0500000000000007</v>
      </c>
      <c r="G5956">
        <v>15.64</v>
      </c>
      <c r="H5956">
        <v>3284.4</v>
      </c>
    </row>
    <row r="5957" spans="1:8" x14ac:dyDescent="0.35">
      <c r="A5957" t="s">
        <v>6</v>
      </c>
      <c r="B5957" t="s">
        <v>12</v>
      </c>
      <c r="C5957" t="s">
        <v>9</v>
      </c>
      <c r="D5957">
        <v>193</v>
      </c>
      <c r="E5957">
        <v>4</v>
      </c>
      <c r="F5957">
        <v>2.0699999999999998</v>
      </c>
      <c r="G5957">
        <v>46.75</v>
      </c>
      <c r="H5957">
        <v>9022.75</v>
      </c>
    </row>
    <row r="5958" spans="1:8" x14ac:dyDescent="0.35">
      <c r="A5958" t="s">
        <v>6</v>
      </c>
      <c r="B5958" t="s">
        <v>12</v>
      </c>
      <c r="C5958" t="s">
        <v>9</v>
      </c>
      <c r="D5958">
        <v>117</v>
      </c>
      <c r="E5958">
        <v>3</v>
      </c>
      <c r="F5958">
        <v>2.56</v>
      </c>
      <c r="G5958">
        <v>45.09</v>
      </c>
      <c r="H5958">
        <v>5275.53</v>
      </c>
    </row>
    <row r="5959" spans="1:8" x14ac:dyDescent="0.35">
      <c r="A5959" t="s">
        <v>6</v>
      </c>
      <c r="B5959" t="s">
        <v>12</v>
      </c>
      <c r="C5959" t="s">
        <v>11</v>
      </c>
      <c r="D5959">
        <v>173</v>
      </c>
      <c r="E5959">
        <v>12</v>
      </c>
      <c r="F5959">
        <v>6.94</v>
      </c>
      <c r="G5959">
        <v>65.989999999999995</v>
      </c>
      <c r="H5959">
        <v>11416.27</v>
      </c>
    </row>
    <row r="5960" spans="1:8" x14ac:dyDescent="0.35">
      <c r="A5960" t="s">
        <v>7</v>
      </c>
      <c r="B5960" t="s">
        <v>12</v>
      </c>
      <c r="C5960" t="s">
        <v>10</v>
      </c>
      <c r="D5960">
        <v>190</v>
      </c>
      <c r="E5960">
        <v>6</v>
      </c>
      <c r="F5960">
        <v>3.16</v>
      </c>
      <c r="G5960">
        <v>47.95</v>
      </c>
      <c r="H5960">
        <v>9110.5</v>
      </c>
    </row>
    <row r="5961" spans="1:8" x14ac:dyDescent="0.35">
      <c r="A5961" t="s">
        <v>6</v>
      </c>
      <c r="B5961" t="s">
        <v>12</v>
      </c>
      <c r="C5961" t="s">
        <v>11</v>
      </c>
      <c r="D5961">
        <v>269</v>
      </c>
      <c r="E5961">
        <v>16</v>
      </c>
      <c r="F5961">
        <v>5.95</v>
      </c>
      <c r="G5961">
        <v>53.44</v>
      </c>
      <c r="H5961">
        <v>14375.36</v>
      </c>
    </row>
    <row r="5962" spans="1:8" x14ac:dyDescent="0.35">
      <c r="A5962" t="s">
        <v>5</v>
      </c>
      <c r="B5962" t="s">
        <v>12</v>
      </c>
      <c r="C5962" t="s">
        <v>9</v>
      </c>
      <c r="D5962">
        <v>83</v>
      </c>
      <c r="E5962">
        <v>6</v>
      </c>
      <c r="F5962">
        <v>7.23</v>
      </c>
      <c r="G5962">
        <v>58.09</v>
      </c>
      <c r="H5962">
        <v>4821.47</v>
      </c>
    </row>
    <row r="5963" spans="1:8" x14ac:dyDescent="0.35">
      <c r="A5963" t="s">
        <v>5</v>
      </c>
      <c r="B5963" t="s">
        <v>12</v>
      </c>
      <c r="C5963" t="s">
        <v>9</v>
      </c>
      <c r="D5963">
        <v>278</v>
      </c>
      <c r="E5963">
        <v>5</v>
      </c>
      <c r="F5963">
        <v>1.8</v>
      </c>
      <c r="G5963">
        <v>35.07</v>
      </c>
      <c r="H5963">
        <v>9749.4599999999991</v>
      </c>
    </row>
    <row r="5964" spans="1:8" x14ac:dyDescent="0.35">
      <c r="A5964" t="s">
        <v>7</v>
      </c>
      <c r="B5964" t="s">
        <v>12</v>
      </c>
      <c r="C5964" t="s">
        <v>10</v>
      </c>
      <c r="D5964">
        <v>194</v>
      </c>
      <c r="E5964">
        <v>2</v>
      </c>
      <c r="F5964">
        <v>1.03</v>
      </c>
      <c r="G5964">
        <v>24.42</v>
      </c>
      <c r="H5964">
        <v>4737.4799999999996</v>
      </c>
    </row>
    <row r="5965" spans="1:8" x14ac:dyDescent="0.35">
      <c r="A5965" t="s">
        <v>8</v>
      </c>
      <c r="B5965" t="s">
        <v>12</v>
      </c>
      <c r="C5965" t="s">
        <v>9</v>
      </c>
      <c r="D5965">
        <v>212</v>
      </c>
      <c r="E5965">
        <v>18</v>
      </c>
      <c r="F5965">
        <v>8.49</v>
      </c>
      <c r="G5965">
        <v>20.399999999999999</v>
      </c>
      <c r="H5965">
        <v>4324.8</v>
      </c>
    </row>
    <row r="5966" spans="1:8" x14ac:dyDescent="0.35">
      <c r="A5966" t="s">
        <v>5</v>
      </c>
      <c r="B5966" t="s">
        <v>12</v>
      </c>
      <c r="C5966" t="s">
        <v>9</v>
      </c>
      <c r="D5966">
        <v>265</v>
      </c>
      <c r="E5966">
        <v>11</v>
      </c>
      <c r="F5966">
        <v>4.1500000000000004</v>
      </c>
      <c r="G5966">
        <v>17.43</v>
      </c>
      <c r="H5966">
        <v>4618.95</v>
      </c>
    </row>
    <row r="5967" spans="1:8" x14ac:dyDescent="0.35">
      <c r="A5967" t="s">
        <v>6</v>
      </c>
      <c r="B5967" t="s">
        <v>12</v>
      </c>
      <c r="C5967" t="s">
        <v>9</v>
      </c>
      <c r="D5967">
        <v>79</v>
      </c>
      <c r="E5967">
        <v>1</v>
      </c>
      <c r="F5967">
        <v>1.27</v>
      </c>
      <c r="G5967">
        <v>9.9499999999999993</v>
      </c>
      <c r="H5967">
        <v>786.05</v>
      </c>
    </row>
    <row r="5968" spans="1:8" x14ac:dyDescent="0.35">
      <c r="A5968" t="s">
        <v>7</v>
      </c>
      <c r="B5968" t="s">
        <v>12</v>
      </c>
      <c r="C5968" t="s">
        <v>10</v>
      </c>
      <c r="D5968">
        <v>218</v>
      </c>
      <c r="E5968">
        <v>9</v>
      </c>
      <c r="F5968">
        <v>4.13</v>
      </c>
      <c r="G5968">
        <v>55.86</v>
      </c>
      <c r="H5968">
        <v>12177.48</v>
      </c>
    </row>
    <row r="5969" spans="1:8" x14ac:dyDescent="0.35">
      <c r="A5969" t="s">
        <v>6</v>
      </c>
      <c r="B5969" t="s">
        <v>12</v>
      </c>
      <c r="C5969" t="s">
        <v>9</v>
      </c>
      <c r="D5969">
        <v>51</v>
      </c>
      <c r="E5969">
        <v>2</v>
      </c>
      <c r="F5969">
        <v>3.92</v>
      </c>
      <c r="G5969">
        <v>65.2</v>
      </c>
      <c r="H5969">
        <v>3325.2</v>
      </c>
    </row>
    <row r="5970" spans="1:8" x14ac:dyDescent="0.35">
      <c r="A5970" t="s">
        <v>7</v>
      </c>
      <c r="B5970" t="s">
        <v>12</v>
      </c>
      <c r="C5970" t="s">
        <v>9</v>
      </c>
      <c r="D5970">
        <v>126</v>
      </c>
      <c r="E5970">
        <v>9</v>
      </c>
      <c r="F5970">
        <v>7.14</v>
      </c>
      <c r="G5970">
        <v>9.4</v>
      </c>
      <c r="H5970">
        <v>1184.4000000000001</v>
      </c>
    </row>
    <row r="5971" spans="1:8" x14ac:dyDescent="0.35">
      <c r="A5971" t="s">
        <v>8</v>
      </c>
      <c r="B5971" t="s">
        <v>12</v>
      </c>
      <c r="C5971" t="s">
        <v>9</v>
      </c>
      <c r="D5971">
        <v>184</v>
      </c>
      <c r="E5971">
        <v>8</v>
      </c>
      <c r="F5971">
        <v>4.3499999999999996</v>
      </c>
      <c r="G5971">
        <v>26.04</v>
      </c>
      <c r="H5971">
        <v>4791.3599999999997</v>
      </c>
    </row>
    <row r="5972" spans="1:8" x14ac:dyDescent="0.35">
      <c r="A5972" t="s">
        <v>6</v>
      </c>
      <c r="B5972" t="s">
        <v>12</v>
      </c>
      <c r="C5972" t="s">
        <v>9</v>
      </c>
      <c r="D5972">
        <v>280</v>
      </c>
      <c r="E5972">
        <v>3</v>
      </c>
      <c r="F5972">
        <v>1.07</v>
      </c>
      <c r="G5972">
        <v>40.9</v>
      </c>
      <c r="H5972">
        <v>11452</v>
      </c>
    </row>
    <row r="5973" spans="1:8" x14ac:dyDescent="0.35">
      <c r="A5973" t="s">
        <v>5</v>
      </c>
      <c r="B5973" t="s">
        <v>12</v>
      </c>
      <c r="C5973" t="s">
        <v>9</v>
      </c>
      <c r="D5973">
        <v>263</v>
      </c>
      <c r="E5973">
        <v>16</v>
      </c>
      <c r="F5973">
        <v>6.08</v>
      </c>
      <c r="G5973">
        <v>13.07</v>
      </c>
      <c r="H5973">
        <v>3437.41</v>
      </c>
    </row>
    <row r="5974" spans="1:8" x14ac:dyDescent="0.35">
      <c r="A5974" t="s">
        <v>8</v>
      </c>
      <c r="B5974" t="s">
        <v>12</v>
      </c>
      <c r="C5974" t="s">
        <v>9</v>
      </c>
      <c r="D5974">
        <v>268</v>
      </c>
      <c r="E5974">
        <v>13</v>
      </c>
      <c r="F5974">
        <v>4.8499999999999996</v>
      </c>
      <c r="G5974">
        <v>65.83</v>
      </c>
      <c r="H5974">
        <v>17642.439999999999</v>
      </c>
    </row>
    <row r="5975" spans="1:8" x14ac:dyDescent="0.35">
      <c r="A5975" t="s">
        <v>7</v>
      </c>
      <c r="B5975" t="s">
        <v>12</v>
      </c>
      <c r="C5975" t="s">
        <v>10</v>
      </c>
      <c r="D5975">
        <v>126</v>
      </c>
      <c r="E5975">
        <v>6</v>
      </c>
      <c r="F5975">
        <v>4.76</v>
      </c>
      <c r="G5975">
        <v>47.85</v>
      </c>
      <c r="H5975">
        <v>6029.1</v>
      </c>
    </row>
    <row r="5976" spans="1:8" x14ac:dyDescent="0.35">
      <c r="A5976" t="s">
        <v>7</v>
      </c>
      <c r="B5976" t="s">
        <v>12</v>
      </c>
      <c r="C5976" t="s">
        <v>10</v>
      </c>
      <c r="D5976">
        <v>218</v>
      </c>
      <c r="E5976">
        <v>20</v>
      </c>
      <c r="F5976">
        <v>9.17</v>
      </c>
      <c r="G5976">
        <v>19.84</v>
      </c>
      <c r="H5976">
        <v>4325.12</v>
      </c>
    </row>
    <row r="5977" spans="1:8" x14ac:dyDescent="0.35">
      <c r="A5977" t="s">
        <v>7</v>
      </c>
      <c r="B5977" t="s">
        <v>12</v>
      </c>
      <c r="C5977" t="s">
        <v>9</v>
      </c>
      <c r="D5977">
        <v>223</v>
      </c>
      <c r="E5977">
        <v>9</v>
      </c>
      <c r="F5977">
        <v>4.04</v>
      </c>
      <c r="G5977">
        <v>32.25</v>
      </c>
      <c r="H5977">
        <v>7191.75</v>
      </c>
    </row>
    <row r="5978" spans="1:8" x14ac:dyDescent="0.35">
      <c r="A5978" t="s">
        <v>6</v>
      </c>
      <c r="B5978" t="s">
        <v>12</v>
      </c>
      <c r="C5978" t="s">
        <v>9</v>
      </c>
      <c r="D5978">
        <v>90</v>
      </c>
      <c r="E5978">
        <v>7</v>
      </c>
      <c r="F5978">
        <v>7.78</v>
      </c>
      <c r="G5978">
        <v>13.23</v>
      </c>
      <c r="H5978">
        <v>1190.7</v>
      </c>
    </row>
    <row r="5979" spans="1:8" x14ac:dyDescent="0.35">
      <c r="A5979" t="s">
        <v>6</v>
      </c>
      <c r="B5979" t="s">
        <v>12</v>
      </c>
      <c r="C5979" t="s">
        <v>11</v>
      </c>
      <c r="D5979">
        <v>148</v>
      </c>
      <c r="E5979">
        <v>3</v>
      </c>
      <c r="F5979">
        <v>2.0299999999999998</v>
      </c>
      <c r="G5979">
        <v>50.3</v>
      </c>
      <c r="H5979">
        <v>7444.4</v>
      </c>
    </row>
    <row r="5980" spans="1:8" x14ac:dyDescent="0.35">
      <c r="A5980" t="s">
        <v>7</v>
      </c>
      <c r="B5980" t="s">
        <v>12</v>
      </c>
      <c r="C5980" t="s">
        <v>9</v>
      </c>
      <c r="D5980">
        <v>52</v>
      </c>
      <c r="E5980">
        <v>2</v>
      </c>
      <c r="F5980">
        <v>3.85</v>
      </c>
      <c r="G5980">
        <v>67.27</v>
      </c>
      <c r="H5980">
        <v>3498.04</v>
      </c>
    </row>
    <row r="5981" spans="1:8" x14ac:dyDescent="0.35">
      <c r="A5981" t="s">
        <v>5</v>
      </c>
      <c r="B5981" t="s">
        <v>12</v>
      </c>
      <c r="C5981" t="s">
        <v>9</v>
      </c>
      <c r="D5981">
        <v>161</v>
      </c>
      <c r="E5981">
        <v>12</v>
      </c>
      <c r="F5981">
        <v>7.45</v>
      </c>
      <c r="G5981">
        <v>17.95</v>
      </c>
      <c r="H5981">
        <v>2889.95</v>
      </c>
    </row>
    <row r="5982" spans="1:8" x14ac:dyDescent="0.35">
      <c r="A5982" t="s">
        <v>8</v>
      </c>
      <c r="B5982" t="s">
        <v>12</v>
      </c>
      <c r="C5982" t="s">
        <v>9</v>
      </c>
      <c r="D5982">
        <v>203</v>
      </c>
      <c r="E5982">
        <v>5</v>
      </c>
      <c r="F5982">
        <v>2.46</v>
      </c>
      <c r="G5982">
        <v>58.5</v>
      </c>
      <c r="H5982">
        <v>11875.5</v>
      </c>
    </row>
    <row r="5983" spans="1:8" x14ac:dyDescent="0.35">
      <c r="A5983" t="s">
        <v>7</v>
      </c>
      <c r="B5983" t="s">
        <v>12</v>
      </c>
      <c r="C5983" t="s">
        <v>10</v>
      </c>
      <c r="D5983">
        <v>205</v>
      </c>
      <c r="E5983">
        <v>1</v>
      </c>
      <c r="F5983">
        <v>0.49</v>
      </c>
      <c r="G5983">
        <v>58.6</v>
      </c>
      <c r="H5983">
        <v>12013</v>
      </c>
    </row>
    <row r="5984" spans="1:8" x14ac:dyDescent="0.35">
      <c r="A5984" t="s">
        <v>5</v>
      </c>
      <c r="B5984" t="s">
        <v>12</v>
      </c>
      <c r="C5984" t="s">
        <v>9</v>
      </c>
      <c r="D5984">
        <v>119</v>
      </c>
      <c r="E5984">
        <v>8</v>
      </c>
      <c r="F5984">
        <v>6.72</v>
      </c>
      <c r="G5984">
        <v>47.36</v>
      </c>
      <c r="H5984">
        <v>5635.84</v>
      </c>
    </row>
    <row r="5985" spans="1:8" x14ac:dyDescent="0.35">
      <c r="A5985" t="s">
        <v>6</v>
      </c>
      <c r="B5985" t="s">
        <v>12</v>
      </c>
      <c r="C5985" t="s">
        <v>11</v>
      </c>
      <c r="D5985">
        <v>288</v>
      </c>
      <c r="E5985">
        <v>15</v>
      </c>
      <c r="F5985">
        <v>5.21</v>
      </c>
      <c r="G5985">
        <v>61.95</v>
      </c>
      <c r="H5985">
        <v>17841.599999999999</v>
      </c>
    </row>
    <row r="5986" spans="1:8" x14ac:dyDescent="0.35">
      <c r="A5986" t="s">
        <v>7</v>
      </c>
      <c r="B5986" t="s">
        <v>12</v>
      </c>
      <c r="C5986" t="s">
        <v>9</v>
      </c>
      <c r="D5986">
        <v>151</v>
      </c>
      <c r="E5986">
        <v>6</v>
      </c>
      <c r="F5986">
        <v>3.97</v>
      </c>
      <c r="G5986">
        <v>56.79</v>
      </c>
      <c r="H5986">
        <v>8575.2900000000009</v>
      </c>
    </row>
    <row r="5987" spans="1:8" x14ac:dyDescent="0.35">
      <c r="A5987" t="s">
        <v>7</v>
      </c>
      <c r="B5987" t="s">
        <v>12</v>
      </c>
      <c r="C5987" t="s">
        <v>9</v>
      </c>
      <c r="D5987">
        <v>269</v>
      </c>
      <c r="E5987">
        <v>10</v>
      </c>
      <c r="F5987">
        <v>3.72</v>
      </c>
      <c r="G5987">
        <v>64.06</v>
      </c>
      <c r="H5987">
        <v>17232.14</v>
      </c>
    </row>
    <row r="5988" spans="1:8" x14ac:dyDescent="0.35">
      <c r="A5988" t="s">
        <v>8</v>
      </c>
      <c r="B5988" t="s">
        <v>12</v>
      </c>
      <c r="C5988" t="s">
        <v>9</v>
      </c>
      <c r="D5988">
        <v>76</v>
      </c>
      <c r="E5988">
        <v>4</v>
      </c>
      <c r="F5988">
        <v>5.26</v>
      </c>
      <c r="G5988">
        <v>49.83</v>
      </c>
      <c r="H5988">
        <v>3787.08</v>
      </c>
    </row>
    <row r="5989" spans="1:8" x14ac:dyDescent="0.35">
      <c r="A5989" t="s">
        <v>5</v>
      </c>
      <c r="B5989" t="s">
        <v>12</v>
      </c>
      <c r="C5989" t="s">
        <v>9</v>
      </c>
      <c r="D5989">
        <v>218</v>
      </c>
      <c r="E5989">
        <v>5</v>
      </c>
      <c r="F5989">
        <v>2.29</v>
      </c>
      <c r="G5989">
        <v>25.93</v>
      </c>
      <c r="H5989">
        <v>5652.74</v>
      </c>
    </row>
    <row r="5990" spans="1:8" x14ac:dyDescent="0.35">
      <c r="A5990" t="s">
        <v>7</v>
      </c>
      <c r="B5990" t="s">
        <v>12</v>
      </c>
      <c r="C5990" t="s">
        <v>9</v>
      </c>
      <c r="D5990">
        <v>283</v>
      </c>
      <c r="E5990">
        <v>4</v>
      </c>
      <c r="F5990">
        <v>1.41</v>
      </c>
      <c r="G5990">
        <v>67.38</v>
      </c>
      <c r="H5990">
        <v>19068.54</v>
      </c>
    </row>
    <row r="5991" spans="1:8" x14ac:dyDescent="0.35">
      <c r="A5991" t="s">
        <v>8</v>
      </c>
      <c r="B5991" t="s">
        <v>12</v>
      </c>
      <c r="C5991" t="s">
        <v>9</v>
      </c>
      <c r="D5991">
        <v>274</v>
      </c>
      <c r="E5991">
        <v>18</v>
      </c>
      <c r="F5991">
        <v>6.57</v>
      </c>
      <c r="G5991">
        <v>42.11</v>
      </c>
      <c r="H5991">
        <v>11538.14</v>
      </c>
    </row>
    <row r="5992" spans="1:8" x14ac:dyDescent="0.35">
      <c r="A5992" t="s">
        <v>5</v>
      </c>
      <c r="B5992" t="s">
        <v>12</v>
      </c>
      <c r="C5992" t="s">
        <v>9</v>
      </c>
      <c r="D5992">
        <v>162</v>
      </c>
      <c r="E5992">
        <v>10</v>
      </c>
      <c r="F5992">
        <v>6.17</v>
      </c>
      <c r="G5992">
        <v>25.76</v>
      </c>
      <c r="H5992">
        <v>4173.12</v>
      </c>
    </row>
    <row r="5993" spans="1:8" x14ac:dyDescent="0.35">
      <c r="A5993" t="s">
        <v>7</v>
      </c>
      <c r="B5993" t="s">
        <v>12</v>
      </c>
      <c r="C5993" t="s">
        <v>9</v>
      </c>
      <c r="D5993">
        <v>252</v>
      </c>
      <c r="E5993">
        <v>0</v>
      </c>
      <c r="F5993">
        <v>0</v>
      </c>
      <c r="G5993">
        <v>8.1</v>
      </c>
      <c r="H5993">
        <v>2041.2</v>
      </c>
    </row>
    <row r="5994" spans="1:8" x14ac:dyDescent="0.35">
      <c r="A5994" t="s">
        <v>5</v>
      </c>
      <c r="B5994" t="s">
        <v>12</v>
      </c>
      <c r="C5994" t="s">
        <v>9</v>
      </c>
      <c r="D5994">
        <v>159</v>
      </c>
      <c r="E5994">
        <v>12</v>
      </c>
      <c r="F5994">
        <v>7.55</v>
      </c>
      <c r="G5994">
        <v>64.86</v>
      </c>
      <c r="H5994">
        <v>10312.74</v>
      </c>
    </row>
    <row r="5995" spans="1:8" x14ac:dyDescent="0.35">
      <c r="A5995" t="s">
        <v>7</v>
      </c>
      <c r="B5995" t="s">
        <v>12</v>
      </c>
      <c r="C5995" t="s">
        <v>10</v>
      </c>
      <c r="D5995">
        <v>161</v>
      </c>
      <c r="E5995">
        <v>8</v>
      </c>
      <c r="F5995">
        <v>4.97</v>
      </c>
      <c r="G5995">
        <v>14.76</v>
      </c>
      <c r="H5995">
        <v>2376.36</v>
      </c>
    </row>
    <row r="5996" spans="1:8" x14ac:dyDescent="0.35">
      <c r="A5996" t="s">
        <v>6</v>
      </c>
      <c r="B5996" t="s">
        <v>12</v>
      </c>
      <c r="C5996" t="s">
        <v>11</v>
      </c>
      <c r="D5996">
        <v>178</v>
      </c>
      <c r="E5996">
        <v>16</v>
      </c>
      <c r="F5996">
        <v>8.99</v>
      </c>
      <c r="G5996">
        <v>25.76</v>
      </c>
      <c r="H5996">
        <v>4585.28</v>
      </c>
    </row>
    <row r="5997" spans="1:8" x14ac:dyDescent="0.35">
      <c r="A5997" t="s">
        <v>5</v>
      </c>
      <c r="B5997" t="s">
        <v>12</v>
      </c>
      <c r="C5997" t="s">
        <v>9</v>
      </c>
      <c r="D5997">
        <v>137</v>
      </c>
      <c r="E5997">
        <v>9</v>
      </c>
      <c r="F5997">
        <v>6.57</v>
      </c>
      <c r="G5997">
        <v>20.12</v>
      </c>
      <c r="H5997">
        <v>2756.44</v>
      </c>
    </row>
    <row r="5998" spans="1:8" x14ac:dyDescent="0.35">
      <c r="A5998" t="s">
        <v>6</v>
      </c>
      <c r="B5998" t="s">
        <v>12</v>
      </c>
      <c r="C5998" t="s">
        <v>9</v>
      </c>
      <c r="D5998">
        <v>165</v>
      </c>
      <c r="E5998">
        <v>6</v>
      </c>
      <c r="F5998">
        <v>3.64</v>
      </c>
      <c r="G5998">
        <v>22.49</v>
      </c>
      <c r="H5998">
        <v>3710.85</v>
      </c>
    </row>
    <row r="5999" spans="1:8" x14ac:dyDescent="0.35">
      <c r="A5999" t="s">
        <v>6</v>
      </c>
      <c r="B5999" t="s">
        <v>12</v>
      </c>
      <c r="C5999" t="s">
        <v>9</v>
      </c>
      <c r="D5999">
        <v>218</v>
      </c>
      <c r="E5999">
        <v>16</v>
      </c>
      <c r="F5999">
        <v>7.34</v>
      </c>
      <c r="G5999">
        <v>39.44</v>
      </c>
      <c r="H5999">
        <v>8597.92</v>
      </c>
    </row>
    <row r="6000" spans="1:8" x14ac:dyDescent="0.35">
      <c r="A6000" t="s">
        <v>6</v>
      </c>
      <c r="B6000" t="s">
        <v>12</v>
      </c>
      <c r="C6000" t="s">
        <v>9</v>
      </c>
      <c r="D6000">
        <v>198</v>
      </c>
      <c r="E6000">
        <v>13</v>
      </c>
      <c r="F6000">
        <v>6.57</v>
      </c>
      <c r="G6000">
        <v>35.229999999999997</v>
      </c>
      <c r="H6000">
        <v>6975.54</v>
      </c>
    </row>
    <row r="6001" spans="1:8" x14ac:dyDescent="0.35">
      <c r="A6001" t="s">
        <v>7</v>
      </c>
      <c r="B6001" t="s">
        <v>12</v>
      </c>
      <c r="C6001" t="s">
        <v>10</v>
      </c>
      <c r="D6001">
        <v>260</v>
      </c>
      <c r="E6001">
        <v>5</v>
      </c>
      <c r="F6001">
        <v>1.92</v>
      </c>
      <c r="G6001">
        <v>25.7</v>
      </c>
      <c r="H6001">
        <v>6682</v>
      </c>
    </row>
  </sheetData>
  <autoFilter ref="A1:H600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7B45-336C-42FF-A18C-35A3BDE44EDB}">
  <dimension ref="A1:C9"/>
  <sheetViews>
    <sheetView workbookViewId="0">
      <selection sqref="A1:A9"/>
    </sheetView>
  </sheetViews>
  <sheetFormatPr defaultRowHeight="14.5" x14ac:dyDescent="0.35"/>
  <cols>
    <col min="1" max="1" width="13.6328125" customWidth="1"/>
    <col min="2" max="2" width="16.7265625" customWidth="1"/>
    <col min="3" max="3" width="36" customWidth="1"/>
  </cols>
  <sheetData>
    <row r="1" spans="1:3" x14ac:dyDescent="0.35">
      <c r="A1" s="3" t="s">
        <v>13</v>
      </c>
      <c r="B1" s="4" t="s">
        <v>14</v>
      </c>
      <c r="C1" s="2" t="s">
        <v>22</v>
      </c>
    </row>
    <row r="2" spans="1:3" x14ac:dyDescent="0.35">
      <c r="A2" s="5" t="s">
        <v>0</v>
      </c>
      <c r="B2" s="6">
        <f>COUNTBLANK('cleaned data'!A2:A6001)</f>
        <v>0</v>
      </c>
      <c r="C2" t="s">
        <v>21</v>
      </c>
    </row>
    <row r="3" spans="1:3" x14ac:dyDescent="0.35">
      <c r="A3" s="5" t="s">
        <v>16</v>
      </c>
      <c r="B3" s="6">
        <f>COUNTBLANK('cleaned data'!B2:B6001)</f>
        <v>0</v>
      </c>
    </row>
    <row r="4" spans="1:3" x14ac:dyDescent="0.35">
      <c r="A4" s="5" t="s">
        <v>15</v>
      </c>
      <c r="B4" s="6">
        <f>COUNTBLANK('cleaned data'!C2:C6001)</f>
        <v>0</v>
      </c>
    </row>
    <row r="5" spans="1:3" x14ac:dyDescent="0.35">
      <c r="A5" s="5" t="s">
        <v>18</v>
      </c>
      <c r="B5" s="6">
        <f>COUNTBLANK('cleaned data'!D2:D6001)</f>
        <v>0</v>
      </c>
    </row>
    <row r="6" spans="1:3" x14ac:dyDescent="0.35">
      <c r="A6" s="5" t="s">
        <v>2</v>
      </c>
      <c r="B6" s="6">
        <f>COUNTBLANK('cleaned data'!E2:E6001)</f>
        <v>0</v>
      </c>
    </row>
    <row r="7" spans="1:3" x14ac:dyDescent="0.35">
      <c r="A7" s="5" t="s">
        <v>17</v>
      </c>
      <c r="B7" s="6">
        <f>COUNTBLANK('cleaned data'!F2:F6001)</f>
        <v>0</v>
      </c>
    </row>
    <row r="8" spans="1:3" x14ac:dyDescent="0.35">
      <c r="A8" s="5" t="s">
        <v>19</v>
      </c>
      <c r="B8" s="6">
        <f>COUNTBLANK('cleaned data'!G2:G6001)</f>
        <v>0</v>
      </c>
    </row>
    <row r="9" spans="1:3" x14ac:dyDescent="0.35">
      <c r="A9" s="7" t="s">
        <v>20</v>
      </c>
      <c r="B9" s="8">
        <f>COUNTBLANK('cleaned data'!H2:H6001)</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DB9C-F814-499E-B0BC-E15A6A3F1AD5}">
  <dimension ref="A1:F6"/>
  <sheetViews>
    <sheetView workbookViewId="0">
      <selection activeCell="E13" sqref="E13"/>
    </sheetView>
  </sheetViews>
  <sheetFormatPr defaultRowHeight="14.5" x14ac:dyDescent="0.35"/>
  <cols>
    <col min="1" max="1" width="16.81640625" customWidth="1"/>
    <col min="2" max="2" width="12.6328125" customWidth="1"/>
    <col min="4" max="4" width="15.6328125" customWidth="1"/>
    <col min="5" max="5" width="14" customWidth="1"/>
    <col min="6" max="6" width="15" customWidth="1"/>
  </cols>
  <sheetData>
    <row r="1" spans="1:6" x14ac:dyDescent="0.35">
      <c r="A1" s="19" t="s">
        <v>13</v>
      </c>
      <c r="B1" s="19" t="s">
        <v>33</v>
      </c>
      <c r="C1" s="19" t="s">
        <v>37</v>
      </c>
      <c r="D1" s="19" t="s">
        <v>34</v>
      </c>
      <c r="E1" s="19" t="s">
        <v>35</v>
      </c>
      <c r="F1" s="19" t="s">
        <v>36</v>
      </c>
    </row>
    <row r="2" spans="1:6" x14ac:dyDescent="0.35">
      <c r="A2" s="18" t="s">
        <v>18</v>
      </c>
      <c r="B2" s="18">
        <f>QUARTILE('cleaned data'!D2:D6001,3)</f>
        <v>239</v>
      </c>
      <c r="C2" s="18">
        <f>QUARTILE('cleaned data'!D2:D6001,1)</f>
        <v>114</v>
      </c>
      <c r="D2" s="18">
        <f>B2-C2</f>
        <v>125</v>
      </c>
      <c r="E2" s="18">
        <f>C2-1.5*D2</f>
        <v>-73.5</v>
      </c>
      <c r="F2" s="18">
        <f>B2+1.5*D2</f>
        <v>426.5</v>
      </c>
    </row>
    <row r="3" spans="1:6" x14ac:dyDescent="0.35">
      <c r="A3" s="18" t="s">
        <v>2</v>
      </c>
      <c r="B3" s="18">
        <f>QUARTILE('cleaned data'!E2:E6001,3)</f>
        <v>13</v>
      </c>
      <c r="C3" s="18">
        <f>QUARTILE('cleaned data'!E2:E6001,1)</f>
        <v>3</v>
      </c>
      <c r="D3" s="18">
        <f t="shared" ref="D3:D6" si="0">B3-C3</f>
        <v>10</v>
      </c>
      <c r="E3" s="18">
        <f t="shared" ref="E3:E6" si="1">C3-1.5*D3</f>
        <v>-12</v>
      </c>
      <c r="F3" s="18">
        <f t="shared" ref="F3:F6" si="2">B3+1.5*D3</f>
        <v>28</v>
      </c>
    </row>
    <row r="4" spans="1:6" x14ac:dyDescent="0.35">
      <c r="A4" s="18" t="s">
        <v>17</v>
      </c>
      <c r="B4" s="18">
        <f>QUARTILE('cleaned data'!F2:F6001,3)</f>
        <v>7.45</v>
      </c>
      <c r="C4" s="18">
        <f>QUARTILE('cleaned data'!F2:F6001,1)</f>
        <v>2.2475000000000001</v>
      </c>
      <c r="D4" s="18">
        <f t="shared" si="0"/>
        <v>5.2025000000000006</v>
      </c>
      <c r="E4" s="18">
        <f t="shared" si="1"/>
        <v>-5.5562500000000004</v>
      </c>
      <c r="F4" s="18">
        <f t="shared" si="2"/>
        <v>15.25375</v>
      </c>
    </row>
    <row r="5" spans="1:6" x14ac:dyDescent="0.35">
      <c r="A5" s="18" t="s">
        <v>19</v>
      </c>
      <c r="B5" s="18">
        <f>QUARTILE('cleaned data'!G2:G6001,3)</f>
        <v>53.07</v>
      </c>
      <c r="C5" s="18">
        <f>QUARTILE('cleaned data'!G2:G6001,1)</f>
        <v>21.2575</v>
      </c>
      <c r="D5" s="18">
        <f t="shared" si="0"/>
        <v>31.8125</v>
      </c>
      <c r="E5" s="18">
        <f t="shared" si="1"/>
        <v>-26.46125</v>
      </c>
      <c r="F5" s="18">
        <f t="shared" si="2"/>
        <v>100.78874999999999</v>
      </c>
    </row>
    <row r="6" spans="1:6" x14ac:dyDescent="0.35">
      <c r="A6" s="18" t="s">
        <v>20</v>
      </c>
      <c r="B6" s="18">
        <f>QUARTILE('cleaned data'!H2:H6001,3)</f>
        <v>9343.682499999999</v>
      </c>
      <c r="C6" s="18">
        <f>QUARTILE('cleaned data'!H2:H6001,1)</f>
        <v>2985.9449999999997</v>
      </c>
      <c r="D6" s="18">
        <f t="shared" si="0"/>
        <v>6357.7374999999993</v>
      </c>
      <c r="E6" s="18">
        <f t="shared" si="1"/>
        <v>-6550.6612499999992</v>
      </c>
      <c r="F6" s="18">
        <f t="shared" si="2"/>
        <v>18880.28875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EB81-B6C7-477F-9D2A-7EEC8071DA03}">
  <dimension ref="A1:D6"/>
  <sheetViews>
    <sheetView workbookViewId="0">
      <selection sqref="A1:A6"/>
    </sheetView>
  </sheetViews>
  <sheetFormatPr defaultRowHeight="14.5" x14ac:dyDescent="0.35"/>
  <cols>
    <col min="1" max="1" width="16.453125" customWidth="1"/>
    <col min="2" max="2" width="11.26953125" customWidth="1"/>
    <col min="4" max="4" width="11.7265625" customWidth="1"/>
  </cols>
  <sheetData>
    <row r="1" spans="1:4" x14ac:dyDescent="0.35">
      <c r="A1" s="9" t="s">
        <v>13</v>
      </c>
      <c r="B1" s="12" t="s">
        <v>23</v>
      </c>
      <c r="C1" s="12" t="s">
        <v>24</v>
      </c>
      <c r="D1" s="13" t="s">
        <v>25</v>
      </c>
    </row>
    <row r="2" spans="1:4" x14ac:dyDescent="0.35">
      <c r="A2" s="5" t="s">
        <v>18</v>
      </c>
      <c r="B2" s="10">
        <f>AVERAGE('cleaned data'!D2:D6001)</f>
        <v>176.35116666666667</v>
      </c>
      <c r="C2" s="10">
        <f>MEDIAN('cleaned data'!D2:D16001)</f>
        <v>178</v>
      </c>
      <c r="D2" s="6">
        <f>_xlfn.STDEV.S('cleaned data'!D2:D6001)</f>
        <v>72.036606856700232</v>
      </c>
    </row>
    <row r="3" spans="1:4" x14ac:dyDescent="0.35">
      <c r="A3" s="5" t="s">
        <v>2</v>
      </c>
      <c r="B3" s="10">
        <f>AVERAGE('cleaned data'!E2:E6001)</f>
        <v>8.6548333333333325</v>
      </c>
      <c r="C3" s="10">
        <f>MEDIAN('cleaned data'!E2:E6001)</f>
        <v>7</v>
      </c>
      <c r="D3" s="6">
        <f>_xlfn.STDEV.S('cleaned data'!E2:E6001)</f>
        <v>6.6790813984367174</v>
      </c>
    </row>
    <row r="4" spans="1:4" x14ac:dyDescent="0.35">
      <c r="A4" s="5" t="s">
        <v>17</v>
      </c>
      <c r="B4" s="10">
        <f>AVERAGE('cleaned data'!F2:F6001)</f>
        <v>4.8765483333333428</v>
      </c>
      <c r="C4" s="10">
        <f>MEDIAN('cleaned data'!F2:F6001)</f>
        <v>4.91</v>
      </c>
      <c r="D4" s="6">
        <f>_xlfn.STDEV.S('cleaned data'!F2:F6001)</f>
        <v>3.0027491991711202</v>
      </c>
    </row>
    <row r="5" spans="1:4" x14ac:dyDescent="0.35">
      <c r="A5" s="5" t="s">
        <v>19</v>
      </c>
      <c r="B5" s="10">
        <f>AVERAGE('cleaned data'!G2:G6001)</f>
        <v>37.22025333333341</v>
      </c>
      <c r="C5" s="10">
        <f>MEDIAN('cleaned data'!G2:G6001)</f>
        <v>37.35</v>
      </c>
      <c r="D5" s="6">
        <f>_xlfn.STDEV.S('cleaned data'!G2:G6001)</f>
        <v>18.712977812886599</v>
      </c>
    </row>
    <row r="6" spans="1:4" x14ac:dyDescent="0.35">
      <c r="A6" s="7" t="s">
        <v>20</v>
      </c>
      <c r="B6" s="11">
        <f>AVERAGE('cleaned data'!H2:H6001)</f>
        <v>6558.9235133333441</v>
      </c>
      <c r="C6" s="11">
        <f>MEDIAN('cleaned data'!H2:H6001)</f>
        <v>5533.0650000000005</v>
      </c>
      <c r="D6" s="8">
        <f>_xlfn.STDEV.S('cleaned data'!H2:H6001)</f>
        <v>4476.3767692117335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E270-F3B2-4AD4-BFFF-5A5011462022}">
  <dimension ref="A1"/>
  <sheetViews>
    <sheetView topLeftCell="A21" workbookViewId="0">
      <selection activeCell="O20" sqref="O20"/>
    </sheetView>
  </sheetViews>
  <sheetFormatPr defaultRowHeight="14.5" x14ac:dyDescent="0.35"/>
  <cols>
    <col min="1" max="15" width="8.7265625" style="17"/>
    <col min="16" max="16" width="17.81640625" style="17" bestFit="1" customWidth="1"/>
    <col min="17" max="17" width="11.26953125" style="17" bestFit="1" customWidth="1"/>
    <col min="18" max="18" width="5.81640625" style="17" bestFit="1" customWidth="1"/>
    <col min="19" max="19" width="17.81640625" style="17" bestFit="1" customWidth="1"/>
    <col min="20" max="20" width="11.81640625" style="17" bestFit="1" customWidth="1"/>
    <col min="21" max="16384" width="8.7265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5AE2-2C55-4224-92C4-6E828EEDCB6E}">
  <dimension ref="A3:G11"/>
  <sheetViews>
    <sheetView workbookViewId="0">
      <selection activeCell="I3" sqref="I3:I4"/>
    </sheetView>
  </sheetViews>
  <sheetFormatPr defaultRowHeight="14.5" x14ac:dyDescent="0.35"/>
  <cols>
    <col min="1" max="1" width="16.6328125" bestFit="1" customWidth="1"/>
    <col min="3" max="3" width="11.26953125" bestFit="1" customWidth="1"/>
    <col min="5" max="5" width="24.08984375" bestFit="1" customWidth="1"/>
    <col min="6" max="6" width="20.90625" bestFit="1" customWidth="1"/>
    <col min="7" max="8" width="15.6328125" bestFit="1" customWidth="1"/>
  </cols>
  <sheetData>
    <row r="3" spans="1:7" x14ac:dyDescent="0.35">
      <c r="A3" t="s">
        <v>26</v>
      </c>
      <c r="C3" t="s">
        <v>27</v>
      </c>
      <c r="E3" t="s">
        <v>30</v>
      </c>
      <c r="G3" t="s">
        <v>28</v>
      </c>
    </row>
    <row r="4" spans="1:7" x14ac:dyDescent="0.35">
      <c r="A4" s="14">
        <v>1058107</v>
      </c>
      <c r="C4" s="14">
        <v>51929</v>
      </c>
      <c r="E4" s="14">
        <v>4.8765483333333428</v>
      </c>
      <c r="G4" s="14">
        <v>223321.52000000046</v>
      </c>
    </row>
    <row r="6" spans="1:7" x14ac:dyDescent="0.35">
      <c r="G6">
        <f>GETPIVOTDATA("Cost per Lead",$G$3)</f>
        <v>223321.52000000046</v>
      </c>
    </row>
    <row r="8" spans="1:7" x14ac:dyDescent="0.35">
      <c r="G8" t="s">
        <v>29</v>
      </c>
    </row>
    <row r="9" spans="1:7" x14ac:dyDescent="0.35">
      <c r="G9" s="14">
        <v>39353541.080000065</v>
      </c>
    </row>
    <row r="10" spans="1:7" x14ac:dyDescent="0.35">
      <c r="A10">
        <f>GETPIVOTDATA("Total Leads",$A$3)</f>
        <v>1058107</v>
      </c>
      <c r="C10">
        <f>GETPIVOTDATA("Sales",$C$3)</f>
        <v>51929</v>
      </c>
      <c r="E10">
        <f>GETPIVOTDATA("Conversion Rate",$E$3)</f>
        <v>4.8765483333333428</v>
      </c>
    </row>
    <row r="11" spans="1:7" x14ac:dyDescent="0.35">
      <c r="G11">
        <f>GETPIVOTDATA("Total Cost",$G$8)</f>
        <v>39353541.080000065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D956-A213-4FB7-A2E7-3E24D19B447C}">
  <dimension ref="A3:N11"/>
  <sheetViews>
    <sheetView workbookViewId="0">
      <selection activeCell="A3" sqref="A3:C8"/>
    </sheetView>
  </sheetViews>
  <sheetFormatPr defaultRowHeight="14.5" x14ac:dyDescent="0.35"/>
  <cols>
    <col min="1" max="1" width="12.36328125" bestFit="1" customWidth="1"/>
    <col min="2" max="2" width="15.6328125" bestFit="1" customWidth="1"/>
    <col min="3" max="3" width="11.26953125" bestFit="1" customWidth="1"/>
    <col min="12" max="12" width="12.36328125" bestFit="1" customWidth="1"/>
    <col min="13" max="13" width="11.26953125" bestFit="1" customWidth="1"/>
    <col min="14" max="14" width="24.08984375" bestFit="1" customWidth="1"/>
  </cols>
  <sheetData>
    <row r="3" spans="1:14" x14ac:dyDescent="0.35">
      <c r="A3" s="15" t="s">
        <v>31</v>
      </c>
      <c r="B3" t="s">
        <v>29</v>
      </c>
      <c r="C3" t="s">
        <v>27</v>
      </c>
    </row>
    <row r="4" spans="1:14" x14ac:dyDescent="0.35">
      <c r="A4" s="16" t="s">
        <v>5</v>
      </c>
      <c r="B4" s="14">
        <v>6681681.0700000031</v>
      </c>
      <c r="C4" s="14">
        <v>8494</v>
      </c>
    </row>
    <row r="5" spans="1:14" x14ac:dyDescent="0.35">
      <c r="A5" s="16" t="s">
        <v>8</v>
      </c>
      <c r="B5" s="14">
        <v>6666663.8999999994</v>
      </c>
      <c r="C5" s="14">
        <v>8965</v>
      </c>
    </row>
    <row r="6" spans="1:14" x14ac:dyDescent="0.35">
      <c r="A6" s="16" t="s">
        <v>7</v>
      </c>
      <c r="B6" s="14">
        <v>13190700.549999984</v>
      </c>
      <c r="C6" s="14">
        <v>16967</v>
      </c>
      <c r="L6" s="15" t="s">
        <v>31</v>
      </c>
      <c r="M6" t="s">
        <v>27</v>
      </c>
      <c r="N6" t="s">
        <v>30</v>
      </c>
    </row>
    <row r="7" spans="1:14" x14ac:dyDescent="0.35">
      <c r="A7" s="16" t="s">
        <v>6</v>
      </c>
      <c r="B7" s="14">
        <v>12814495.560000001</v>
      </c>
      <c r="C7" s="14">
        <v>17503</v>
      </c>
      <c r="L7" s="16" t="s">
        <v>5</v>
      </c>
      <c r="M7" s="14">
        <v>8494</v>
      </c>
      <c r="N7" s="14">
        <v>4.7913650151668365</v>
      </c>
    </row>
    <row r="8" spans="1:14" x14ac:dyDescent="0.35">
      <c r="A8" s="16" t="s">
        <v>32</v>
      </c>
      <c r="B8" s="14">
        <v>39353541.079999991</v>
      </c>
      <c r="C8" s="14">
        <v>51929</v>
      </c>
      <c r="L8" s="16" t="s">
        <v>8</v>
      </c>
      <c r="M8" s="14">
        <v>8965</v>
      </c>
      <c r="N8" s="14">
        <v>4.9932416502946984</v>
      </c>
    </row>
    <row r="9" spans="1:14" x14ac:dyDescent="0.35">
      <c r="L9" s="16" t="s">
        <v>7</v>
      </c>
      <c r="M9" s="14">
        <v>16967</v>
      </c>
      <c r="N9" s="14">
        <v>4.7881481481481512</v>
      </c>
    </row>
    <row r="10" spans="1:14" x14ac:dyDescent="0.35">
      <c r="L10" s="16" t="s">
        <v>6</v>
      </c>
      <c r="M10" s="14">
        <v>17503</v>
      </c>
      <c r="N10" s="14">
        <v>4.9477644110275669</v>
      </c>
    </row>
    <row r="11" spans="1:14" x14ac:dyDescent="0.35">
      <c r="L11" s="16" t="s">
        <v>32</v>
      </c>
      <c r="M11" s="14">
        <v>51929</v>
      </c>
      <c r="N11" s="14">
        <v>4.8765483333333277</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BE18-C597-4379-B508-73EDDFF2217E}">
  <dimension ref="A3:B7"/>
  <sheetViews>
    <sheetView workbookViewId="0">
      <selection activeCell="A3" sqref="A3"/>
    </sheetView>
  </sheetViews>
  <sheetFormatPr defaultRowHeight="14.5" x14ac:dyDescent="0.35"/>
  <cols>
    <col min="1" max="1" width="17.81640625" bestFit="1" customWidth="1"/>
    <col min="2" max="2" width="24.08984375" bestFit="1" customWidth="1"/>
  </cols>
  <sheetData>
    <row r="3" spans="1:2" x14ac:dyDescent="0.35">
      <c r="A3" s="15" t="s">
        <v>31</v>
      </c>
      <c r="B3" t="s">
        <v>30</v>
      </c>
    </row>
    <row r="4" spans="1:2" x14ac:dyDescent="0.35">
      <c r="A4" s="16" t="s">
        <v>11</v>
      </c>
      <c r="B4" s="14">
        <v>4.9482497441146345</v>
      </c>
    </row>
    <row r="5" spans="1:2" x14ac:dyDescent="0.35">
      <c r="A5" s="16" t="s">
        <v>9</v>
      </c>
      <c r="B5" s="14">
        <v>4.8962434782608746</v>
      </c>
    </row>
    <row r="6" spans="1:2" x14ac:dyDescent="0.35">
      <c r="A6" s="16" t="s">
        <v>10</v>
      </c>
      <c r="B6" s="14">
        <v>4.7269238476953905</v>
      </c>
    </row>
    <row r="7" spans="1:2" x14ac:dyDescent="0.35">
      <c r="A7" s="16" t="s">
        <v>32</v>
      </c>
      <c r="B7" s="14">
        <v>4.8765483333333419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E6AB7-1F0E-4E76-84F5-5EE643E7B409}">
  <dimension ref="A3:B8"/>
  <sheetViews>
    <sheetView workbookViewId="0">
      <selection activeCell="L10" sqref="L10"/>
    </sheetView>
  </sheetViews>
  <sheetFormatPr defaultRowHeight="14.5" x14ac:dyDescent="0.35"/>
  <cols>
    <col min="1" max="1" width="12.36328125" bestFit="1" customWidth="1"/>
    <col min="2" max="2" width="11.26953125" bestFit="1" customWidth="1"/>
  </cols>
  <sheetData>
    <row r="3" spans="1:2" x14ac:dyDescent="0.35">
      <c r="A3" s="15" t="s">
        <v>31</v>
      </c>
      <c r="B3" t="s">
        <v>27</v>
      </c>
    </row>
    <row r="4" spans="1:2" x14ac:dyDescent="0.35">
      <c r="A4" s="16" t="s">
        <v>5</v>
      </c>
      <c r="B4" s="14">
        <v>8494</v>
      </c>
    </row>
    <row r="5" spans="1:2" x14ac:dyDescent="0.35">
      <c r="A5" s="16" t="s">
        <v>8</v>
      </c>
      <c r="B5" s="14">
        <v>8965</v>
      </c>
    </row>
    <row r="6" spans="1:2" x14ac:dyDescent="0.35">
      <c r="A6" s="16" t="s">
        <v>7</v>
      </c>
      <c r="B6" s="14">
        <v>16967</v>
      </c>
    </row>
    <row r="7" spans="1:2" x14ac:dyDescent="0.35">
      <c r="A7" s="16" t="s">
        <v>6</v>
      </c>
      <c r="B7" s="14">
        <v>17503</v>
      </c>
    </row>
    <row r="8" spans="1:2" x14ac:dyDescent="0.35">
      <c r="A8" s="16" t="s">
        <v>32</v>
      </c>
      <c r="B8" s="14">
        <v>51929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49D13-7993-4D9E-BA9F-1038264FB1BD}">
  <dimension ref="A3:M13"/>
  <sheetViews>
    <sheetView workbookViewId="0">
      <selection activeCell="M5" sqref="M5"/>
    </sheetView>
  </sheetViews>
  <sheetFormatPr defaultRowHeight="14.5" x14ac:dyDescent="0.35"/>
  <cols>
    <col min="1" max="1" width="12.36328125" bestFit="1" customWidth="1"/>
    <col min="2" max="2" width="18.6328125" bestFit="1" customWidth="1"/>
    <col min="12" max="12" width="12.36328125" bestFit="1" customWidth="1"/>
    <col min="13" max="13" width="18.6328125" bestFit="1" customWidth="1"/>
  </cols>
  <sheetData>
    <row r="3" spans="1:13" x14ac:dyDescent="0.35">
      <c r="A3" s="15" t="s">
        <v>31</v>
      </c>
      <c r="B3" t="s">
        <v>28</v>
      </c>
    </row>
    <row r="4" spans="1:13" x14ac:dyDescent="0.35">
      <c r="A4" s="16" t="s">
        <v>5</v>
      </c>
      <c r="B4" s="14">
        <v>37385.520000000011</v>
      </c>
    </row>
    <row r="5" spans="1:13" x14ac:dyDescent="0.35">
      <c r="A5" s="16" t="s">
        <v>8</v>
      </c>
      <c r="B5" s="14">
        <v>38060.879999999997</v>
      </c>
    </row>
    <row r="6" spans="1:13" x14ac:dyDescent="0.35">
      <c r="A6" s="16" t="s">
        <v>7</v>
      </c>
      <c r="B6" s="14">
        <v>75077.529999999766</v>
      </c>
    </row>
    <row r="7" spans="1:13" x14ac:dyDescent="0.35">
      <c r="A7" s="16" t="s">
        <v>6</v>
      </c>
      <c r="B7" s="14">
        <v>72797.589999999924</v>
      </c>
    </row>
    <row r="8" spans="1:13" x14ac:dyDescent="0.35">
      <c r="A8" s="16" t="s">
        <v>32</v>
      </c>
      <c r="B8" s="14">
        <v>223321.51999999967</v>
      </c>
      <c r="L8" s="15" t="s">
        <v>31</v>
      </c>
      <c r="M8" t="s">
        <v>28</v>
      </c>
    </row>
    <row r="9" spans="1:13" x14ac:dyDescent="0.35">
      <c r="L9" s="16" t="s">
        <v>6</v>
      </c>
      <c r="M9" s="14">
        <v>72797.589999999924</v>
      </c>
    </row>
    <row r="10" spans="1:13" x14ac:dyDescent="0.35">
      <c r="L10" s="16" t="s">
        <v>7</v>
      </c>
      <c r="M10" s="14">
        <v>75077.529999999766</v>
      </c>
    </row>
    <row r="11" spans="1:13" x14ac:dyDescent="0.35">
      <c r="L11" s="16" t="s">
        <v>8</v>
      </c>
      <c r="M11" s="14">
        <v>38060.879999999997</v>
      </c>
    </row>
    <row r="12" spans="1:13" x14ac:dyDescent="0.35">
      <c r="L12" s="16" t="s">
        <v>5</v>
      </c>
      <c r="M12" s="14">
        <v>37385.520000000011</v>
      </c>
    </row>
    <row r="13" spans="1:13" x14ac:dyDescent="0.35">
      <c r="L13" s="16" t="s">
        <v>32</v>
      </c>
      <c r="M13" s="14">
        <v>223321.51999999973</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20DB-B756-4A3E-8B3A-91AABCCDDED8}">
  <dimension ref="A3:C8"/>
  <sheetViews>
    <sheetView workbookViewId="0">
      <selection activeCell="C12" sqref="C12"/>
    </sheetView>
  </sheetViews>
  <sheetFormatPr defaultRowHeight="14.5" x14ac:dyDescent="0.35"/>
  <cols>
    <col min="1" max="1" width="12.36328125" bestFit="1" customWidth="1"/>
    <col min="2" max="2" width="11.26953125" bestFit="1" customWidth="1"/>
    <col min="3" max="3" width="24.08984375" bestFit="1" customWidth="1"/>
  </cols>
  <sheetData>
    <row r="3" spans="1:3" x14ac:dyDescent="0.35">
      <c r="A3" s="15" t="s">
        <v>31</v>
      </c>
      <c r="B3" t="s">
        <v>27</v>
      </c>
      <c r="C3" t="s">
        <v>30</v>
      </c>
    </row>
    <row r="4" spans="1:3" x14ac:dyDescent="0.35">
      <c r="A4" s="16" t="s">
        <v>5</v>
      </c>
      <c r="B4" s="14">
        <v>8494</v>
      </c>
      <c r="C4" s="14">
        <v>4.7913650151668365</v>
      </c>
    </row>
    <row r="5" spans="1:3" x14ac:dyDescent="0.35">
      <c r="A5" s="16" t="s">
        <v>8</v>
      </c>
      <c r="B5" s="14">
        <v>8965</v>
      </c>
      <c r="C5" s="14">
        <v>4.9932416502946984</v>
      </c>
    </row>
    <row r="6" spans="1:3" x14ac:dyDescent="0.35">
      <c r="A6" s="16" t="s">
        <v>7</v>
      </c>
      <c r="B6" s="14">
        <v>16967</v>
      </c>
      <c r="C6" s="14">
        <v>4.7881481481481512</v>
      </c>
    </row>
    <row r="7" spans="1:3" x14ac:dyDescent="0.35">
      <c r="A7" s="16" t="s">
        <v>6</v>
      </c>
      <c r="B7" s="14">
        <v>17503</v>
      </c>
      <c r="C7" s="14">
        <v>4.9477644110275669</v>
      </c>
    </row>
    <row r="8" spans="1:3" x14ac:dyDescent="0.35">
      <c r="A8" s="16" t="s">
        <v>32</v>
      </c>
      <c r="B8" s="14">
        <v>51929</v>
      </c>
      <c r="C8" s="14">
        <v>4.8765483333333277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overview</vt:lpstr>
      <vt:lpstr>cleaned data</vt:lpstr>
      <vt:lpstr>missing value counts</vt:lpstr>
      <vt:lpstr>outlier analysis</vt:lpstr>
      <vt:lpstr>statistic analysis</vt:lpstr>
      <vt:lpstr>DASHBOARD</vt:lpstr>
      <vt:lpstr>kpi card</vt:lpstr>
      <vt:lpstr>bar</vt:lpstr>
      <vt:lpstr>LINE CHART</vt:lpstr>
      <vt:lpstr>column CHART</vt:lpstr>
      <vt:lpstr>dONUT CHART</vt:lpstr>
      <vt:lpstr>COMBO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user442</dc:creator>
  <cp:lastModifiedBy>GAYATHRI P</cp:lastModifiedBy>
  <dcterms:created xsi:type="dcterms:W3CDTF">2025-09-26T10:05:02Z</dcterms:created>
  <dcterms:modified xsi:type="dcterms:W3CDTF">2026-08-14T17:09:22Z</dcterms:modified>
</cp:coreProperties>
</file>